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9\"/>
    </mc:Choice>
  </mc:AlternateContent>
  <bookViews>
    <workbookView xWindow="0" yWindow="0" windowWidth="21600" windowHeight="9333" activeTab="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ANGELY" sheetId="12" r:id="rId6"/>
    <sheet name="HORARIO" sheetId="8" r:id="rId7"/>
    <sheet name="PROMOSALUD" sheetId="13" r:id="rId8"/>
  </sheets>
  <definedNames>
    <definedName name="_xlnm._FilterDatabase" localSheetId="0" hidden="1">MONTERIA!$B$1:$R$83</definedName>
    <definedName name="_xlnm._FilterDatabase" localSheetId="1" hidden="1">MPIOS!$B$1:$T$43</definedName>
    <definedName name="_xlnm._FilterDatabase" localSheetId="2" hidden="1">'NEP MPIOS'!$A$1:$O$164</definedName>
    <definedName name="_xlnm._FilterDatabase" localSheetId="3" hidden="1">'NEP MTR'!$A$1:$N$121</definedName>
    <definedName name="_xlnm._FilterDatabase" localSheetId="4" hidden="1">PERMANENTES!$B$1:$P$140</definedName>
    <definedName name="x_x__MailAutoSig" localSheetId="1">MPIOS!$B$11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3" l="1"/>
  <c r="R13" i="13"/>
  <c r="S13" i="13"/>
  <c r="N13" i="13"/>
  <c r="O13" i="13"/>
  <c r="P13" i="13"/>
  <c r="L13" i="13"/>
  <c r="M13" i="13"/>
  <c r="K13" i="13"/>
  <c r="I26" i="4"/>
  <c r="E13" i="13"/>
  <c r="F13" i="13"/>
  <c r="G13" i="13"/>
  <c r="B13" i="13"/>
  <c r="M84" i="9"/>
  <c r="D13" i="13"/>
  <c r="C13" i="13"/>
  <c r="B17" i="13"/>
  <c r="D17" i="13"/>
  <c r="F17" i="13"/>
  <c r="F16" i="13"/>
  <c r="F18" i="13" s="1"/>
  <c r="D16" i="13"/>
  <c r="B16" i="13"/>
  <c r="B18" i="13" s="1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H7" i="13"/>
  <c r="E7" i="13"/>
  <c r="F7" i="13"/>
  <c r="G7" i="13"/>
  <c r="C7" i="13"/>
  <c r="D7" i="13"/>
  <c r="B7" i="13"/>
  <c r="D18" i="13" l="1"/>
  <c r="E13" i="12"/>
  <c r="F13" i="12"/>
  <c r="G13" i="12"/>
  <c r="D13" i="12"/>
  <c r="E11" i="12" l="1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94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<sst xmlns="http://schemas.openxmlformats.org/spreadsheetml/2006/main" count="3156" uniqueCount="1459">
  <si>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</si>
  <si>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</si>
  <si>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</si>
  <si>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</si>
  <si>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</si>
  <si>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</si>
  <si>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</si>
  <si>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</si>
  <si>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</si>
  <si>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</si>
  <si>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</si>
  <si>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</si>
  <si>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</si>
  <si>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</si>
  <si>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</si>
  <si>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</si>
  <si>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</si>
  <si>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</si>
  <si>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</si>
  <si>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</si>
  <si>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</si>
  <si>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</si>
  <si>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</si>
  <si>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</si>
  <si>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</si>
  <si>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</si>
  <si>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</si>
  <si>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</si>
  <si>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</si>
  <si>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</si>
  <si>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</si>
  <si>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</si>
  <si>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</si>
  <si>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</si>
  <si>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</si>
  <si>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</si>
  <si>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</si>
  <si>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</si>
  <si>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</si>
  <si>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</si>
  <si>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</si>
  <si>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</si>
  <si>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</si>
  <si>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</si>
  <si>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</si>
  <si>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</si>
  <si>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</si>
  <si>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</si>
  <si>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</si>
  <si>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</si>
  <si>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</si>
  <si>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</si>
  <si>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</si>
  <si>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</si>
  <si>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</si>
  <si>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</si>
  <si>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</si>
  <si>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</si>
  <si>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</si>
  <si>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</si>
  <si>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</si>
  <si>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</si>
  <si>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</si>
  <si>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</si>
  <si>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</si>
  <si>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</si>
  <si>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</si>
  <si>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</si>
  <si>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</si>
  <si>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</si>
  <si>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</si>
  <si>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</si>
  <si>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</si>
  <si>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</si>
  <si>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</si>
  <si>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</si>
  <si>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</si>
  <si>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</si>
  <si>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</si>
  <si>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</si>
  <si>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</si>
  <si>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</si>
  <si>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</si>
  <si>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</si>
  <si>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</si>
  <si>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</si>
  <si>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</si>
  <si>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</si>
  <si>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</si>
  <si>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</si>
  <si>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</si>
  <si>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</si>
  <si>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</si>
  <si>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</si>
  <si>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</si>
  <si>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</si>
  <si>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</si>
  <si>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</si>
  <si>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</si>
  <si>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</si>
  <si>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</si>
  <si>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</si>
  <si>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</si>
  <si>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</si>
  <si>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</si>
  <si>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</si>
  <si>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</si>
  <si>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</si>
  <si>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</si>
  <si>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</si>
  <si>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</si>
  <si>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</si>
  <si>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</si>
  <si>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</si>
  <si>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</si>
  <si>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</si>
  <si>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</si>
  <si>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</si>
  <si>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</si>
  <si>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</si>
  <si>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</si>
  <si>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</si>
  <si>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</si>
  <si>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</si>
  <si>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</si>
  <si>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</si>
  <si>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</si>
  <si>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</si>
  <si>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</si>
  <si>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</si>
  <si>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</si>
  <si>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</si>
  <si>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</si>
  <si>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</si>
  <si>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</si>
  <si>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</si>
  <si>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</si>
  <si>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</si>
  <si>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</si>
  <si>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</si>
  <si>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</si>
  <si>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</si>
  <si>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</si>
  <si>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</si>
  <si>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</si>
  <si>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</si>
  <si>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</si>
  <si>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</si>
  <si>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</si>
  <si>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</si>
  <si>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</si>
  <si>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</si>
  <si>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</si>
  <si>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</si>
  <si>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</si>
  <si>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</si>
  <si>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</si>
  <si>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</si>
  <si>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</si>
  <si>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</si>
  <si>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</si>
  <si>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</si>
  <si>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</si>
  <si>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</si>
  <si>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</si>
  <si>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</si>
  <si>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</si>
  <si>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</si>
  <si>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</si>
  <si>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</si>
  <si>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</si>
  <si>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</si>
  <si>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</si>
  <si>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</si>
  <si>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</si>
  <si>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</si>
  <si>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</si>
  <si>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</si>
  <si>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</si>
  <si>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</si>
  <si>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</si>
  <si>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</si>
  <si>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</si>
  <si>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</si>
  <si>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</si>
  <si>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</si>
  <si>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</si>
  <si>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</si>
  <si>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</si>
  <si>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</si>
  <si>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</si>
  <si>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</si>
  <si>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</si>
  <si>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</si>
  <si>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</si>
  <si>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</si>
  <si>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</si>
  <si>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</si>
  <si>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</si>
  <si>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</si>
  <si>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</si>
  <si>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</si>
  <si>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</si>
  <si>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</si>
  <si>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</si>
  <si>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</si>
  <si>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</si>
  <si>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</si>
  <si>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</si>
  <si>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</si>
  <si>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</si>
  <si>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</si>
  <si>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</si>
  <si>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</si>
  <si>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</si>
  <si>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</si>
  <si>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</si>
  <si>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</si>
  <si>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</si>
  <si>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</si>
  <si>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</si>
  <si>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</si>
  <si>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</si>
  <si>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</si>
  <si>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</si>
  <si>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</si>
  <si>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</si>
  <si>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</si>
  <si>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</si>
  <si>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</si>
  <si>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</si>
  <si>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</si>
  <si>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</si>
  <si>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</si>
  <si>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</si>
  <si>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</si>
  <si>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</si>
  <si>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</si>
  <si>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</si>
  <si>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</si>
  <si>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</si>
  <si>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</si>
  <si>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</si>
  <si>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</si>
  <si>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</si>
  <si>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</si>
  <si>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</si>
  <si>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</si>
  <si>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</si>
  <si>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</si>
  <si>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</si>
  <si>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</si>
  <si>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</si>
  <si>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</si>
  <si>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</si>
  <si>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</si>
  <si>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</si>
  <si>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</si>
  <si>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</si>
  <si>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</si>
  <si>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</si>
  <si>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</si>
  <si>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</si>
  <si>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</si>
  <si>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</si>
  <si>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</si>
  <si>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</si>
  <si>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</si>
  <si>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</si>
  <si>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</si>
  <si>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</si>
  <si>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</si>
  <si>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</si>
  <si>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</si>
  <si>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</si>
  <si>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</si>
  <si>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</si>
  <si>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</si>
  <si>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</si>
  <si>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</si>
  <si>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</si>
  <si>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</si>
  <si>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</si>
  <si>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</si>
  <si>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</si>
  <si>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</si>
  <si>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</si>
  <si>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</si>
  <si>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</si>
  <si>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</si>
  <si>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</si>
  <si>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</si>
  <si>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</si>
  <si>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</si>
  <si>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</si>
  <si>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</si>
  <si>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</si>
  <si>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</si>
  <si>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</si>
  <si>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</si>
  <si>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</si>
  <si>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</si>
  <si>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</si>
  <si>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</si>
  <si>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</si>
  <si>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</si>
  <si>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</si>
  <si>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</si>
  <si>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</si>
  <si>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</si>
  <si>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</si>
  <si>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</si>
  <si>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</si>
  <si>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</si>
  <si>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</si>
  <si>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</si>
  <si>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</si>
  <si>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</si>
  <si>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</si>
  <si>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</si>
  <si>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</si>
  <si>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</si>
  <si>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</si>
  <si>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</si>
  <si>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</si>
  <si>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</si>
  <si>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</si>
  <si>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</si>
  <si>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</si>
  <si>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</si>
  <si>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CRA 9 #22A-39 B/CASTELLANA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</si>
  <si>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</si>
  <si>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</si>
  <si>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</si>
  <si>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</si>
  <si>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</si>
  <si>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</si>
  <si>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</si>
  <si>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</si>
  <si>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</si>
  <si>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</si>
  <si>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</si>
  <si>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</si>
  <si>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</si>
  <si>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</si>
  <si>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</si>
  <si>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</si>
  <si>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</si>
  <si>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</si>
  <si>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</si>
  <si>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</si>
  <si>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</si>
  <si>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</si>
  <si>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</si>
  <si>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</si>
  <si>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</si>
  <si>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</si>
  <si>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</si>
  <si>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</si>
  <si>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</si>
  <si>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</si>
  <si>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</si>
  <si>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</si>
  <si>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</si>
  <si>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</si>
  <si>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</si>
  <si>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</si>
  <si>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</si>
  <si>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</si>
  <si>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</si>
  <si>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</si>
  <si>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</si>
  <si>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</si>
  <si>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</si>
  <si>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</si>
  <si>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</si>
  <si>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</si>
  <si>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SALUDVIDA</t>
  </si>
  <si>
    <t xml:space="preserve">LUIS ALBERTO </t>
  </si>
  <si>
    <t>BULA SALAZAR</t>
  </si>
  <si>
    <t>HECTOR FABIO</t>
  </si>
  <si>
    <t>JALLER SUAREZ</t>
  </si>
  <si>
    <t>CARMEN MARIA</t>
  </si>
  <si>
    <t>RONAL DAVID</t>
  </si>
  <si>
    <t>BALLESTEROS VASQUEZ</t>
  </si>
  <si>
    <t>B/NUEVA ESP. MZ. 21 LOTE 25</t>
  </si>
  <si>
    <t>HELDA ROSA</t>
  </si>
  <si>
    <t>ROMERO DE OTERO</t>
  </si>
  <si>
    <t>20 SS X MES X 3 MESES</t>
  </si>
  <si>
    <t>SANITAS</t>
  </si>
  <si>
    <t>CRA 13 W #27-45 B/EL DORADO</t>
  </si>
  <si>
    <t>LUIS FERNANDO</t>
  </si>
  <si>
    <t>ANDRES GUILLERMO</t>
  </si>
  <si>
    <t>THERAN PETRO</t>
  </si>
  <si>
    <t>TI</t>
  </si>
  <si>
    <t>3XSEMX6M</t>
  </si>
  <si>
    <t>RC</t>
  </si>
  <si>
    <t>COLSANITAS</t>
  </si>
  <si>
    <t>MACEA PEREZ</t>
  </si>
  <si>
    <t>B/SANTA FE MZ35 LT 2</t>
  </si>
  <si>
    <t>ILCIA MARIA</t>
  </si>
  <si>
    <t>CUADRADO GOMEZ</t>
  </si>
  <si>
    <t>CALLE 10 # 20-80 B/SANTA FE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</si>
  <si>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</si>
  <si>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</si>
  <si>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</si>
  <si>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</si>
  <si>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</si>
  <si>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MARIA PRIMERA</t>
  </si>
  <si>
    <t>REYES VARGAS</t>
  </si>
  <si>
    <t>MUTUALSER</t>
  </si>
  <si>
    <t>SAN BERNARDO</t>
  </si>
  <si>
    <t>JULISA ORTEGA</t>
  </si>
  <si>
    <t>MARTINEZ DE PEREZ</t>
  </si>
  <si>
    <t>BLANCA ROSA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</si>
  <si>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</si>
  <si>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</si>
  <si>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</si>
  <si>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</si>
  <si>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</si>
  <si>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</si>
  <si>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</si>
  <si>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</si>
  <si>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</si>
  <si>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</si>
  <si>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</si>
  <si>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</si>
  <si>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</si>
  <si>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</si>
  <si>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</si>
  <si>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</si>
  <si>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</si>
  <si>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</si>
  <si>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</si>
  <si>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</si>
  <si>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</si>
  <si>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</si>
  <si>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</si>
  <si>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</si>
  <si>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</t>
  </si>
  <si>
    <t>MARTINEZ MEDRANO</t>
  </si>
  <si>
    <t xml:space="preserve">GLORIA STELLA </t>
  </si>
  <si>
    <t xml:space="preserve">PROMOSALUD 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</si>
  <si>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</si>
  <si>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</si>
  <si>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</si>
  <si>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</si>
  <si>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</si>
  <si>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</si>
  <si>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</si>
  <si>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</si>
  <si>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</si>
  <si>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</si>
  <si>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</si>
  <si>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</si>
  <si>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</si>
  <si>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</si>
  <si>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</si>
  <si>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</si>
  <si>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</si>
  <si>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</si>
  <si>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</si>
  <si>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</si>
  <si>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</si>
  <si>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</si>
  <si>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</si>
  <si>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</si>
  <si>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</si>
  <si>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</si>
  <si>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</si>
  <si>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</si>
  <si>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</si>
  <si>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</si>
  <si>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</si>
  <si>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</si>
  <si>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</si>
  <si>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</si>
  <si>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</si>
  <si>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</si>
  <si>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</si>
  <si>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</si>
  <si>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</si>
  <si>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</si>
  <si>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</si>
  <si>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 xml:space="preserve">FANNY ESTER </t>
  </si>
  <si>
    <t xml:space="preserve">SUAREZ VERTEL </t>
  </si>
  <si>
    <t xml:space="preserve">3045741119 HERMANA MARY </t>
  </si>
  <si>
    <t>HIDALGO ELIAS</t>
  </si>
  <si>
    <t>VELEZ SIMONDS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</si>
  <si>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</si>
  <si>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</si>
  <si>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</si>
  <si>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</si>
  <si>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</si>
  <si>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</si>
  <si>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</si>
  <si>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</si>
  <si>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</si>
  <si>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</si>
  <si>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</si>
  <si>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</si>
  <si>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</si>
  <si>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</si>
  <si>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</si>
  <si>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</si>
  <si>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</si>
  <si>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 xml:space="preserve">SENAIRA </t>
  </si>
  <si>
    <t>DOMICO BAILARIN</t>
  </si>
  <si>
    <t>JOSEFA NOLIS</t>
  </si>
  <si>
    <t>CANTERO MARTINEZ</t>
  </si>
  <si>
    <t>3106026392-3128649046</t>
  </si>
  <si>
    <t xml:space="preserve">GABRIEL </t>
  </si>
  <si>
    <t>SPATH ASAB</t>
  </si>
  <si>
    <t>SUSANA DEL PILAR</t>
  </si>
  <si>
    <t>BURGOS DE GARCIA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</si>
  <si>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</si>
  <si>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</si>
  <si>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</si>
  <si>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</si>
  <si>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</si>
  <si>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</si>
  <si>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</si>
  <si>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</si>
  <si>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</si>
  <si>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</si>
  <si>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</si>
  <si>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</si>
  <si>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</si>
  <si>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</si>
  <si>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</si>
  <si>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</si>
  <si>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</si>
  <si>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</si>
  <si>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</si>
  <si>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>CAMILA ANDREA</t>
  </si>
  <si>
    <t>ORTEGA PACHECO</t>
  </si>
  <si>
    <t xml:space="preserve">PAOLA </t>
  </si>
  <si>
    <t>HERNANDEZ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</si>
  <si>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</si>
  <si>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</si>
  <si>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</si>
  <si>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</si>
  <si>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</si>
  <si>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</si>
  <si>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</si>
  <si>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</si>
  <si>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</si>
  <si>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</si>
  <si>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HORA</t>
  </si>
  <si>
    <t>DE ORO REGINO</t>
  </si>
  <si>
    <t>AYAPEL</t>
  </si>
  <si>
    <t xml:space="preserve">B/7 DE AGOSTO CALLE 8 # 11-75 </t>
  </si>
  <si>
    <t>3176770188-3126401307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</si>
  <si>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</si>
  <si>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</si>
  <si>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</si>
  <si>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</si>
  <si>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</si>
  <si>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</si>
  <si>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</si>
  <si>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</si>
  <si>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</si>
  <si>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</si>
  <si>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</si>
  <si>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</si>
  <si>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</si>
  <si>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</si>
  <si>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</si>
  <si>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</si>
  <si>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</si>
  <si>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</si>
  <si>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</si>
  <si>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</si>
  <si>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</si>
  <si>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</si>
  <si>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ECHEVARRIA</t>
  </si>
  <si>
    <t>DIAGNOSTICO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</si>
  <si>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</si>
  <si>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</si>
  <si>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</si>
  <si>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</si>
  <si>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</si>
  <si>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</si>
  <si>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</si>
  <si>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180 SS TF Y TO X 6 MESES FI:10/09/2018 FE 09/03/2019</t>
  </si>
  <si>
    <t>3107094691-7811468</t>
  </si>
  <si>
    <t>EPOC</t>
  </si>
  <si>
    <t>CALLE 20 CRA 15 B/BRISALIA PLANETA RICA 3003157807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</si>
  <si>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</si>
  <si>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</si>
  <si>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</si>
  <si>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</si>
  <si>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</si>
  <si>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</si>
  <si>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VARGAS TOVAR</t>
  </si>
  <si>
    <t>EPILEPSIA</t>
  </si>
  <si>
    <t>MZ 45 LT 14 B/ VILLA MELISA</t>
  </si>
  <si>
    <t>TF 12 SS X 6 MESES</t>
  </si>
  <si>
    <t>DENNIS MARIA</t>
  </si>
  <si>
    <t>ANAYA ORTEGA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</si>
  <si>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</si>
  <si>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</si>
  <si>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</si>
  <si>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</si>
  <si>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</si>
  <si>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</si>
  <si>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</si>
  <si>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</si>
  <si>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</si>
  <si>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</si>
  <si>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</si>
  <si>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</si>
  <si>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</si>
  <si>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</si>
  <si>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LESION RAQUIMEDULAR C4-C5</t>
  </si>
  <si>
    <t>TEC - POLITRUMATISMO</t>
  </si>
  <si>
    <t>GONARTROSIS</t>
  </si>
  <si>
    <t>FX FEMUR</t>
  </si>
  <si>
    <t>HEMIPLEJIA</t>
  </si>
  <si>
    <t>PARALISIS DE CUERDAS VUCALES</t>
  </si>
  <si>
    <t>SECCION TRAQUEAL</t>
  </si>
  <si>
    <t>HERIDA POR PROYECTIL ARMA DE FUEGO</t>
  </si>
  <si>
    <t>HIPOXIA CEREBRAL</t>
  </si>
  <si>
    <t>MENINGITIS+LEUCEMIA</t>
  </si>
  <si>
    <t>SECUELAS DE HIPOXIA CEREBRAL</t>
  </si>
  <si>
    <t>PARAPLEJIA</t>
  </si>
  <si>
    <t>ENCEFALOPATIA</t>
  </si>
  <si>
    <t>PARALISIS FACIAL</t>
  </si>
  <si>
    <t xml:space="preserve">CUADRIPARESIA </t>
  </si>
  <si>
    <t>MIOSITIS - FIBROSIS QUISTICA</t>
  </si>
  <si>
    <t>ATAXIA CEREBELOSA</t>
  </si>
  <si>
    <t>CUADRIPLEJIA</t>
  </si>
  <si>
    <t>ARTROSIS</t>
  </si>
  <si>
    <t>ACV - ALZHEIMER</t>
  </si>
  <si>
    <t xml:space="preserve">DB MELLITUS </t>
  </si>
  <si>
    <t>POP TUMOR CEREBRAL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</si>
  <si>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</si>
  <si>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</si>
  <si>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</si>
  <si>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</si>
  <si>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</si>
  <si>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</si>
  <si>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</si>
  <si>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</si>
  <si>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</si>
  <si>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</si>
  <si>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</si>
  <si>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</si>
  <si>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PROBLEMAS PARA LA MOVILIDAD</t>
  </si>
  <si>
    <t>SECUELAS ACV- AMPUTACION INFRAPATELAR</t>
  </si>
  <si>
    <t>PARKINSON + ALZHEIMER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</si>
  <si>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</si>
  <si>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</si>
  <si>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</si>
  <si>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</si>
  <si>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</si>
  <si>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</si>
  <si>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</si>
  <si>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</si>
  <si>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PDTE CONSEUIR PROFESIONAL</t>
  </si>
  <si>
    <t>la prof. Solicita TS porq sospecha de maltratocon la paciente</t>
  </si>
  <si>
    <t>NEUROSIFILIAS- HEMIPARESIA DERECHA</t>
  </si>
  <si>
    <t>EMPERATRIZ</t>
  </si>
  <si>
    <t>GARCIA DE RAMOS</t>
  </si>
  <si>
    <t>60 ss TF Y TL por 3 meses FI: 30/09/2018, FE29/12/2018</t>
  </si>
  <si>
    <t>CRISTINA ISABEL</t>
  </si>
  <si>
    <t>VALETA DE TORRES</t>
  </si>
  <si>
    <t>B/20 DE ENERO</t>
  </si>
  <si>
    <t>3125110722 - 3126002123</t>
  </si>
  <si>
    <t>20 X MES X 3 MESES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</si>
  <si>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</si>
  <si>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</si>
  <si>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</si>
  <si>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</si>
  <si>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</si>
  <si>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</si>
  <si>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</si>
  <si>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YEIVIS HOYOS</t>
  </si>
  <si>
    <t>NO CONTAMOS CON TO EN EL MUNICIPIO</t>
  </si>
  <si>
    <t>JESUS SIERRA</t>
  </si>
  <si>
    <t>EL PUEBLITO</t>
  </si>
  <si>
    <t xml:space="preserve"> FIGUEROA MARTINEZ</t>
  </si>
  <si>
    <t xml:space="preserve">SE ACUERDA CON BRIANA 08/10/2018 QUE ESTAS TERAPIAS TERMINAN EL 20/01/2019 DEBIDO A Q INICIARON U8N MES DESPUES, </t>
  </si>
  <si>
    <t>ZUÑIGA DE ZAMBRANO</t>
  </si>
  <si>
    <t>ARLIS ADRIANA</t>
  </si>
  <si>
    <t>AGAMEZ DICKSON</t>
  </si>
  <si>
    <t>HORARIO RECEPCIÓN NEPS</t>
  </si>
  <si>
    <t>B. El Recreo  Cra 5ta No. 66-58.3126229942-3134255984</t>
  </si>
  <si>
    <t xml:space="preserve">REBECA CECILIA </t>
  </si>
  <si>
    <t>TORRES REYES</t>
  </si>
  <si>
    <t>3215125649-3126305175</t>
  </si>
  <si>
    <t>SESIONES TOTAL</t>
  </si>
  <si>
    <t>SESIONES MENSUAL</t>
  </si>
  <si>
    <t>16 SS C/U X 4 MESES</t>
  </si>
  <si>
    <t>SESIONES MENSUALES</t>
  </si>
  <si>
    <t>SESIONES  TOTAL</t>
  </si>
  <si>
    <t>MARIA MODESTA</t>
  </si>
  <si>
    <t>ESPITIA NORIEGA</t>
  </si>
  <si>
    <t>CA + ACV</t>
  </si>
  <si>
    <t>3107209159-3006806943</t>
  </si>
  <si>
    <t xml:space="preserve">MIGUEL VICENTE </t>
  </si>
  <si>
    <t>UPARELA PEREZ</t>
  </si>
  <si>
    <t>B/CALLE CARTAGENITA CLL9 #8-56</t>
  </si>
  <si>
    <t>ELMER ANTONIO</t>
  </si>
  <si>
    <t>ANDRADES BERONA</t>
  </si>
  <si>
    <t>SECUELAS DE TRAUMA MEDULAR</t>
  </si>
  <si>
    <t>3145141404-3225690770</t>
  </si>
  <si>
    <t>20 SS X MES X 6 MESES</t>
  </si>
  <si>
    <t>CARLOS JOSE</t>
  </si>
  <si>
    <t>MERCADO BORJA</t>
  </si>
  <si>
    <t>CRA 7 # 4-51 B/20 JULIO MOCARI</t>
  </si>
  <si>
    <t>PREVIA AUTORIZACION MENSUAL</t>
  </si>
  <si>
    <t>LOPEZ RAMOS</t>
  </si>
  <si>
    <t>WILLIAN CESAR</t>
  </si>
  <si>
    <t>JALAL AGAMEZ</t>
  </si>
  <si>
    <t>DIABETES</t>
  </si>
  <si>
    <t>B/LA CANDELARIA CLL 15 #8-56</t>
  </si>
  <si>
    <t>SE ENVIA UN ASPIRADOR EL 12/10/2018</t>
  </si>
  <si>
    <t>DANIEL DARIO</t>
  </si>
  <si>
    <t>PEREZ DE LA ROSA</t>
  </si>
  <si>
    <t>INFARTO MEDULAR</t>
  </si>
  <si>
    <t>B/SANTA LUCIA TV 2 A #26-65</t>
  </si>
  <si>
    <t>RESECCIÓN TUMORAL  CEREBRO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</si>
  <si>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</si>
  <si>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</si>
  <si>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</si>
  <si>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</si>
  <si>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</si>
  <si>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</si>
  <si>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</si>
  <si>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</si>
  <si>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</si>
  <si>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</si>
  <si>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</si>
  <si>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</si>
  <si>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</si>
  <si>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</si>
  <si>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>PURISIMA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</si>
  <si>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</si>
  <si>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</si>
  <si>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</si>
  <si>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</si>
  <si>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</si>
  <si>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</si>
  <si>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</si>
  <si>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</si>
  <si>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</si>
  <si>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</si>
  <si>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</si>
  <si>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</si>
  <si>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</si>
  <si>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</si>
  <si>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</si>
  <si>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</si>
  <si>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</si>
  <si>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</si>
  <si>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</si>
  <si>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</si>
  <si>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</si>
  <si>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</si>
  <si>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</si>
  <si>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</si>
  <si>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</si>
  <si>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</si>
  <si>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</si>
  <si>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</si>
  <si>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ROBERTO MANUEL</t>
  </si>
  <si>
    <t>FUENTES</t>
  </si>
  <si>
    <t>LOPEZ LUGO</t>
  </si>
  <si>
    <t>DARIS VICTORIA</t>
  </si>
  <si>
    <t>BULA COGOLLO</t>
  </si>
  <si>
    <t xml:space="preserve">B/SANTA ELENA 1 MZ. Q LT 6 </t>
  </si>
  <si>
    <t>3204598419-3146182306 -3116805172</t>
  </si>
  <si>
    <t>MIERCOLES</t>
  </si>
  <si>
    <t>JUEVES</t>
  </si>
  <si>
    <t>INDEFINIDO                                                                        INICIA CON 20 SS A PARTIR DE 01/11/2018</t>
  </si>
  <si>
    <t>EDUARDO DE JESUS</t>
  </si>
  <si>
    <t>CARRASCAL DIAZ</t>
  </si>
  <si>
    <t>A PARTIR DEL 01 DE NOV Y HASTA EL 30 DE ABRIL 2019 SE AUMENTARAN LAS SS DE 20 SS A 40 SS MES ORDEN POR 6 MESES</t>
  </si>
  <si>
    <t>se INCIIA NUEVA ORDEN A PARTIR DEL 04/11/2018 Y HASTA FE  03/02/2019, CON TF 20, TO 20, TL 20, X 3 MESES 60 SS EN TOTAL DE C/U.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</si>
  <si>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</si>
  <si>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</si>
  <si>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</si>
  <si>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</si>
  <si>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</si>
  <si>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</si>
  <si>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</si>
  <si>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</si>
  <si>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</si>
  <si>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</si>
  <si>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</si>
  <si>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</si>
  <si>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</si>
  <si>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</si>
  <si>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MARCELO</t>
  </si>
  <si>
    <t>ROMERO BUELVAS</t>
  </si>
  <si>
    <t>PLANETA RICA B/LAURELES CLL 18 #4-40</t>
  </si>
  <si>
    <t>3102850208-3114187395</t>
  </si>
  <si>
    <t>12 ss mensuales c/u por 3 meses</t>
  </si>
  <si>
    <t>ISQUEMIA</t>
  </si>
  <si>
    <t>SAN ANDRES DE SOTAVENTO</t>
  </si>
  <si>
    <t>ZULEIMA GOMEZ</t>
  </si>
  <si>
    <t>CALLE CHIMA</t>
  </si>
  <si>
    <t>X 2 MESES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</si>
  <si>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</si>
  <si>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</si>
  <si>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</si>
  <si>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</si>
  <si>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</si>
  <si>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</si>
  <si>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</si>
  <si>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</si>
  <si>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</si>
  <si>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</si>
  <si>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</si>
  <si>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20 SS AL MES HASTA TERMINAR ORDEN  ULTIMO PAQUETE DE 10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</si>
  <si>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</si>
  <si>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</si>
  <si>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</si>
  <si>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</si>
  <si>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</si>
  <si>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</si>
  <si>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</si>
  <si>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</si>
  <si>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</si>
  <si>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</si>
  <si>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MARIA ANDREA</t>
  </si>
  <si>
    <t>LEGUIZAMON CARVAJAL</t>
  </si>
  <si>
    <t>CALLE 36 #14B-34</t>
  </si>
  <si>
    <t>JOSE ADAN</t>
  </si>
  <si>
    <t>REDONDO MORALES</t>
  </si>
  <si>
    <t>3135119068---3016843462</t>
  </si>
  <si>
    <t>TF 12 SS X MES X 4 MESES</t>
  </si>
  <si>
    <t>MANUEL MARIA</t>
  </si>
  <si>
    <t>MACHADO CASTRO</t>
  </si>
  <si>
    <t>CALLE 21 #8A-83 B/BALBOA</t>
  </si>
  <si>
    <t xml:space="preserve">TF 60 SS X MES X 4 MESES, </t>
  </si>
  <si>
    <t>BRIANA INFORMA QUE SE PUEDE INCIAR LAS SS CON EL CORREO ENVIADO POR MAIRA ALEJANDRA RICARDO PROMOTORA SALUD VIDA</t>
  </si>
  <si>
    <t>VIERNES</t>
  </si>
  <si>
    <t>EUNICE MARIA</t>
  </si>
  <si>
    <t>RESTAN DE GARCIA</t>
  </si>
  <si>
    <t>ENF. CONVULSIVA</t>
  </si>
  <si>
    <t>7839577- 3173627651</t>
  </si>
  <si>
    <t xml:space="preserve"> CALLE 29 N 16-124 B/PASATIEMPO</t>
  </si>
  <si>
    <t>MARIA AURORA</t>
  </si>
  <si>
    <t>BRISAS DEL SINU MZ 5 LOTE 6</t>
  </si>
  <si>
    <t>SOFIA JERONIMA</t>
  </si>
  <si>
    <t>VIDAL TORRES</t>
  </si>
  <si>
    <t>3045963178 - 7927490</t>
  </si>
  <si>
    <t>20 ss al mes x 3 meses</t>
  </si>
  <si>
    <t>B/juan XXIII cra 2 oeste  # 35-60</t>
  </si>
  <si>
    <t>HINCAPIE DE VELAZQUEZ</t>
  </si>
  <si>
    <t>RUTH DEL CARMEN</t>
  </si>
  <si>
    <t>BALETA NULE</t>
  </si>
  <si>
    <t>BRONQUITIS CRONICA</t>
  </si>
  <si>
    <t>B/EL EDEN DG 19 #15A-27</t>
  </si>
  <si>
    <t>3215432604-3225472898 LILIBETH</t>
  </si>
  <si>
    <t>CINDY DE LA OSSA</t>
  </si>
  <si>
    <t>NAIRA ERAZO</t>
  </si>
  <si>
    <t>NO TENEMOS PROF.</t>
  </si>
  <si>
    <t xml:space="preserve">Paciente con corte mesual  TF 20- TO 20 Y FONO 20    X 6 MESES </t>
  </si>
  <si>
    <t>CALLE 23 #6-41 B/SAN MARTIN</t>
  </si>
  <si>
    <t>3205156245-3014817953</t>
  </si>
  <si>
    <t xml:space="preserve"> ID</t>
  </si>
  <si>
    <t xml:space="preserve"> ORDEN EN CARPERA POR 6 MESES FI 01/12/2018 AL 30/05/2019, CON TF 20, TO 20, TL 20, TR 20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</si>
  <si>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</si>
  <si>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</si>
  <si>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</si>
  <si>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</si>
  <si>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</si>
  <si>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</si>
  <si>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</si>
  <si>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</si>
  <si>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</si>
  <si>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</si>
  <si>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</si>
  <si>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</si>
  <si>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</si>
  <si>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</si>
  <si>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</si>
  <si>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</si>
  <si>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</si>
  <si>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</si>
  <si>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</si>
  <si>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</si>
  <si>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</si>
  <si>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</si>
  <si>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</si>
  <si>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</si>
  <si>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</si>
  <si>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</si>
  <si>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</si>
  <si>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</si>
  <si>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</si>
  <si>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</si>
  <si>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</si>
  <si>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</si>
  <si>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</si>
  <si>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</si>
  <si>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</si>
  <si>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</si>
  <si>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</si>
  <si>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</si>
  <si>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MES UNO DEL 14 AL 17 DE DIC</t>
  </si>
  <si>
    <t>CRISTINA MARGARITA</t>
  </si>
  <si>
    <t>OLASCOAGA TORRES</t>
  </si>
  <si>
    <t>B/EL DORADO CALLE 25 # 12 W -25</t>
  </si>
  <si>
    <t>12 SSMES  X 3 MESES</t>
  </si>
  <si>
    <t>MYRYAM ODILI</t>
  </si>
  <si>
    <t>PINEDA DORIA</t>
  </si>
  <si>
    <t>B/LA PRADERA MZ 109 Lt 9 etapa 2</t>
  </si>
  <si>
    <t>AMELIA SOFIA</t>
  </si>
  <si>
    <t>ARSOBIA SOFIA</t>
  </si>
  <si>
    <t>ECHEVERRIA HERNANDEZ</t>
  </si>
  <si>
    <t xml:space="preserve"> HH</t>
  </si>
  <si>
    <t>LOS CORTES PASAN DEL 01 AL 30 INFO ELSITA 04/12/2018</t>
  </si>
  <si>
    <t>BRIANA INFORMA Q NOSOTROS SEGUIMOS PIDIENDO LAS TERAPIAS---- PACIENTE QUE INGRESA EL 17/08/2018 Y FINALIZA EL 16/02/2018</t>
  </si>
  <si>
    <t>EUNICE ISABEL</t>
  </si>
  <si>
    <t>MARTELO DE VELEZ</t>
  </si>
  <si>
    <t>7825087 NORIS MAMA</t>
  </si>
  <si>
    <t>FABRICIO CASTILLO</t>
  </si>
  <si>
    <t>MANUEL SIERRA</t>
  </si>
  <si>
    <t>No.</t>
  </si>
  <si>
    <t>FECHA</t>
  </si>
  <si>
    <t>PROFESIONAL</t>
  </si>
  <si>
    <t>08:30am</t>
  </si>
  <si>
    <t>Yennis Yohana Hidalgo</t>
  </si>
  <si>
    <t>REG. 233552-13</t>
  </si>
  <si>
    <t>CRONOGRAMA DE ATENCIÓN TERAPIA RESPIRATORIA Y FISICA DOMICILIARIA</t>
  </si>
  <si>
    <t>FISICA</t>
  </si>
  <si>
    <t>RESPIRATORIA</t>
  </si>
  <si>
    <t>El cronograma puede estar sujeto a modificaciones, dependiendo de los requerimientos de la paciente y previo acuerdo con el familiar de la usuaria.</t>
  </si>
  <si>
    <t>Jaime Javier Petro</t>
  </si>
  <si>
    <t>REG. 1074000180</t>
  </si>
  <si>
    <t>JORGE LUIS</t>
  </si>
  <si>
    <t xml:space="preserve">B/BONANZA MZ 6 LT 10 </t>
  </si>
  <si>
    <t>MARINA ISABEL</t>
  </si>
  <si>
    <t>LARA TORRES</t>
  </si>
  <si>
    <t>DOLOR ARTICULAR</t>
  </si>
  <si>
    <t>PACIETNE QUE NO SE ENCUENTRA EN SU DOMICILIO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</si>
  <si>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</si>
  <si>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</si>
  <si>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</si>
  <si>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</si>
  <si>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</si>
  <si>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</si>
  <si>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</si>
  <si>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</si>
  <si>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ZOILA MARGARITA</t>
  </si>
  <si>
    <t>HOYOS SOLER</t>
  </si>
  <si>
    <t>B/SAN JOSE Calle 34 #21-14</t>
  </si>
  <si>
    <t>3116913177-3145914321</t>
  </si>
  <si>
    <t>14/11/2018 AL 17/12/2018</t>
  </si>
  <si>
    <t xml:space="preserve">RUTH MARY </t>
  </si>
  <si>
    <t>ISAZA COGOLLO</t>
  </si>
  <si>
    <t>LINFEDEMA MSI</t>
  </si>
  <si>
    <t xml:space="preserve">Pajonal </t>
  </si>
  <si>
    <t>3104462201
3218059374</t>
  </si>
  <si>
    <t>20 SS X MES X 2 MESES</t>
  </si>
  <si>
    <t>EDINSON JOSE</t>
  </si>
  <si>
    <t>PETRO HERNANDEZ</t>
  </si>
  <si>
    <t>B/LA CAMPIÑA MZ A LT 20</t>
  </si>
  <si>
    <t>3103613799-3126404397</t>
  </si>
  <si>
    <t>20SS MES X 3 MESES</t>
  </si>
  <si>
    <t>calle 38 # 10-70 centro</t>
  </si>
  <si>
    <t xml:space="preserve">MIRIAM </t>
  </si>
  <si>
    <t>SALCEDO MUÑOZ</t>
  </si>
  <si>
    <t>TRANSV 13 B # 63-14</t>
  </si>
  <si>
    <t>PAQ 2 X 3 MESES (CUENTAS PARA EL FAMILIAR)</t>
  </si>
  <si>
    <t xml:space="preserve">LILIA </t>
  </si>
  <si>
    <t>GONZALEZ COGOLLO</t>
  </si>
  <si>
    <t>VILLA CIELO SECTOR EL ANHELO MZ 16 LT 4</t>
  </si>
  <si>
    <t>3126589904-3229320779</t>
  </si>
  <si>
    <t>16 SS POR MES X 3 MESES</t>
  </si>
  <si>
    <t>CESAR</t>
  </si>
  <si>
    <t>YANES GARCIA</t>
  </si>
  <si>
    <t>B/LA GLORIA TORRE 31 APTO 102</t>
  </si>
  <si>
    <t>BERNARDA ISABEL</t>
  </si>
  <si>
    <t>PEREZ AVILA</t>
  </si>
  <si>
    <t>FX EPIFISIS HUMERO</t>
  </si>
  <si>
    <t>3124150797-3208281951</t>
  </si>
  <si>
    <t>CALLE 1 EL CEDRO</t>
  </si>
  <si>
    <t>ENITH ANTONIA</t>
  </si>
  <si>
    <t>CARDENAS DE PENICHE</t>
  </si>
  <si>
    <t>3108239538-7815851</t>
  </si>
  <si>
    <t>CRA 13 A CALLE 2 B/SAN JUAN</t>
  </si>
  <si>
    <t>VDA CASA FLOREZ</t>
  </si>
  <si>
    <t>LORENIS GUZMAN</t>
  </si>
  <si>
    <t>3128106569- 3114375210</t>
  </si>
  <si>
    <t>INFORMA : JUAN CARLOS PADILLA informa via telefonica que la paciente va de vacaciones desde el 28/12/2018 hasta el 08/01/2019</t>
  </si>
  <si>
    <t>ARBOLETES</t>
  </si>
  <si>
    <t>ANDRES</t>
  </si>
  <si>
    <t>TORDECILLA SAN MARTIN</t>
  </si>
  <si>
    <t>3183268513-3206698707</t>
  </si>
  <si>
    <t>B/CAMPOMAR CALLE 31 #40-74</t>
  </si>
  <si>
    <t>DIEGO TOSCANO</t>
  </si>
  <si>
    <t xml:space="preserve"> SE REALIZA UNA ADICION DE TL 16 28/12/2018</t>
  </si>
  <si>
    <t>ELIDA JOSEFINA</t>
  </si>
  <si>
    <t>URUETA DE RIOS</t>
  </si>
  <si>
    <t>Calle 59 # 7-04 Barrio La Castellana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</si>
  <si>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</si>
  <si>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</si>
  <si>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</si>
  <si>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</si>
  <si>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</si>
  <si>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EDITH</t>
  </si>
  <si>
    <t>PUELLO PUELLO</t>
  </si>
  <si>
    <t>ANGELICA MARTINEZ</t>
  </si>
  <si>
    <t>TERESA DE JESUS</t>
  </si>
  <si>
    <t>MARTINEZ DE GARCES</t>
  </si>
  <si>
    <t>DIGNA ROSA</t>
  </si>
  <si>
    <t>PEÑATA DE RHENALS</t>
  </si>
  <si>
    <t>CA</t>
  </si>
  <si>
    <t>GARCES NEGRETE</t>
  </si>
  <si>
    <t>POP RT RODILLA</t>
  </si>
  <si>
    <t>B/GALILEA DG 2 # 10-26</t>
  </si>
  <si>
    <t>7840470-3012166488</t>
  </si>
  <si>
    <t>LUIS ALBERTO</t>
  </si>
  <si>
    <t>RUIZ PAYARES</t>
  </si>
  <si>
    <t>SECUELAS INFARTO CEREBRAL</t>
  </si>
  <si>
    <t>CRA 18 N 6 21 BARRIO SAN RAFAEL</t>
  </si>
  <si>
    <t>ESQUIZOFRENIA PARANOIDE</t>
  </si>
  <si>
    <t>FX TIBIAL</t>
  </si>
  <si>
    <t xml:space="preserve">B/CENTRO  # 6-48  </t>
  </si>
  <si>
    <t>LOPEZ ARTEAGA</t>
  </si>
  <si>
    <t>SANTA TERESA</t>
  </si>
  <si>
    <t>12 X MES X 3 MESES</t>
  </si>
  <si>
    <t xml:space="preserve">ME LA ENTREGA BRIANA 04/01/2019, DEBIDO A CONFUSION CON EL DR JAIME, Q NO ME ENTREGARON EL PACIENTE A TIEMPO </t>
  </si>
  <si>
    <t>SUAREZ SALGADO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</si>
  <si>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</si>
  <si>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</si>
  <si>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</si>
  <si>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</si>
  <si>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</si>
  <si>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</si>
  <si>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</si>
  <si>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</si>
  <si>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B/LIMONAR CALLE 34A #34A-40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</si>
  <si>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</si>
  <si>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</si>
  <si>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</si>
  <si>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</si>
  <si>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</si>
  <si>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</si>
  <si>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</si>
  <si>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</si>
  <si>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</si>
  <si>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</si>
  <si>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</si>
  <si>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</si>
  <si>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</si>
  <si>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</si>
  <si>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</si>
  <si>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</si>
  <si>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</si>
  <si>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</si>
  <si>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</si>
  <si>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</si>
  <si>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</si>
  <si>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</si>
  <si>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</si>
  <si>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</si>
  <si>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</si>
  <si>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</si>
  <si>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</si>
  <si>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</si>
  <si>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</si>
  <si>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</si>
  <si>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>BERTHA</t>
  </si>
  <si>
    <t>TEJADA DE RAMOS</t>
  </si>
  <si>
    <t>CALLE 11 #19-21 B/VENECIA</t>
  </si>
  <si>
    <t xml:space="preserve">TULIA ESTHER </t>
  </si>
  <si>
    <t>COGOLLO DE RUIZ</t>
  </si>
  <si>
    <t>DG 18 #5-4</t>
  </si>
  <si>
    <t>EDUARDO DEMETRIO</t>
  </si>
  <si>
    <t>SOFAN ASIAS</t>
  </si>
  <si>
    <t>OSTEOARTROSIS</t>
  </si>
  <si>
    <t>MZ 65 LT 4 ETP 7 B/LA PRADERA</t>
  </si>
  <si>
    <t>3135744345-3145782263</t>
  </si>
  <si>
    <t>FELICIA JACINTA</t>
  </si>
  <si>
    <t>UPARELA DE CORTES</t>
  </si>
  <si>
    <t>CALLE 18 # 14-08 B/VILLA LIBIA</t>
  </si>
  <si>
    <t>CAUCASIA</t>
  </si>
  <si>
    <t>CARMEN PEINADO</t>
  </si>
  <si>
    <t>pdte profesional</t>
  </si>
  <si>
    <t>CRA  7 # 23-12 B/CHUCHURUBI</t>
  </si>
  <si>
    <t>TR C/6H X 8 DIAS</t>
  </si>
  <si>
    <t>PUENTE 1 CALLE 17 #1B-18W APTO 102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</si>
  <si>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</si>
  <si>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</si>
  <si>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</si>
  <si>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</si>
  <si>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</si>
  <si>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 xml:space="preserve">Paciente con corte mesual  TF 20- TO 20 Y FONO 12    X 4 MESES </t>
  </si>
  <si>
    <t>LUZ MARINA</t>
  </si>
  <si>
    <t>CASTELLAR MEZA</t>
  </si>
  <si>
    <t>FX DE FEMUR DERECHO</t>
  </si>
  <si>
    <t>3015332180-3103611645</t>
  </si>
  <si>
    <t>CRA 4 #95-85 B/MOCARI LAS PARCELAS</t>
  </si>
  <si>
    <t>8 SS AL MES X 3 MESES</t>
  </si>
  <si>
    <t>se retomo la atención dela usuaria, el familiar manifiesta no estar de acuerdo con el Terapeuta Ocupacional NOEL ALARCON, quien es el que a venido realizandole el manejo durante todo el periodo de atención con nuestra entidad,  y solicita cambio del profesional, o manifiesta desistir  de las terapias ocupacionales. SE INFORMA A MUTUAL SER</t>
  </si>
  <si>
    <t>17/03/2019 AL 16/04/2019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</si>
  <si>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</si>
  <si>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</si>
  <si>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</si>
  <si>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</si>
  <si>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</si>
  <si>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</si>
  <si>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</si>
  <si>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</si>
  <si>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</si>
  <si>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</si>
  <si>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</si>
  <si>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JERONIMO</t>
  </si>
  <si>
    <t>CAUSIL OSORIO</t>
  </si>
  <si>
    <t>SEPSIS, NO ESPECIFICADA</t>
  </si>
  <si>
    <t>VDA SABANAL</t>
  </si>
  <si>
    <t>FIDEL ENRIQUE</t>
  </si>
  <si>
    <t>PEREZ MARTINEZ</t>
  </si>
  <si>
    <t xml:space="preserve">MARIA DE LA CONCEPCIÓN </t>
  </si>
  <si>
    <t>GUERRA GALVAN</t>
  </si>
  <si>
    <t>7837243-3205946501</t>
  </si>
  <si>
    <t xml:space="preserve"> BARRIO SANTA TERESITA CLL 2</t>
  </si>
  <si>
    <t>JUANA DEL CARMEN</t>
  </si>
  <si>
    <t>DIAZ POLO</t>
  </si>
  <si>
    <t>DG 18 #1-100 B/GRANJA</t>
  </si>
  <si>
    <t>3126196349-7837496</t>
  </si>
  <si>
    <t>ETILVIA</t>
  </si>
  <si>
    <t>QUINTERO DE CADENA</t>
  </si>
  <si>
    <t>CALLE 64 A # 7-04 urb. Mirefugio</t>
  </si>
  <si>
    <t xml:space="preserve">12  ss c/u x mes x Enero 12, febrero 12, marzo 16, </t>
  </si>
  <si>
    <t>JUAN DIEGO</t>
  </si>
  <si>
    <t>HERNANDEZ ESPITIA</t>
  </si>
  <si>
    <t>DISTROFIA MUSCULAR DE DUCHENNE</t>
  </si>
  <si>
    <t>KM 7 VIA CERETE</t>
  </si>
  <si>
    <t>10 SS AL MES X DOS MESES</t>
  </si>
  <si>
    <t xml:space="preserve">IRENE MARIA </t>
  </si>
  <si>
    <t>ABDALA MARTINEZ</t>
  </si>
  <si>
    <t>MATEO GOMEZ</t>
  </si>
  <si>
    <t>3226006856-8985826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</si>
  <si>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</si>
  <si>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</si>
  <si>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</si>
  <si>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</si>
  <si>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</si>
  <si>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</si>
  <si>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EDF INDIGO TORRE 3 APTO 810</t>
  </si>
  <si>
    <t>10 SS EN ENERO Y 20 SS EN FEBRERO</t>
  </si>
  <si>
    <t>revisar correo 03/01/2019 (autorizacion enero)</t>
  </si>
  <si>
    <t>Revisar correo 20/01/2019 (autorizacion febrero)</t>
  </si>
  <si>
    <t>3106649786-3012109861</t>
  </si>
  <si>
    <t xml:space="preserve">12 SS DICIEMBRE--------12 SS ENERO-----16 SS FEBRERO----- </t>
  </si>
  <si>
    <t>ESILDA DEL ROSARIO</t>
  </si>
  <si>
    <t>ROJAS ARIZAL</t>
  </si>
  <si>
    <t>CALLE 21 #3-20 B/GARZONES BUENAVENTURA</t>
  </si>
  <si>
    <t>3107391021-3187929373</t>
  </si>
  <si>
    <t>DILAN JAVIER</t>
  </si>
  <si>
    <t>VARGARA DIAZ</t>
  </si>
  <si>
    <t>CUADRIPLEJIA ESPASTICA</t>
  </si>
  <si>
    <t>3 PALMAS VIA TIERRALTA</t>
  </si>
  <si>
    <t>8 SS AL MES DE C/U  X 3 MESES</t>
  </si>
  <si>
    <r>
      <rPr>
        <b/>
        <sz val="11"/>
        <color theme="1"/>
        <rFont val="Calibri"/>
        <family val="2"/>
        <scheme val="minor"/>
      </rPr>
      <t>Pdte ENERO</t>
    </r>
    <r>
      <rPr>
        <sz val="11"/>
        <color theme="1"/>
        <rFont val="Calibri"/>
        <family val="2"/>
        <scheme val="minor"/>
      </rPr>
      <t xml:space="preserve"> 6TO, 1TL, 30TF, 30TR, el dia 28/12/2018 a realizar durante el mes de enero 2019 y una valoración por fonoaudiologia autorizada el 15/01/2019                                                </t>
    </r>
    <r>
      <rPr>
        <b/>
        <sz val="11"/>
        <color theme="1"/>
        <rFont val="Calibri"/>
        <family val="2"/>
        <scheme val="minor"/>
      </rPr>
      <t xml:space="preserve">PDTE FEBRERO </t>
    </r>
    <r>
      <rPr>
        <sz val="11"/>
        <color theme="1"/>
        <rFont val="Calibri"/>
        <family val="2"/>
        <scheme val="minor"/>
      </rPr>
      <t xml:space="preserve"> TO60, TF60, TL60, POR 4 MESES INICIA EL 01/02/2019 AL 30/05/2019</t>
    </r>
  </si>
  <si>
    <t>ZELIDETH ELIONOR</t>
  </si>
  <si>
    <t>PETRO DE ARGEL</t>
  </si>
  <si>
    <t>VERTIGO</t>
  </si>
  <si>
    <t xml:space="preserve">B/LA ESPERANZA </t>
  </si>
  <si>
    <t>3007716264 - 3002110777</t>
  </si>
  <si>
    <t>17/12/2018 AL 18/01/2019</t>
  </si>
  <si>
    <t>EUNICE DEL CARMEN</t>
  </si>
  <si>
    <t>ROMAN BELTRAN</t>
  </si>
  <si>
    <t>FX SUBTROCANTERICA</t>
  </si>
  <si>
    <t>3127209890-3205723722</t>
  </si>
  <si>
    <t>LOS CORRALES</t>
  </si>
  <si>
    <t>ELA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</si>
  <si>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</si>
  <si>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</si>
  <si>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</si>
  <si>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</si>
  <si>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</si>
  <si>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</si>
  <si>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DOMINGA</t>
  </si>
  <si>
    <t>NARVAEZ CORREA</t>
  </si>
  <si>
    <t>B/SAN SEBASTIAN</t>
  </si>
  <si>
    <t>TATIANA QUIÑONEZ</t>
  </si>
  <si>
    <t xml:space="preserve">Del 28/01/2019 al 05/02/2019:   8 ss 
Del 06/02/2019 al 05/03/2019:  24 ss 
Del 06/03/2019 al 05/04/2019:  24 ss 
Del 06/04/2019 al 05/05/2019:  16 ss 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</si>
  <si>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</si>
  <si>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</si>
  <si>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</si>
  <si>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</si>
  <si>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</si>
  <si>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</si>
  <si>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</si>
  <si>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</si>
  <si>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hospitalizado infomra tL leidy 09/01/2019 al 22/01/2019, y vuelve a urgencias el 23/01/2019</t>
  </si>
  <si>
    <t>NO HAY PROFESIONAL</t>
  </si>
  <si>
    <t>MARTHA LUCIA</t>
  </si>
  <si>
    <t>GOMEZ CHAPARRO</t>
  </si>
  <si>
    <t>GLIOBLASTOMA MULTIFORME</t>
  </si>
  <si>
    <t>B/VILLA CAMPESTRE CALLE 47 # 15 B- 06</t>
  </si>
  <si>
    <t>3154905263-3158322322</t>
  </si>
  <si>
    <t>TERMINA EN FEBRERO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</si>
  <si>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</si>
  <si>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</si>
  <si>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</si>
  <si>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</si>
  <si>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</si>
  <si>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VIRGINIA</t>
  </si>
  <si>
    <t>OVIEDO CAMAÑO</t>
  </si>
  <si>
    <t>EXTENSIÓN 8 DIAS</t>
  </si>
  <si>
    <t xml:space="preserve">CALLE 3  CRA 12 B # 5 A </t>
  </si>
  <si>
    <t>MARITZA DEL CARMEN</t>
  </si>
  <si>
    <t>POSADA TORRES</t>
  </si>
  <si>
    <t>CALLE 41 #7-20 B/NARIÑO</t>
  </si>
  <si>
    <t>7811453-3014372139</t>
  </si>
  <si>
    <t>Se acuerda con la jefe kelly  30/01/2019, que debido a que la paciente salio tarde se w de la siguiente manera: TF24 2 diaria, TR24 c/12h. Todo por 12 dias. Posterior a esto incia nuevo paquete</t>
  </si>
  <si>
    <t>40 ss por enero, 40 ss por febrero</t>
  </si>
  <si>
    <t>ANA MANUELA</t>
  </si>
  <si>
    <t>ARRIETA ALMANZA</t>
  </si>
  <si>
    <t>B/LA GRANJA DG 20 #1-98</t>
  </si>
  <si>
    <t>3136053750-3126737479</t>
  </si>
  <si>
    <t>SECUELAS DE TEC</t>
  </si>
  <si>
    <t>MARIA GREGORIA</t>
  </si>
  <si>
    <t>BARRIOS PUELLO</t>
  </si>
  <si>
    <t>MZ 41 LT 21 B/CANTACLARO</t>
  </si>
  <si>
    <t>3014785198-3145865317</t>
  </si>
  <si>
    <t>ROSA</t>
  </si>
  <si>
    <t>DIAZ DE SARMIENTO</t>
  </si>
  <si>
    <t>FX FEMUR IZQ</t>
  </si>
  <si>
    <t>URB BONANZA CALLE 31 # 39-60</t>
  </si>
  <si>
    <t>7858877-3106242516</t>
  </si>
  <si>
    <t>JUANA</t>
  </si>
  <si>
    <t>MERCADO DE FUENTES</t>
  </si>
  <si>
    <t>FX CUELLO DE FEMUR</t>
  </si>
  <si>
    <t>3215227496 - 3122617281</t>
  </si>
  <si>
    <t>Villa cielo Mz 28 Lt18</t>
  </si>
  <si>
    <t xml:space="preserve">HERNAN MANUEL </t>
  </si>
  <si>
    <t>LOZANO PETRO</t>
  </si>
  <si>
    <t>EL CHIQUI</t>
  </si>
  <si>
    <t>3118817083-3135180459</t>
  </si>
  <si>
    <t>DESIDERIO DORIA</t>
  </si>
  <si>
    <t>RAQUEL DE LOS SANTOS</t>
  </si>
  <si>
    <t>GOMEZ SUAREZ</t>
  </si>
  <si>
    <t>CALLE 59 #9-60 B/LA CASTELLANA</t>
  </si>
  <si>
    <t>3116880200-3106210534</t>
  </si>
  <si>
    <t>SE FACTURA EN MARZO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</si>
  <si>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</si>
  <si>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</si>
  <si>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</si>
  <si>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</si>
  <si>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</si>
  <si>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</si>
  <si>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</si>
  <si>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</si>
  <si>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</si>
  <si>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FT AURA INFORMA Q LA PTE ESTA DELICADA 06/02/2019</t>
  </si>
  <si>
    <t>PDTE EVENTO 06/02/2019 CON TO 20, TL 20, TF 8 QUE VENCEN EL 28/02/2019 +PAQ CRONICO</t>
  </si>
  <si>
    <t>AUTORIZACIÓN 06/02/2018 EVENTO: TF 8, TO 20, TL 20 FINALIZA EL 28/02/2019 + PAQ CRONICO</t>
  </si>
  <si>
    <t>SOL ARIZA</t>
  </si>
  <si>
    <t>Pdte autorización  06/02/2018 evento 20 tf, 20 to, para febrero + PAQ CRONICO 12 TL</t>
  </si>
  <si>
    <t xml:space="preserve"> TF 20 SS EN FEBRERO Y TF 20 SS EN MARZO.</t>
  </si>
  <si>
    <t>15ss feb + 15ss marzo</t>
  </si>
  <si>
    <t>CENOVIA ALMANZA</t>
  </si>
  <si>
    <t>160000, la terapueta maniniesta que el paciente no desea hacerse mas terapais06/02/2019</t>
  </si>
  <si>
    <t>PDTE VALORACIÓN POR ESPECIALISTA</t>
  </si>
  <si>
    <t>VALORACIONES</t>
  </si>
  <si>
    <t xml:space="preserve">PAQUETE X 4 MESES INICIA EL 01/01/2019 Y FINALIZA 30/04/2019 CON TF Y TL 20SS DE C/U MENSUALES </t>
  </si>
  <si>
    <t>B/SAN JOSE CALLE 9 # 10-09    3218279582</t>
  </si>
  <si>
    <t>CRA 11 # 16-116 B/EL EDEN 3224515743-7644176</t>
  </si>
  <si>
    <t xml:space="preserve">ANGELICA MARTINEZ </t>
  </si>
  <si>
    <t xml:space="preserve">CALLE 7 #7A-59 B/SAN JOSE3016063945-3145171025 </t>
  </si>
  <si>
    <t>MARTINEZ DE MEDINA</t>
  </si>
  <si>
    <t>CIENAGA</t>
  </si>
  <si>
    <t>ELEODORO ENRIQUE</t>
  </si>
  <si>
    <t>BERRIO CUELLO</t>
  </si>
  <si>
    <t>B/NUEVA ESPERANZA MZ 24 LT 34</t>
  </si>
  <si>
    <t>3137765506-3233178895</t>
  </si>
  <si>
    <t>PDTE ORDEN DEL 07/02/2019 CON TF20, TL20, FI18/02/2019 Y FE17/03/2019</t>
  </si>
  <si>
    <t>JOSE JERONIMO</t>
  </si>
  <si>
    <t>BENITEZ PITALUA</t>
  </si>
  <si>
    <t>UNICOR</t>
  </si>
  <si>
    <t>NEUMONIA NO ESPEFICA</t>
  </si>
  <si>
    <t>CALLE 2 #4-37 B/20 JULIO</t>
  </si>
  <si>
    <t>3104545407-3105204553</t>
  </si>
  <si>
    <t>TR C/12 H  X 5 DIAS</t>
  </si>
  <si>
    <t>SE HOSPITALIZA INFORMA 02/02/2019 al 08/02/2019 INFORMA JEFE KELLY</t>
  </si>
  <si>
    <t>ELVIA CRISTINA</t>
  </si>
  <si>
    <t>VERGARA DE PORTACIO</t>
  </si>
  <si>
    <t>3215473774 - 3103629338</t>
  </si>
  <si>
    <t>CRRA 8 # 40- 34 BARRIO NARIÑO</t>
  </si>
  <si>
    <t>nueva orden entrega por la jefe yesenia 04/02/2019</t>
  </si>
  <si>
    <t>GLECIA ELENA</t>
  </si>
  <si>
    <t>YEPES DE SEPULVEDA</t>
  </si>
  <si>
    <t xml:space="preserve">calle 6 # 17-33 Barrio Alto Prado </t>
  </si>
  <si>
    <t>$16000 POR SESION</t>
  </si>
  <si>
    <t>ORDEN ENTREGADA EL 8/02/2019 Y VALIDA POR EL MES DE FEBRERO</t>
  </si>
  <si>
    <t>BEATRIZ MARIA</t>
  </si>
  <si>
    <t>QUIÑONEZ DIAZ</t>
  </si>
  <si>
    <t>CLL 37 N°6W-18 JUAN 23</t>
  </si>
  <si>
    <t>MARIA CAROLINA BARCO</t>
  </si>
  <si>
    <t>ORDEN VIGENTE DESDE EL 01/02/2019 AL 31/05/2019, CON TO 20, TL 20,  X 4 MESES</t>
  </si>
  <si>
    <t>ANA GABRIELA</t>
  </si>
  <si>
    <t>BUELVAS DORIA</t>
  </si>
  <si>
    <t>B/MI RANCHITO MZ 53 LT 26</t>
  </si>
  <si>
    <t>3153372901- 310488750</t>
  </si>
  <si>
    <t>pdte orden en carpeta de 15 ss traida el 11/02/2019 con FI 21/02/2019 y FE 20/03/2019</t>
  </si>
  <si>
    <t>pdte orden en carpeta de 30 ss TF, para iniciar a partir del 12/02/2019 y finalizar el 28/02/2019.</t>
  </si>
  <si>
    <t>MARIA ANTONIA</t>
  </si>
  <si>
    <t>ISSA BUELVAS</t>
  </si>
  <si>
    <t>COOMEVA PREPAGADA</t>
  </si>
  <si>
    <t>RINITIS ALERGINA NO ESPECIFICADA</t>
  </si>
  <si>
    <t xml:space="preserve">B/CANDELARIA </t>
  </si>
  <si>
    <t>pdte orden para entregar al dr jaime; traida el 12/02/2019 con TF 20 y TO20 para inciar una vez finalicen las anteriores.</t>
  </si>
  <si>
    <t>YERLY ISABEL</t>
  </si>
  <si>
    <t>JIMENEZ MENDOZA</t>
  </si>
  <si>
    <t>LEUCEMIA MIELOIDE CRONICA</t>
  </si>
  <si>
    <t>B/6 MARZO CALLE 9 #20-22</t>
  </si>
  <si>
    <t>PDTE PAQ CRONICO 06/02/2019 + evento 12/02/2019 TL16SS, TO20SS</t>
  </si>
  <si>
    <t>hospitalizada informa la FT biavelsi 12/02/2019, desde el 09/02/2019</t>
  </si>
  <si>
    <t>cALLE PRINCIPAL CIENAGA DE ORO</t>
  </si>
  <si>
    <t>SABAS DE LOS SANTOS</t>
  </si>
  <si>
    <t>TUIRAN VARGAS</t>
  </si>
  <si>
    <t>INES</t>
  </si>
  <si>
    <t>BEDOYA BANDA</t>
  </si>
  <si>
    <t>NUEVAEPS</t>
  </si>
  <si>
    <t>SX DE DIFICULTAD RESPIRTORIA</t>
  </si>
  <si>
    <t>B/POLICARPA DG 7 #2A-80</t>
  </si>
  <si>
    <t>3145602957-3225237387</t>
  </si>
  <si>
    <t>TR C/4H X 7 DIAS</t>
  </si>
  <si>
    <t>ANA ISABEL</t>
  </si>
  <si>
    <t>ARGUMEDO DE SIBAJA</t>
  </si>
  <si>
    <t>B/JUAN XXIII CALLE 6W-28</t>
  </si>
  <si>
    <t>3003423507-7951599</t>
  </si>
  <si>
    <t>se realiza cambio de fecha de corte a partir del 07 FEB 2019</t>
  </si>
  <si>
    <t>fallece informa jefe yesenia  13/02/2019</t>
  </si>
  <si>
    <t xml:space="preserve">PCTE QUE INCIA EL 10/10/2018 CON 12 SS </t>
  </si>
  <si>
    <t>ORDEN QUE INICIA EL 01/02/2019 Y FINALIZA EL 30/04/2019  60 ss de c/u</t>
  </si>
  <si>
    <t xml:space="preserve">DELMIRO </t>
  </si>
  <si>
    <t>VARGAS VARGAS</t>
  </si>
  <si>
    <t>MIELITIS+VIH</t>
  </si>
  <si>
    <t>MZ C LT48 B/EL ALIVIO</t>
  </si>
  <si>
    <t>3007360240-3116594036</t>
  </si>
  <si>
    <t>PAQ 01/02/2019 VALIDO HASTA EL 31/07/2019 X 6 MESES 30 SS MENSUALES, 180 TOTAL</t>
  </si>
  <si>
    <t>GOMEZ ALMANZA</t>
  </si>
  <si>
    <t>DG 4 # 6-84 B/LA GRANJA</t>
  </si>
  <si>
    <t>TOVAR DE RAMIREZ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</si>
  <si>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</si>
  <si>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</si>
  <si>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</si>
  <si>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</si>
  <si>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CORREGIMIENTO TIERRALTA 3045275457 - 3116746879</t>
  </si>
  <si>
    <t>20 SS X MES X 4 MESES del 16/10/2018 al  28/02/2019</t>
  </si>
  <si>
    <t>CASERIO MORALITO 3214007401-3135272095-3235167595</t>
  </si>
  <si>
    <t xml:space="preserve">B/LOS RECUERDOS MZ A TORRE 2 3007984914 </t>
  </si>
  <si>
    <t>ORDEN POR 3 MESES  DEL 1/01/2019 AL 30/03/2019</t>
  </si>
  <si>
    <t>ORDEN POR 4 MESES  DEL 1/02/2019 AL 31/05/2019</t>
  </si>
  <si>
    <t>SE FUE PARA MEDELLIN</t>
  </si>
  <si>
    <t>B/la inmaculada cRa 4 g # 15 - 42      3135985452-3145959770</t>
  </si>
  <si>
    <t>B/EL MOGAMBO MZ. 11 LOTE 04     3225970377</t>
  </si>
  <si>
    <t>VDA EL VIRAL CRA 3 CALLE 5 #1-53       3104586228-3126350322</t>
  </si>
  <si>
    <t>16 SS AL MES X 6 MESES                                               FECHA DE INICIO 12/02/2019 Y FINALIZA EL 11/08/2019</t>
  </si>
  <si>
    <t xml:space="preserve">LA TRESPIRATORIA ESTA POR RAZON NECESARIA                               </t>
  </si>
  <si>
    <t>PEDIR PCTE MES A MES     AUTORIZADO FEBRERO</t>
  </si>
  <si>
    <t>se realiza TF c/12h  por orden medica</t>
  </si>
  <si>
    <t>MZ 8 LT 13 B/SANTA FE    3215326011</t>
  </si>
  <si>
    <t>B/PASATIEMPO CALLE 24 #19-30 CASA 2         3007641513</t>
  </si>
  <si>
    <t>B/LA GRANJA DGNAL 22 4-45       3013110979</t>
  </si>
  <si>
    <t>PAQUETE X 6 MESES: INICIA  15/02/2019 AL 31/07/2019</t>
  </si>
  <si>
    <t>IDALIDES</t>
  </si>
  <si>
    <t>PACHECO LOPEZ</t>
  </si>
  <si>
    <t>BRONCONEUMONIA</t>
  </si>
  <si>
    <t>3135261421-3124533790</t>
  </si>
  <si>
    <t>MZ 5 LT 4 BR REPUBLICA DE PANAMA</t>
  </si>
  <si>
    <t>CAMILA ANTONIA</t>
  </si>
  <si>
    <t>MUÑOZ LARA</t>
  </si>
  <si>
    <t>TR C/4 H X 6 DIAS</t>
  </si>
  <si>
    <t>SDRA</t>
  </si>
  <si>
    <t>Orden vigente de forma permanente</t>
  </si>
  <si>
    <t xml:space="preserve">1 Valoración por TS durate el mes de febrero 2019. </t>
  </si>
  <si>
    <t>LUIS GUILLERMO</t>
  </si>
  <si>
    <t>FABRA NEGRETE</t>
  </si>
  <si>
    <t>MZ I BLOQUE5 APTO 108 B/LOS RECUERDOS</t>
  </si>
  <si>
    <t>3135165579-3135328837</t>
  </si>
  <si>
    <t>MARIA GUILLERMINA</t>
  </si>
  <si>
    <t>VARGAS GONZALEZ</t>
  </si>
  <si>
    <t xml:space="preserve">barrio los Robles 2 mz p lote 24 </t>
  </si>
  <si>
    <t>3145880355- 3103537488</t>
  </si>
  <si>
    <t>MAIRA ALEJANDRA</t>
  </si>
  <si>
    <t>PADILLA ROMERO</t>
  </si>
  <si>
    <t>CALLE 23 CRA 13 APTO 26 B/EL DORADO</t>
  </si>
  <si>
    <t>3145961484-3206708010</t>
  </si>
  <si>
    <t>12 SS X MES X 3 MESES</t>
  </si>
  <si>
    <t>Pdte orden que inicia el 01/03/2019 al 31/05/2019, vigente por 3 meses con TF 20 y TL 20</t>
  </si>
  <si>
    <t>FALLECE informa jefe yesenia  18/02/2019</t>
  </si>
  <si>
    <t>B/CHUCHURIBI</t>
  </si>
  <si>
    <t>NO SE A PODIDO INICIAR DEBIDO A Q SE ENCUENTRA EN SINCELEJO Y UNA VEZ LLEGA SE HOPITALIZA</t>
  </si>
  <si>
    <t>CARMELO JESUS</t>
  </si>
  <si>
    <t>ARGEL DAZA</t>
  </si>
  <si>
    <t>QUEMADURA</t>
  </si>
  <si>
    <t xml:space="preserve">PACIENTE RECIBIDO DE LA JEFE YESENIA 18/02/2019 POR 1 MES </t>
  </si>
  <si>
    <t>FERNANDO DIONISIO</t>
  </si>
  <si>
    <t>AVILEZ HUMANEZ</t>
  </si>
  <si>
    <t>CEDULA</t>
  </si>
  <si>
    <t>COMPRESION RADICULAR</t>
  </si>
  <si>
    <t>21/01/2019 AL 19/02/2019</t>
  </si>
  <si>
    <t>20/02/2019 AL 19/03/2019</t>
  </si>
  <si>
    <t>KRA 7 N. 7-95 B/ EL PORVERNIR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</si>
  <si>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</si>
  <si>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</si>
  <si>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</si>
  <si>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</si>
  <si>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</si>
  <si>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</si>
  <si>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</si>
  <si>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</si>
  <si>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</si>
  <si>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</si>
  <si>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</si>
  <si>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</si>
  <si>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EDITH DEL CARMEN</t>
  </si>
  <si>
    <t>BALLESTERO DE HOYOS</t>
  </si>
  <si>
    <t>DORSALGIA</t>
  </si>
  <si>
    <t>CALLE 6 # 18-46 B/6 MARZO</t>
  </si>
  <si>
    <t>3116558216-3126717584</t>
  </si>
  <si>
    <t xml:space="preserve">ORDEN VIGENTE POR 6 MESES DESDE FEBRERO A JULIO DE 2019. RECIBIDA EL 20/02/2019 CON TF 20, TL20, TR 60 POR MES </t>
  </si>
  <si>
    <t>PDTE ORDEN DEL 20/02/2019 EN CARPETA CON TF12 Y TO12 X 3 MESES PARA INICIAR UNA VEZ TERMINE LA ANTERIOR 08/04/2019</t>
  </si>
  <si>
    <r>
      <t xml:space="preserve">21/09/2018 </t>
    </r>
    <r>
      <rPr>
        <b/>
        <sz val="11"/>
        <color theme="1"/>
        <rFont val="Calibri"/>
        <family val="2"/>
        <scheme val="minor"/>
      </rPr>
      <t>16 TF;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2018-10-19 </t>
    </r>
    <r>
      <rPr>
        <b/>
        <sz val="11"/>
        <color theme="1"/>
        <rFont val="Calibri"/>
        <family val="2"/>
        <scheme val="minor"/>
      </rPr>
      <t>16TF,</t>
    </r>
    <r>
      <rPr>
        <sz val="11"/>
        <color theme="1"/>
        <rFont val="Calibri"/>
        <family val="2"/>
        <scheme val="minor"/>
      </rPr>
      <t xml:space="preserve"> 16TS, 16TO;                                                    2018-11-30 </t>
    </r>
    <r>
      <rPr>
        <b/>
        <sz val="11"/>
        <color theme="1"/>
        <rFont val="Calibri"/>
        <family val="2"/>
        <scheme val="minor"/>
      </rPr>
      <t>16TF</t>
    </r>
    <r>
      <rPr>
        <sz val="11"/>
        <color theme="1"/>
        <rFont val="Calibri"/>
        <family val="2"/>
        <scheme val="minor"/>
      </rPr>
      <t xml:space="preserve">, 16TS, 16TO;                                                    2019-02-05 </t>
    </r>
    <r>
      <rPr>
        <b/>
        <sz val="11"/>
        <color theme="1"/>
        <rFont val="Calibri"/>
        <family val="2"/>
        <scheme val="minor"/>
      </rPr>
      <t>16TF</t>
    </r>
    <r>
      <rPr>
        <sz val="11"/>
        <color theme="1"/>
        <rFont val="Calibri"/>
        <family val="2"/>
        <scheme val="minor"/>
      </rPr>
      <t xml:space="preserve">, 16TS, 16TO, 16 TL;                                        </t>
    </r>
  </si>
  <si>
    <t>se realiza una adicion a la TR C/4H x 7 dias  FI 10/02/2019 + TR C/12H X 7 DIAS FI 21/02/2019</t>
  </si>
  <si>
    <t>TERAPIA OCUPACIONAL</t>
  </si>
  <si>
    <t>TERAPIA FONOAUDIOLOGICA</t>
  </si>
  <si>
    <t>TERAPIA FISICA - RESPIRATORIA</t>
  </si>
  <si>
    <t>PERMANENTES</t>
  </si>
  <si>
    <t>EVENTOS</t>
  </si>
  <si>
    <t>TERAPIA FISICA, RESPIRATORIA</t>
  </si>
  <si>
    <t xml:space="preserve">PUERTO LIBERTADOR </t>
  </si>
  <si>
    <t>TOTALES</t>
  </si>
  <si>
    <t>EVENTOS OTRAS EPS</t>
  </si>
  <si>
    <t xml:space="preserve">PERMANENTES EPS </t>
  </si>
  <si>
    <t>2,200,00   X   250 SS</t>
  </si>
  <si>
    <t>2,000,000  X   250 SS</t>
  </si>
  <si>
    <t>2,000,000  X 250  SS</t>
  </si>
  <si>
    <t>Pdte orden para iniciar el 12/03/2019 AL 11/07/2019 vigente por 4 meses, con TF20, TL 20, TO 20</t>
  </si>
  <si>
    <t>KM 27 VIA PLANETA RICA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</si>
  <si>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</si>
  <si>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</si>
  <si>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</si>
  <si>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</si>
  <si>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</si>
  <si>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</si>
  <si>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</si>
  <si>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</si>
  <si>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</si>
  <si>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</si>
  <si>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</si>
  <si>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MARIA VALENTINA</t>
  </si>
  <si>
    <t>GARCIA GOMEZ</t>
  </si>
  <si>
    <t>MZ 22 LT 31 B/RANCHO GRANDE</t>
  </si>
  <si>
    <t>FINALIZA EN MARZO</t>
  </si>
  <si>
    <t xml:space="preserve">PDTE ORDEN DEL 18/02/2019 DE 45 SS TF, PARA REALIZAR 20 EN MARZO Y 15 EN ABRIL </t>
  </si>
  <si>
    <r>
      <t xml:space="preserve">ORDEN POR 3 MESES QUE INICIA EL 07/12/2018 Y FINALIZA EL 06/03/2019 - </t>
    </r>
    <r>
      <rPr>
        <b/>
        <sz val="11"/>
        <color theme="1"/>
        <rFont val="Calibri"/>
        <family val="2"/>
        <scheme val="minor"/>
      </rPr>
      <t>pdte orden por 1 mes con 12 tl y 20 tf fecha de inicio 07/03/2019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</si>
</sst>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164" formatCode="&quot;$&quot;\ #,##0"/>
    <numFmt numFmtId="165" formatCode="&quot;$&quot;\ #,##0;[Red]&quot;$&quot;\ #,##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3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wrapText="1"/>
    </xf>
    <xf numFmtId="0" fontId="0" fillId="6" borderId="38" xfId="0" applyFill="1" applyBorder="1" applyAlignment="1">
      <alignment horizontal="center" wrapText="1"/>
    </xf>
    <xf numFmtId="0" fontId="0" fillId="6" borderId="29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3" borderId="35" xfId="0" applyFill="1" applyBorder="1" applyAlignment="1">
      <alignment horizont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6" fillId="5" borderId="1" xfId="0" applyFont="1" applyFill="1" applyBorder="1" applyAlignment="1">
      <alignment horizontal="center" vertical="center"/>
    </xf>
    <xf numFmtId="20" fontId="16" fillId="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15" fillId="0" borderId="0" xfId="0" applyFont="1" applyFill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3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164" fontId="0" fillId="9" borderId="2" xfId="0" applyNumberFormat="1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wrapText="1"/>
    </xf>
    <xf numFmtId="0" fontId="1" fillId="10" borderId="23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wrapText="1"/>
    </xf>
    <xf numFmtId="0" fontId="21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4" xfId="0" applyFill="1" applyBorder="1" applyAlignment="1">
      <alignment wrapText="1"/>
    </xf>
    <xf numFmtId="0" fontId="0" fillId="17" borderId="3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vertical="center" wrapText="1"/>
    </xf>
    <xf numFmtId="14" fontId="0" fillId="17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19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 wrapText="1"/>
    </xf>
    <xf numFmtId="0" fontId="0" fillId="14" borderId="8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17" fontId="0" fillId="12" borderId="1" xfId="0" applyNumberFormat="1" applyFont="1" applyFill="1" applyBorder="1" applyAlignment="1">
      <alignment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1" fontId="0" fillId="12" borderId="7" xfId="0" applyNumberForma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14" fontId="12" fillId="1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2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18" borderId="48" xfId="0" applyFont="1" applyFill="1" applyBorder="1" applyAlignment="1">
      <alignment horizontal="center" vertical="center" wrapText="1"/>
    </xf>
    <xf numFmtId="0" fontId="24" fillId="18" borderId="49" xfId="0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4" fontId="17" fillId="0" borderId="49" xfId="0" applyNumberFormat="1" applyFont="1" applyBorder="1" applyAlignment="1">
      <alignment horizontal="justify" vertical="center" wrapText="1"/>
    </xf>
    <xf numFmtId="0" fontId="17" fillId="0" borderId="49" xfId="0" applyFont="1" applyBorder="1" applyAlignment="1">
      <alignment horizontal="justify" vertical="center" wrapText="1"/>
    </xf>
    <xf numFmtId="0" fontId="24" fillId="18" borderId="45" xfId="0" applyFont="1" applyFill="1" applyBorder="1" applyAlignment="1">
      <alignment vertical="center" wrapText="1"/>
    </xf>
    <xf numFmtId="0" fontId="24" fillId="18" borderId="47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13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17" borderId="39" xfId="0" applyFont="1" applyFill="1" applyBorder="1" applyAlignment="1">
      <alignment vertical="center" wrapText="1"/>
    </xf>
    <xf numFmtId="0" fontId="1" fillId="17" borderId="41" xfId="0" applyFont="1" applyFill="1" applyBorder="1" applyAlignment="1">
      <alignment vertical="center" wrapText="1"/>
    </xf>
    <xf numFmtId="0" fontId="1" fillId="17" borderId="1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1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5" fillId="17" borderId="19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 wrapText="1"/>
    </xf>
    <xf numFmtId="0" fontId="28" fillId="0" borderId="0" xfId="0" applyFont="1" applyFill="1" applyAlignment="1">
      <alignment horizontal="center" textRotation="255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3" borderId="3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wrapText="1"/>
    </xf>
    <xf numFmtId="0" fontId="1" fillId="10" borderId="23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3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0" xfId="0" applyFill="1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31" xfId="0" applyFill="1" applyBorder="1" applyAlignment="1">
      <alignment vertical="center" wrapText="1"/>
    </xf>
    <xf numFmtId="0" fontId="0" fillId="6" borderId="32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wrapText="1"/>
    </xf>
    <xf numFmtId="0" fontId="0" fillId="6" borderId="41" xfId="0" applyFill="1" applyBorder="1" applyAlignment="1">
      <alignment horizontal="center" wrapText="1"/>
    </xf>
    <xf numFmtId="0" fontId="0" fillId="12" borderId="43" xfId="0" applyFill="1" applyBorder="1" applyAlignment="1">
      <alignment horizontal="left" vertical="center" wrapText="1"/>
    </xf>
    <xf numFmtId="0" fontId="0" fillId="12" borderId="4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2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0" fillId="16" borderId="2" xfId="0" applyNumberForma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14" fontId="0" fillId="0" borderId="13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14" fontId="0" fillId="0" borderId="15" xfId="0" applyNumberForma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4" fontId="0" fillId="16" borderId="44" xfId="0" applyNumberFormat="1" applyFill="1" applyBorder="1" applyAlignment="1">
      <alignment horizontal="center" vertical="center" wrapText="1"/>
    </xf>
    <xf numFmtId="14" fontId="0" fillId="16" borderId="43" xfId="0" applyNumberFormat="1" applyFill="1" applyBorder="1" applyAlignment="1">
      <alignment horizontal="center" vertical="center" wrapText="1"/>
    </xf>
    <xf numFmtId="0" fontId="0" fillId="16" borderId="43" xfId="0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14" fontId="22" fillId="16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14" fontId="0" fillId="21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14" fontId="0" fillId="21" borderId="1" xfId="0" applyNumberFormat="1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21" borderId="1" xfId="0" applyFont="1" applyFill="1" applyBorder="1" applyAlignment="1">
      <alignment horizontal="center" vertical="center" wrapText="1"/>
    </xf>
    <xf numFmtId="0" fontId="0" fillId="21" borderId="7" xfId="0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21" borderId="1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 wrapText="1"/>
    </xf>
    <xf numFmtId="0" fontId="0" fillId="21" borderId="14" xfId="0" applyFill="1" applyBorder="1" applyAlignment="1">
      <alignment horizontal="center" vertical="center" wrapText="1"/>
    </xf>
    <xf numFmtId="0" fontId="0" fillId="21" borderId="14" xfId="0" applyFont="1" applyFill="1" applyBorder="1" applyAlignment="1">
      <alignment horizontal="center" vertical="center" wrapText="1"/>
    </xf>
    <xf numFmtId="14" fontId="0" fillId="21" borderId="13" xfId="0" applyNumberFormat="1" applyFill="1" applyBorder="1" applyAlignment="1">
      <alignment horizontal="center" vertical="center" wrapText="1"/>
    </xf>
    <xf numFmtId="0" fontId="0" fillId="21" borderId="13" xfId="0" applyFill="1" applyBorder="1" applyAlignment="1">
      <alignment horizontal="center" vertical="center" wrapText="1"/>
    </xf>
    <xf numFmtId="0" fontId="0" fillId="21" borderId="13" xfId="0" applyFont="1" applyFill="1" applyBorder="1" applyAlignment="1">
      <alignment horizontal="center" vertical="center" wrapText="1"/>
    </xf>
    <xf numFmtId="14" fontId="0" fillId="21" borderId="14" xfId="0" applyNumberFormat="1" applyFill="1" applyBorder="1" applyAlignment="1">
      <alignment horizontal="center" vertical="center" wrapText="1"/>
    </xf>
    <xf numFmtId="0" fontId="0" fillId="21" borderId="17" xfId="0" applyFill="1" applyBorder="1" applyAlignment="1">
      <alignment horizontal="center" vertical="center" wrapText="1"/>
    </xf>
    <xf numFmtId="0" fontId="0" fillId="21" borderId="5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19" borderId="7" xfId="0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0" fillId="3" borderId="52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12" borderId="52" xfId="0" applyFill="1" applyBorder="1" applyAlignment="1">
      <alignment horizontal="left" vertical="center" wrapText="1"/>
    </xf>
    <xf numFmtId="0" fontId="1" fillId="10" borderId="47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center"/>
    </xf>
    <xf numFmtId="0" fontId="27" fillId="3" borderId="23" xfId="0" applyFont="1" applyFill="1" applyBorder="1" applyAlignment="1">
      <alignment horizontal="center" vertical="center" wrapText="1"/>
    </xf>
    <xf numFmtId="0" fontId="27" fillId="6" borderId="23" xfId="0" applyFont="1" applyFill="1" applyBorder="1" applyAlignment="1">
      <alignment horizontal="center" vertical="center" wrapText="1"/>
    </xf>
    <xf numFmtId="0" fontId="3" fillId="1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8" fontId="2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0" fillId="25" borderId="7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" fontId="0" fillId="25" borderId="1" xfId="0" applyNumberFormat="1" applyFill="1" applyBorder="1" applyAlignment="1">
      <alignment horizontal="center" vertical="center" wrapText="1"/>
    </xf>
    <xf numFmtId="0" fontId="0" fillId="25" borderId="8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2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12" borderId="0" xfId="0" applyFont="1" applyFill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3" fontId="5" fillId="10" borderId="23" xfId="0" applyNumberFormat="1" applyFont="1" applyFill="1" applyBorder="1" applyAlignment="1">
      <alignment horizontal="center" vertical="center" wrapText="1"/>
    </xf>
    <xf numFmtId="3" fontId="2" fillId="6" borderId="11" xfId="0" applyNumberFormat="1" applyFont="1" applyFill="1" applyBorder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3" fontId="2" fillId="6" borderId="19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6" borderId="20" xfId="0" applyNumberFormat="1" applyFont="1" applyFill="1" applyBorder="1" applyAlignment="1">
      <alignment horizontal="center" vertical="center"/>
    </xf>
    <xf numFmtId="3" fontId="2" fillId="19" borderId="1" xfId="0" applyNumberFormat="1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6" borderId="2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6" borderId="13" xfId="0" applyNumberFormat="1" applyFont="1" applyFill="1" applyBorder="1" applyAlignment="1">
      <alignment horizontal="center" vertical="center" wrapText="1"/>
    </xf>
    <xf numFmtId="3" fontId="2" fillId="3" borderId="20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2" fillId="6" borderId="17" xfId="0" applyNumberFormat="1" applyFont="1" applyFill="1" applyBorder="1" applyAlignment="1">
      <alignment horizontal="center" vertical="center" wrapText="1"/>
    </xf>
    <xf numFmtId="3" fontId="2" fillId="3" borderId="53" xfId="0" applyNumberFormat="1" applyFont="1" applyFill="1" applyBorder="1" applyAlignment="1">
      <alignment horizontal="center" vertical="center" wrapText="1"/>
    </xf>
    <xf numFmtId="3" fontId="2" fillId="6" borderId="20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12" borderId="43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left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0" fillId="21" borderId="12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21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7" xfId="0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0" fillId="17" borderId="2" xfId="0" applyFill="1" applyBorder="1" applyAlignment="1">
      <alignment horizontal="center" wrapText="1"/>
    </xf>
    <xf numFmtId="0" fontId="0" fillId="17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3" fontId="0" fillId="13" borderId="2" xfId="0" applyNumberFormat="1" applyFont="1" applyFill="1" applyBorder="1" applyAlignment="1">
      <alignment horizontal="center" vertical="center" wrapText="1"/>
    </xf>
    <xf numFmtId="3" fontId="0" fillId="13" borderId="4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164" fontId="0" fillId="21" borderId="2" xfId="0" applyNumberFormat="1" applyFont="1" applyFill="1" applyBorder="1" applyAlignment="1">
      <alignment horizontal="center" vertical="center" wrapText="1"/>
    </xf>
    <xf numFmtId="164" fontId="0" fillId="21" borderId="4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14" fontId="0" fillId="9" borderId="3" xfId="0" applyNumberFormat="1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3" fontId="0" fillId="9" borderId="3" xfId="0" applyNumberFormat="1" applyFont="1" applyFill="1" applyBorder="1" applyAlignment="1">
      <alignment horizontal="center" vertical="center" wrapText="1"/>
    </xf>
    <xf numFmtId="3" fontId="0" fillId="9" borderId="4" xfId="0" applyNumberFormat="1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horizontal="center" vertical="center" wrapText="1"/>
    </xf>
    <xf numFmtId="164" fontId="0" fillId="9" borderId="3" xfId="0" applyNumberFormat="1" applyFont="1" applyFill="1" applyBorder="1" applyAlignment="1">
      <alignment horizontal="center" vertical="center" wrapText="1"/>
    </xf>
    <xf numFmtId="164" fontId="0" fillId="9" borderId="4" xfId="0" applyNumberFormat="1" applyFon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65" fontId="10" fillId="15" borderId="2" xfId="0" applyNumberFormat="1" applyFont="1" applyFill="1" applyBorder="1" applyAlignment="1">
      <alignment horizontal="center" vertical="center" wrapText="1"/>
    </xf>
    <xf numFmtId="165" fontId="10" fillId="15" borderId="3" xfId="0" applyNumberFormat="1" applyFont="1" applyFill="1" applyBorder="1" applyAlignment="1">
      <alignment horizontal="center" vertical="center" wrapText="1"/>
    </xf>
    <xf numFmtId="165" fontId="10" fillId="15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3" fontId="0" fillId="9" borderId="2" xfId="0" applyNumberFormat="1" applyFill="1" applyBorder="1" applyAlignment="1">
      <alignment horizontal="center" vertical="center" wrapText="1"/>
    </xf>
    <xf numFmtId="3" fontId="0" fillId="9" borderId="4" xfId="0" applyNumberForma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35" xfId="0" applyFont="1" applyFill="1" applyBorder="1" applyAlignment="1">
      <alignment horizontal="center" wrapText="1"/>
    </xf>
    <xf numFmtId="0" fontId="0" fillId="3" borderId="3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21" borderId="35" xfId="0" applyFont="1" applyFill="1" applyBorder="1" applyAlignment="1">
      <alignment horizontal="center" wrapText="1"/>
    </xf>
    <xf numFmtId="0" fontId="1" fillId="21" borderId="30" xfId="0" applyFont="1" applyFill="1" applyBorder="1" applyAlignment="1">
      <alignment horizontal="center" wrapText="1"/>
    </xf>
    <xf numFmtId="0" fontId="1" fillId="21" borderId="38" xfId="0" applyFont="1" applyFill="1" applyBorder="1" applyAlignment="1">
      <alignment horizontal="center" wrapText="1"/>
    </xf>
    <xf numFmtId="14" fontId="0" fillId="21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14" fontId="0" fillId="21" borderId="3" xfId="0" applyNumberFormat="1" applyFill="1" applyBorder="1" applyAlignment="1">
      <alignment horizontal="center" vertical="center" wrapText="1"/>
    </xf>
    <xf numFmtId="14" fontId="0" fillId="21" borderId="4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1" fillId="19" borderId="28" xfId="0" applyFont="1" applyFill="1" applyBorder="1" applyAlignment="1">
      <alignment horizontal="center" wrapText="1"/>
    </xf>
    <xf numFmtId="0" fontId="1" fillId="19" borderId="31" xfId="0" applyFont="1" applyFill="1" applyBorder="1" applyAlignment="1">
      <alignment horizontal="center" wrapText="1"/>
    </xf>
    <xf numFmtId="0" fontId="2" fillId="6" borderId="28" xfId="0" applyFont="1" applyFill="1" applyBorder="1" applyAlignment="1">
      <alignment horizontal="center" vertical="top" wrapText="1"/>
    </xf>
    <xf numFmtId="0" fontId="2" fillId="6" borderId="36" xfId="0" applyFont="1" applyFill="1" applyBorder="1" applyAlignment="1">
      <alignment horizontal="center" vertical="top" wrapText="1"/>
    </xf>
    <xf numFmtId="0" fontId="30" fillId="19" borderId="8" xfId="0" applyFont="1" applyFill="1" applyBorder="1" applyAlignment="1">
      <alignment horizontal="center" wrapText="1"/>
    </xf>
    <xf numFmtId="0" fontId="4" fillId="19" borderId="7" xfId="0" applyFont="1" applyFill="1" applyBorder="1" applyAlignment="1">
      <alignment horizontal="center" wrapText="1"/>
    </xf>
    <xf numFmtId="0" fontId="0" fillId="8" borderId="16" xfId="0" applyFill="1" applyBorder="1" applyAlignment="1">
      <alignment horizontal="center" wrapText="1"/>
    </xf>
    <xf numFmtId="0" fontId="0" fillId="8" borderId="18" xfId="0" applyFill="1" applyBorder="1" applyAlignment="1">
      <alignment horizontal="center" wrapText="1"/>
    </xf>
    <xf numFmtId="0" fontId="2" fillId="24" borderId="28" xfId="0" applyFont="1" applyFill="1" applyBorder="1" applyAlignment="1">
      <alignment horizontal="center" wrapText="1"/>
    </xf>
    <xf numFmtId="0" fontId="2" fillId="24" borderId="31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4" fontId="0" fillId="21" borderId="15" xfId="0" applyNumberFormat="1" applyFill="1" applyBorder="1" applyAlignment="1">
      <alignment horizontal="center" vertical="center" wrapText="1"/>
    </xf>
    <xf numFmtId="14" fontId="0" fillId="21" borderId="14" xfId="0" applyNumberFormat="1" applyFill="1" applyBorder="1" applyAlignment="1">
      <alignment horizontal="center" vertical="center" wrapText="1"/>
    </xf>
    <xf numFmtId="0" fontId="0" fillId="21" borderId="15" xfId="0" applyFill="1" applyBorder="1" applyAlignment="1">
      <alignment horizontal="center" vertical="center" wrapText="1"/>
    </xf>
    <xf numFmtId="0" fontId="0" fillId="21" borderId="14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4" fontId="0" fillId="21" borderId="13" xfId="0" applyNumberForma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21" borderId="13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textRotation="255" wrapText="1"/>
    </xf>
    <xf numFmtId="0" fontId="0" fillId="3" borderId="7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7" borderId="39" xfId="0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27" fillId="3" borderId="23" xfId="0" applyFont="1" applyFill="1" applyBorder="1" applyAlignment="1">
      <alignment horizontal="center" wrapText="1"/>
    </xf>
    <xf numFmtId="0" fontId="14" fillId="3" borderId="23" xfId="0" applyFont="1" applyFill="1" applyBorder="1" applyAlignment="1">
      <alignment horizontal="center" wrapText="1"/>
    </xf>
    <xf numFmtId="0" fontId="29" fillId="3" borderId="23" xfId="0" applyFont="1" applyFill="1" applyBorder="1" applyAlignment="1">
      <alignment horizontal="center" vertical="center" textRotation="255" wrapText="1"/>
    </xf>
    <xf numFmtId="0" fontId="5" fillId="3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textRotation="255" wrapText="1"/>
    </xf>
    <xf numFmtId="0" fontId="27" fillId="3" borderId="23" xfId="0" applyFont="1" applyFill="1" applyBorder="1" applyAlignment="1">
      <alignment horizontal="center" vertical="center" wrapText="1"/>
    </xf>
    <xf numFmtId="0" fontId="29" fillId="6" borderId="23" xfId="0" applyFont="1" applyFill="1" applyBorder="1" applyAlignment="1">
      <alignment horizontal="center" vertical="center" textRotation="255" wrapText="1"/>
    </xf>
    <xf numFmtId="0" fontId="5" fillId="8" borderId="23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wrapText="1"/>
    </xf>
    <xf numFmtId="0" fontId="0" fillId="12" borderId="41" xfId="0" applyFill="1" applyBorder="1" applyAlignment="1">
      <alignment horizont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5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6" borderId="2" xfId="0" applyNumberFormat="1" applyFont="1" applyFill="1" applyBorder="1" applyAlignment="1">
      <alignment horizontal="center" vertical="center" wrapText="1"/>
    </xf>
    <xf numFmtId="14" fontId="0" fillId="16" borderId="3" xfId="0" applyNumberFormat="1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14" fontId="0" fillId="21" borderId="2" xfId="0" applyNumberFormat="1" applyFont="1" applyFill="1" applyBorder="1" applyAlignment="1">
      <alignment horizontal="center" vertical="center" wrapText="1"/>
    </xf>
    <xf numFmtId="14" fontId="0" fillId="21" borderId="4" xfId="0" applyNumberFormat="1" applyFont="1" applyFill="1" applyBorder="1" applyAlignment="1">
      <alignment horizontal="center" vertical="center" wrapText="1"/>
    </xf>
    <xf numFmtId="0" fontId="0" fillId="21" borderId="2" xfId="0" applyFont="1" applyFill="1" applyBorder="1" applyAlignment="1">
      <alignment horizontal="center" vertical="center" wrapText="1"/>
    </xf>
    <xf numFmtId="0" fontId="0" fillId="21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14" fontId="0" fillId="21" borderId="3" xfId="0" applyNumberFormat="1" applyFont="1" applyFill="1" applyBorder="1" applyAlignment="1">
      <alignment horizontal="center" vertical="center" wrapText="1"/>
    </xf>
    <xf numFmtId="0" fontId="0" fillId="21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4" fontId="0" fillId="17" borderId="3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textRotation="255" wrapText="1"/>
    </xf>
    <xf numFmtId="0" fontId="0" fillId="17" borderId="3" xfId="0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4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0" fillId="12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0" fillId="20" borderId="2" xfId="0" applyFont="1" applyFill="1" applyBorder="1" applyAlignment="1">
      <alignment horizontal="center" vertical="center" wrapText="1"/>
    </xf>
    <xf numFmtId="0" fontId="0" fillId="20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0" fontId="3" fillId="12" borderId="2" xfId="0" applyNumberFormat="1" applyFont="1" applyFill="1" applyBorder="1" applyAlignment="1">
      <alignment horizontal="center" vertical="center" wrapText="1"/>
    </xf>
    <xf numFmtId="0" fontId="3" fillId="1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" fontId="11" fillId="12" borderId="2" xfId="0" applyNumberFormat="1" applyFont="1" applyFill="1" applyBorder="1" applyAlignment="1">
      <alignment horizontal="center" vertical="center" wrapText="1"/>
    </xf>
    <xf numFmtId="1" fontId="11" fillId="12" borderId="3" xfId="0" applyNumberFormat="1" applyFont="1" applyFill="1" applyBorder="1" applyAlignment="1">
      <alignment horizontal="center" vertical="center" wrapText="1"/>
    </xf>
    <xf numFmtId="1" fontId="11" fillId="12" borderId="4" xfId="0" applyNumberFormat="1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1" fontId="0" fillId="12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3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" fontId="0" fillId="12" borderId="3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3" fillId="12" borderId="3" xfId="0" applyNumberFormat="1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12" borderId="4" xfId="0" applyNumberFormat="1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/>
    </xf>
    <xf numFmtId="0" fontId="3" fillId="12" borderId="2" xfId="1" applyNumberFormat="1" applyFont="1" applyFill="1" applyBorder="1" applyAlignment="1">
      <alignment horizontal="center" vertical="center" wrapText="1"/>
    </xf>
    <xf numFmtId="0" fontId="3" fillId="12" borderId="3" xfId="1" applyNumberFormat="1" applyFont="1" applyFill="1" applyBorder="1" applyAlignment="1">
      <alignment horizontal="center" vertical="center" wrapText="1"/>
    </xf>
    <xf numFmtId="0" fontId="3" fillId="12" borderId="4" xfId="1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23" borderId="2" xfId="0" applyFont="1" applyFill="1" applyBorder="1" applyAlignment="1">
      <alignment horizontal="center" vertical="center" wrapText="1"/>
    </xf>
    <xf numFmtId="0" fontId="0" fillId="23" borderId="3" xfId="0" applyFont="1" applyFill="1" applyBorder="1" applyAlignment="1">
      <alignment horizontal="center" vertical="center" wrapText="1"/>
    </xf>
    <xf numFmtId="0" fontId="0" fillId="23" borderId="4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4" fontId="14" fillId="12" borderId="3" xfId="0" applyNumberFormat="1" applyFont="1" applyFill="1" applyBorder="1" applyAlignment="1">
      <alignment horizontal="center" vertical="center" wrapText="1"/>
    </xf>
    <xf numFmtId="164" fontId="14" fillId="12" borderId="4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0" fontId="1" fillId="12" borderId="2" xfId="0" quotePrefix="1" applyFont="1" applyFill="1" applyBorder="1" applyAlignment="1">
      <alignment horizontal="center" vertical="center" wrapText="1"/>
    </xf>
    <xf numFmtId="0" fontId="1" fillId="12" borderId="3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0" borderId="3" xfId="0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24" fillId="18" borderId="45" xfId="0" applyFont="1" applyFill="1" applyBorder="1" applyAlignment="1">
      <alignment horizontal="center" vertical="center" wrapText="1"/>
    </xf>
    <xf numFmtId="0" fontId="24" fillId="18" borderId="47" xfId="0" applyFont="1" applyFill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1FDF6"/>
      <color rgb="FFF3F5FB"/>
      <color rgb="FFFFF8E5"/>
      <color rgb="FFA3A3FF"/>
      <color rgb="FFEFEFFF"/>
      <color rgb="FFF7FFF7"/>
      <color rgb="FFFEFAF8"/>
      <color rgb="FFEFE7FF"/>
      <color rgb="FFCCCCFF"/>
      <color rgb="FFDF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4"/>
  <sheetViews>
    <sheetView topLeftCell="C1" zoomScale="115" zoomScaleNormal="115" workbookViewId="0">
      <selection activeCell="L2" sqref="L2:L5"/>
    </sheetView>
  </sheetViews>
  <sheetFormatPr baseColWidth="10" defaultColWidth="11.375" defaultRowHeight="30.1" customHeight="1" x14ac:dyDescent="0.25"/>
  <cols>
    <col min="1" max="1" width="4" style="73" customWidth="1"/>
    <col min="2" max="2" width="17.125" style="74" customWidth="1"/>
    <col min="3" max="3" width="19.625" style="74" customWidth="1"/>
    <col min="4" max="4" width="3.625" style="6" customWidth="1"/>
    <col min="5" max="5" width="14.625" style="75" customWidth="1"/>
    <col min="6" max="6" width="14.625" style="690" customWidth="1"/>
    <col min="7" max="7" width="14.625" style="6" customWidth="1"/>
    <col min="8" max="8" width="21.75" style="6" customWidth="1"/>
    <col min="9" max="9" width="13" style="6" customWidth="1"/>
    <col min="10" max="10" width="12.875" style="111" customWidth="1"/>
    <col min="11" max="11" width="12.25" style="111" customWidth="1"/>
    <col min="12" max="12" width="12.75" style="111" customWidth="1"/>
    <col min="13" max="13" width="8.125" style="6" customWidth="1"/>
    <col min="14" max="14" width="7.75" style="6" customWidth="1"/>
    <col min="15" max="15" width="8.125" style="6" customWidth="1"/>
    <col min="16" max="16" width="27.375" style="6" customWidth="1"/>
    <col min="17" max="17" width="46.625" style="6" customWidth="1"/>
    <col min="18" max="16384" width="11.375" style="6"/>
  </cols>
  <sheetData>
    <row r="1" spans="1:17" ht="22.6" customHeight="1" x14ac:dyDescent="0.25">
      <c r="A1" s="159" t="s">
        <v>363</v>
      </c>
      <c r="B1" s="160" t="s">
        <v>364</v>
      </c>
      <c r="C1" s="160" t="s">
        <v>365</v>
      </c>
      <c r="D1" s="161" t="s">
        <v>863</v>
      </c>
      <c r="E1" s="162" t="s">
        <v>367</v>
      </c>
      <c r="F1" s="163" t="s">
        <v>368</v>
      </c>
      <c r="G1" s="164" t="s">
        <v>576</v>
      </c>
      <c r="H1" s="163" t="s">
        <v>369</v>
      </c>
      <c r="I1" s="163" t="s">
        <v>0</v>
      </c>
      <c r="J1" s="165" t="s">
        <v>370</v>
      </c>
      <c r="K1" s="165" t="s">
        <v>1</v>
      </c>
      <c r="L1" s="165" t="s">
        <v>2</v>
      </c>
      <c r="M1" s="163" t="s">
        <v>692</v>
      </c>
      <c r="N1" s="163" t="s">
        <v>372</v>
      </c>
      <c r="O1" s="163" t="s">
        <v>691</v>
      </c>
      <c r="P1" s="163" t="s">
        <v>373</v>
      </c>
      <c r="Q1" s="163" t="s">
        <v>3</v>
      </c>
    </row>
    <row r="2" spans="1:17" ht="30.1" customHeight="1" x14ac:dyDescent="0.25">
      <c r="A2" s="889">
        <v>1</v>
      </c>
      <c r="B2" s="891" t="s">
        <v>383</v>
      </c>
      <c r="C2" s="891" t="s">
        <v>384</v>
      </c>
      <c r="D2" s="878" t="s">
        <v>375</v>
      </c>
      <c r="E2" s="879">
        <v>1067955615</v>
      </c>
      <c r="F2" s="681" t="s">
        <v>377</v>
      </c>
      <c r="G2" s="878" t="s">
        <v>591</v>
      </c>
      <c r="H2" s="878" t="s">
        <v>385</v>
      </c>
      <c r="I2" s="878">
        <v>3145862419</v>
      </c>
      <c r="J2" s="892">
        <v>43440</v>
      </c>
      <c r="K2" s="892">
        <v>43441</v>
      </c>
      <c r="L2" s="892">
        <v>43530</v>
      </c>
      <c r="M2" s="524">
        <v>20</v>
      </c>
      <c r="N2" s="524" t="s">
        <v>4</v>
      </c>
      <c r="O2" s="524">
        <v>60</v>
      </c>
      <c r="P2" s="878" t="s">
        <v>902</v>
      </c>
      <c r="Q2" s="167"/>
    </row>
    <row r="3" spans="1:17" ht="30.1" customHeight="1" x14ac:dyDescent="0.25">
      <c r="A3" s="889"/>
      <c r="B3" s="891"/>
      <c r="C3" s="891"/>
      <c r="D3" s="878"/>
      <c r="E3" s="879"/>
      <c r="F3" s="681" t="s">
        <v>377</v>
      </c>
      <c r="G3" s="878"/>
      <c r="H3" s="878"/>
      <c r="I3" s="878"/>
      <c r="J3" s="892"/>
      <c r="K3" s="892"/>
      <c r="L3" s="892"/>
      <c r="M3" s="524">
        <v>20</v>
      </c>
      <c r="N3" s="524" t="s">
        <v>8</v>
      </c>
      <c r="O3" s="524">
        <v>60</v>
      </c>
      <c r="P3" s="878"/>
      <c r="Q3" s="167"/>
    </row>
    <row r="4" spans="1:17" ht="30.1" customHeight="1" x14ac:dyDescent="0.25">
      <c r="A4" s="889"/>
      <c r="B4" s="891"/>
      <c r="C4" s="891"/>
      <c r="D4" s="878"/>
      <c r="E4" s="879"/>
      <c r="F4" s="681" t="s">
        <v>377</v>
      </c>
      <c r="G4" s="878"/>
      <c r="H4" s="878"/>
      <c r="I4" s="878"/>
      <c r="J4" s="892"/>
      <c r="K4" s="892"/>
      <c r="L4" s="892"/>
      <c r="M4" s="524">
        <v>20</v>
      </c>
      <c r="N4" s="524" t="s">
        <v>231</v>
      </c>
      <c r="O4" s="524">
        <v>60</v>
      </c>
      <c r="P4" s="878"/>
      <c r="Q4" s="167"/>
    </row>
    <row r="5" spans="1:17" ht="30.1" customHeight="1" x14ac:dyDescent="0.25">
      <c r="A5" s="889"/>
      <c r="B5" s="891"/>
      <c r="C5" s="891"/>
      <c r="D5" s="878"/>
      <c r="E5" s="879"/>
      <c r="F5" s="681" t="s">
        <v>377</v>
      </c>
      <c r="G5" s="878"/>
      <c r="H5" s="878"/>
      <c r="I5" s="878"/>
      <c r="J5" s="892"/>
      <c r="K5" s="892"/>
      <c r="L5" s="892"/>
      <c r="M5" s="524">
        <v>20</v>
      </c>
      <c r="N5" s="524" t="s">
        <v>230</v>
      </c>
      <c r="O5" s="524">
        <v>60</v>
      </c>
      <c r="P5" s="878"/>
      <c r="Q5" s="167"/>
    </row>
    <row r="6" spans="1:17" s="290" customFormat="1" ht="30.1" customHeight="1" x14ac:dyDescent="0.25">
      <c r="A6" s="372">
        <v>2</v>
      </c>
      <c r="B6" s="170" t="s">
        <v>655</v>
      </c>
      <c r="C6" s="170" t="s">
        <v>768</v>
      </c>
      <c r="D6" s="168" t="s">
        <v>375</v>
      </c>
      <c r="E6" s="171">
        <v>1574006</v>
      </c>
      <c r="F6" s="168" t="s">
        <v>377</v>
      </c>
      <c r="G6" s="168" t="s">
        <v>588</v>
      </c>
      <c r="H6" s="168" t="s">
        <v>589</v>
      </c>
      <c r="I6" s="168" t="s">
        <v>590</v>
      </c>
      <c r="J6" s="172">
        <v>43480</v>
      </c>
      <c r="K6" s="172">
        <v>43481</v>
      </c>
      <c r="L6" s="172">
        <v>43570</v>
      </c>
      <c r="M6" s="168">
        <v>20</v>
      </c>
      <c r="N6" s="168" t="s">
        <v>4</v>
      </c>
      <c r="O6" s="168">
        <v>60</v>
      </c>
      <c r="P6" s="168" t="s">
        <v>849</v>
      </c>
      <c r="Q6" s="168"/>
    </row>
    <row r="7" spans="1:17" ht="30.1" customHeight="1" x14ac:dyDescent="0.25">
      <c r="A7" s="169">
        <v>3</v>
      </c>
      <c r="B7" s="170" t="s">
        <v>598</v>
      </c>
      <c r="C7" s="170" t="s">
        <v>599</v>
      </c>
      <c r="D7" s="168" t="s">
        <v>375</v>
      </c>
      <c r="E7" s="171">
        <v>32253284</v>
      </c>
      <c r="F7" s="493" t="s">
        <v>389</v>
      </c>
      <c r="G7" s="168" t="s">
        <v>640</v>
      </c>
      <c r="H7" s="168" t="s">
        <v>390</v>
      </c>
      <c r="I7" s="168">
        <v>3205679193</v>
      </c>
      <c r="J7" s="172">
        <v>43487</v>
      </c>
      <c r="K7" s="172">
        <v>43497</v>
      </c>
      <c r="L7" s="172">
        <v>43554</v>
      </c>
      <c r="M7" s="168">
        <v>20</v>
      </c>
      <c r="N7" s="168" t="s">
        <v>4</v>
      </c>
      <c r="O7" s="168">
        <v>40</v>
      </c>
      <c r="P7" s="597" t="s">
        <v>1259</v>
      </c>
      <c r="Q7" s="597"/>
    </row>
    <row r="8" spans="1:17" ht="30.1" customHeight="1" x14ac:dyDescent="0.25">
      <c r="A8" s="169">
        <v>4</v>
      </c>
      <c r="B8" s="173" t="s">
        <v>846</v>
      </c>
      <c r="C8" s="173" t="s">
        <v>847</v>
      </c>
      <c r="D8" s="167" t="s">
        <v>375</v>
      </c>
      <c r="E8" s="174">
        <v>25796336</v>
      </c>
      <c r="F8" s="681" t="s">
        <v>377</v>
      </c>
      <c r="G8" s="167"/>
      <c r="H8" s="167" t="s">
        <v>850</v>
      </c>
      <c r="I8" s="167" t="s">
        <v>848</v>
      </c>
      <c r="J8" s="176">
        <v>43431</v>
      </c>
      <c r="K8" s="176">
        <v>43435</v>
      </c>
      <c r="L8" s="176">
        <v>43524</v>
      </c>
      <c r="M8" s="524">
        <v>20</v>
      </c>
      <c r="N8" s="524" t="s">
        <v>4</v>
      </c>
      <c r="O8" s="524">
        <v>60</v>
      </c>
      <c r="P8" s="167" t="s">
        <v>849</v>
      </c>
      <c r="Q8" s="167"/>
    </row>
    <row r="9" spans="1:17" ht="30.1" customHeight="1" x14ac:dyDescent="0.25">
      <c r="A9" s="169">
        <v>5</v>
      </c>
      <c r="B9" s="173" t="s">
        <v>392</v>
      </c>
      <c r="C9" s="173" t="s">
        <v>393</v>
      </c>
      <c r="D9" s="167" t="s">
        <v>394</v>
      </c>
      <c r="E9" s="174">
        <v>1007781468</v>
      </c>
      <c r="F9" s="681" t="s">
        <v>377</v>
      </c>
      <c r="G9" s="167" t="s">
        <v>591</v>
      </c>
      <c r="H9" s="167" t="s">
        <v>1441</v>
      </c>
      <c r="I9" s="167">
        <v>3234790097</v>
      </c>
      <c r="J9" s="176">
        <v>43298</v>
      </c>
      <c r="K9" s="176">
        <v>43318</v>
      </c>
      <c r="L9" s="176">
        <v>43501</v>
      </c>
      <c r="M9" s="524">
        <v>12</v>
      </c>
      <c r="N9" s="524" t="s">
        <v>4</v>
      </c>
      <c r="O9" s="524">
        <v>72</v>
      </c>
      <c r="P9" s="167" t="s">
        <v>395</v>
      </c>
      <c r="Q9" s="167"/>
    </row>
    <row r="10" spans="1:17" ht="30.1" customHeight="1" x14ac:dyDescent="0.25">
      <c r="A10" s="889">
        <v>6</v>
      </c>
      <c r="B10" s="874" t="s">
        <v>391</v>
      </c>
      <c r="C10" s="874" t="s">
        <v>398</v>
      </c>
      <c r="D10" s="878" t="s">
        <v>375</v>
      </c>
      <c r="E10" s="879">
        <v>78700096</v>
      </c>
      <c r="F10" s="681" t="s">
        <v>376</v>
      </c>
      <c r="G10" s="878" t="s">
        <v>622</v>
      </c>
      <c r="H10" s="878" t="s">
        <v>399</v>
      </c>
      <c r="I10" s="878">
        <v>3045902653</v>
      </c>
      <c r="J10" s="892">
        <v>43328</v>
      </c>
      <c r="K10" s="892">
        <v>43344</v>
      </c>
      <c r="L10" s="892">
        <v>43524</v>
      </c>
      <c r="M10" s="524">
        <v>20</v>
      </c>
      <c r="N10" s="524" t="s">
        <v>4</v>
      </c>
      <c r="O10" s="524">
        <v>120</v>
      </c>
      <c r="P10" s="878" t="s">
        <v>915</v>
      </c>
      <c r="Q10" s="874" t="s">
        <v>916</v>
      </c>
    </row>
    <row r="11" spans="1:17" ht="30.1" customHeight="1" x14ac:dyDescent="0.25">
      <c r="A11" s="889"/>
      <c r="B11" s="893"/>
      <c r="C11" s="893"/>
      <c r="D11" s="878"/>
      <c r="E11" s="879"/>
      <c r="F11" s="681" t="s">
        <v>376</v>
      </c>
      <c r="G11" s="878"/>
      <c r="H11" s="878"/>
      <c r="I11" s="878"/>
      <c r="J11" s="892"/>
      <c r="K11" s="892"/>
      <c r="L11" s="892"/>
      <c r="M11" s="524">
        <v>20</v>
      </c>
      <c r="N11" s="524" t="s">
        <v>8</v>
      </c>
      <c r="O11" s="524">
        <v>120</v>
      </c>
      <c r="P11" s="878"/>
      <c r="Q11" s="893"/>
    </row>
    <row r="12" spans="1:17" ht="30.1" customHeight="1" x14ac:dyDescent="0.25">
      <c r="A12" s="889"/>
      <c r="B12" s="875"/>
      <c r="C12" s="875"/>
      <c r="D12" s="878"/>
      <c r="E12" s="879"/>
      <c r="F12" s="681" t="s">
        <v>376</v>
      </c>
      <c r="G12" s="878"/>
      <c r="H12" s="878"/>
      <c r="I12" s="878"/>
      <c r="J12" s="892"/>
      <c r="K12" s="892"/>
      <c r="L12" s="892"/>
      <c r="M12" s="524">
        <v>20</v>
      </c>
      <c r="N12" s="524" t="s">
        <v>231</v>
      </c>
      <c r="O12" s="524">
        <v>120</v>
      </c>
      <c r="P12" s="878"/>
      <c r="Q12" s="875"/>
    </row>
    <row r="13" spans="1:17" ht="30.1" customHeight="1" x14ac:dyDescent="0.25">
      <c r="A13" s="169">
        <v>7</v>
      </c>
      <c r="B13" s="173" t="s">
        <v>505</v>
      </c>
      <c r="C13" s="173" t="s">
        <v>594</v>
      </c>
      <c r="D13" s="167" t="s">
        <v>375</v>
      </c>
      <c r="E13" s="174">
        <v>1067944075</v>
      </c>
      <c r="F13" s="681" t="s">
        <v>377</v>
      </c>
      <c r="G13" s="167" t="s">
        <v>595</v>
      </c>
      <c r="H13" s="167" t="s">
        <v>596</v>
      </c>
      <c r="I13" s="167">
        <v>3115025613</v>
      </c>
      <c r="J13" s="176">
        <v>43364</v>
      </c>
      <c r="K13" s="176">
        <v>43367</v>
      </c>
      <c r="L13" s="176">
        <v>43547</v>
      </c>
      <c r="M13" s="524">
        <v>12</v>
      </c>
      <c r="N13" s="524" t="s">
        <v>4</v>
      </c>
      <c r="O13" s="524">
        <v>72</v>
      </c>
      <c r="P13" s="167" t="s">
        <v>597</v>
      </c>
      <c r="Q13" s="167"/>
    </row>
    <row r="14" spans="1:17" ht="30.1" customHeight="1" x14ac:dyDescent="0.25">
      <c r="A14" s="872">
        <v>8</v>
      </c>
      <c r="B14" s="874" t="s">
        <v>400</v>
      </c>
      <c r="C14" s="874" t="s">
        <v>401</v>
      </c>
      <c r="D14" s="874" t="s">
        <v>375</v>
      </c>
      <c r="E14" s="876">
        <v>34997877</v>
      </c>
      <c r="F14" s="682" t="s">
        <v>377</v>
      </c>
      <c r="G14" s="874" t="s">
        <v>608</v>
      </c>
      <c r="H14" s="874" t="s">
        <v>402</v>
      </c>
      <c r="I14" s="874">
        <v>3228002461</v>
      </c>
      <c r="J14" s="880">
        <v>43480</v>
      </c>
      <c r="K14" s="880">
        <v>43481</v>
      </c>
      <c r="L14" s="880">
        <v>43570</v>
      </c>
      <c r="M14" s="524">
        <v>20</v>
      </c>
      <c r="N14" s="524" t="s">
        <v>4</v>
      </c>
      <c r="O14" s="524">
        <v>60</v>
      </c>
      <c r="P14" s="874" t="s">
        <v>902</v>
      </c>
      <c r="Q14" s="371"/>
    </row>
    <row r="15" spans="1:17" s="290" customFormat="1" ht="30.1" customHeight="1" x14ac:dyDescent="0.25">
      <c r="A15" s="873"/>
      <c r="B15" s="875"/>
      <c r="C15" s="875"/>
      <c r="D15" s="875"/>
      <c r="E15" s="877"/>
      <c r="F15" s="682" t="s">
        <v>377</v>
      </c>
      <c r="G15" s="875"/>
      <c r="H15" s="875"/>
      <c r="I15" s="875"/>
      <c r="J15" s="881"/>
      <c r="K15" s="881"/>
      <c r="L15" s="881"/>
      <c r="M15" s="524">
        <v>20</v>
      </c>
      <c r="N15" s="524" t="s">
        <v>231</v>
      </c>
      <c r="O15" s="524">
        <v>60</v>
      </c>
      <c r="P15" s="875"/>
      <c r="Q15" s="371"/>
    </row>
    <row r="16" spans="1:17" ht="30.1" customHeight="1" x14ac:dyDescent="0.25">
      <c r="A16" s="889">
        <v>9</v>
      </c>
      <c r="B16" s="878" t="s">
        <v>403</v>
      </c>
      <c r="C16" s="878" t="s">
        <v>404</v>
      </c>
      <c r="D16" s="878" t="s">
        <v>396</v>
      </c>
      <c r="E16" s="879">
        <v>1233340250</v>
      </c>
      <c r="F16" s="681" t="s">
        <v>410</v>
      </c>
      <c r="G16" s="878"/>
      <c r="H16" s="878" t="s">
        <v>405</v>
      </c>
      <c r="I16" s="878" t="s">
        <v>406</v>
      </c>
      <c r="J16" s="892">
        <v>43329</v>
      </c>
      <c r="K16" s="177">
        <v>43333</v>
      </c>
      <c r="L16" s="176">
        <v>43454</v>
      </c>
      <c r="M16" s="524">
        <v>16</v>
      </c>
      <c r="N16" s="524" t="s">
        <v>4</v>
      </c>
      <c r="O16" s="524">
        <v>64</v>
      </c>
      <c r="P16" s="878" t="s">
        <v>407</v>
      </c>
      <c r="Q16" s="178" t="s">
        <v>682</v>
      </c>
    </row>
    <row r="17" spans="1:17" ht="30.1" customHeight="1" x14ac:dyDescent="0.25">
      <c r="A17" s="889"/>
      <c r="B17" s="878"/>
      <c r="C17" s="878"/>
      <c r="D17" s="878"/>
      <c r="E17" s="879"/>
      <c r="F17" s="681" t="s">
        <v>410</v>
      </c>
      <c r="G17" s="878"/>
      <c r="H17" s="878"/>
      <c r="I17" s="878"/>
      <c r="J17" s="892"/>
      <c r="K17" s="880">
        <v>43364</v>
      </c>
      <c r="L17" s="880">
        <v>43485</v>
      </c>
      <c r="M17" s="524">
        <v>16</v>
      </c>
      <c r="N17" s="524" t="s">
        <v>230</v>
      </c>
      <c r="O17" s="524">
        <v>64</v>
      </c>
      <c r="P17" s="878"/>
      <c r="Q17" s="878" t="s">
        <v>1425</v>
      </c>
    </row>
    <row r="18" spans="1:17" ht="30.1" customHeight="1" x14ac:dyDescent="0.25">
      <c r="A18" s="889"/>
      <c r="B18" s="878"/>
      <c r="C18" s="878"/>
      <c r="D18" s="878"/>
      <c r="E18" s="879"/>
      <c r="F18" s="681" t="s">
        <v>410</v>
      </c>
      <c r="G18" s="878"/>
      <c r="H18" s="878"/>
      <c r="I18" s="878"/>
      <c r="J18" s="892"/>
      <c r="K18" s="881"/>
      <c r="L18" s="881"/>
      <c r="M18" s="524">
        <v>16</v>
      </c>
      <c r="N18" s="524" t="s">
        <v>8</v>
      </c>
      <c r="O18" s="524">
        <v>64</v>
      </c>
      <c r="P18" s="878"/>
      <c r="Q18" s="878"/>
    </row>
    <row r="19" spans="1:17" ht="30.1" customHeight="1" x14ac:dyDescent="0.25">
      <c r="A19" s="889"/>
      <c r="B19" s="878"/>
      <c r="C19" s="878"/>
      <c r="D19" s="878"/>
      <c r="E19" s="879"/>
      <c r="F19" s="681" t="s">
        <v>410</v>
      </c>
      <c r="G19" s="878"/>
      <c r="H19" s="878"/>
      <c r="I19" s="878"/>
      <c r="J19" s="892"/>
      <c r="K19" s="177">
        <v>43394</v>
      </c>
      <c r="L19" s="177">
        <v>43517</v>
      </c>
      <c r="M19" s="524">
        <v>16</v>
      </c>
      <c r="N19" s="524" t="s">
        <v>231</v>
      </c>
      <c r="O19" s="524">
        <v>64</v>
      </c>
      <c r="P19" s="878"/>
      <c r="Q19" s="878"/>
    </row>
    <row r="20" spans="1:17" ht="30.1" customHeight="1" x14ac:dyDescent="0.25">
      <c r="A20" s="872">
        <v>10</v>
      </c>
      <c r="B20" s="874" t="s">
        <v>688</v>
      </c>
      <c r="C20" s="874" t="s">
        <v>689</v>
      </c>
      <c r="D20" s="874" t="s">
        <v>375</v>
      </c>
      <c r="E20" s="876">
        <v>34961044</v>
      </c>
      <c r="F20" s="682" t="s">
        <v>377</v>
      </c>
      <c r="G20" s="874" t="s">
        <v>588</v>
      </c>
      <c r="H20" s="874" t="s">
        <v>1087</v>
      </c>
      <c r="I20" s="874" t="s">
        <v>690</v>
      </c>
      <c r="J20" s="880">
        <v>43382</v>
      </c>
      <c r="K20" s="880">
        <v>43383</v>
      </c>
      <c r="L20" s="880">
        <v>43505</v>
      </c>
      <c r="M20" s="524">
        <v>16</v>
      </c>
      <c r="N20" s="524" t="s">
        <v>4</v>
      </c>
      <c r="O20" s="524">
        <v>64</v>
      </c>
      <c r="P20" s="874" t="s">
        <v>693</v>
      </c>
      <c r="Q20" s="167"/>
    </row>
    <row r="21" spans="1:17" ht="30.1" customHeight="1" x14ac:dyDescent="0.25">
      <c r="A21" s="873"/>
      <c r="B21" s="875"/>
      <c r="C21" s="875"/>
      <c r="D21" s="875"/>
      <c r="E21" s="877"/>
      <c r="F21" s="682" t="s">
        <v>377</v>
      </c>
      <c r="G21" s="875"/>
      <c r="H21" s="875"/>
      <c r="I21" s="875"/>
      <c r="J21" s="881"/>
      <c r="K21" s="881"/>
      <c r="L21" s="881"/>
      <c r="M21" s="524">
        <v>16</v>
      </c>
      <c r="N21" s="524" t="s">
        <v>231</v>
      </c>
      <c r="O21" s="524">
        <v>64</v>
      </c>
      <c r="P21" s="875"/>
      <c r="Q21" s="167"/>
    </row>
    <row r="22" spans="1:17" ht="31.6" customHeight="1" x14ac:dyDescent="0.25">
      <c r="A22" s="872">
        <v>11</v>
      </c>
      <c r="B22" s="874" t="s">
        <v>844</v>
      </c>
      <c r="C22" s="874" t="s">
        <v>851</v>
      </c>
      <c r="D22" s="874" t="s">
        <v>375</v>
      </c>
      <c r="E22" s="876">
        <v>21787003</v>
      </c>
      <c r="F22" s="527" t="s">
        <v>389</v>
      </c>
      <c r="G22" s="874" t="s">
        <v>1076</v>
      </c>
      <c r="H22" s="874" t="s">
        <v>845</v>
      </c>
      <c r="I22" s="874">
        <v>3004004931</v>
      </c>
      <c r="J22" s="525">
        <v>43430</v>
      </c>
      <c r="K22" s="525">
        <v>43431</v>
      </c>
      <c r="L22" s="525">
        <v>43522</v>
      </c>
      <c r="M22" s="524">
        <v>12</v>
      </c>
      <c r="N22" s="524" t="s">
        <v>4</v>
      </c>
      <c r="O22" s="524">
        <v>40</v>
      </c>
      <c r="P22" s="175" t="s">
        <v>1151</v>
      </c>
      <c r="Q22" s="778" t="s">
        <v>1457</v>
      </c>
    </row>
    <row r="23" spans="1:17" ht="30.1" customHeight="1" x14ac:dyDescent="0.25">
      <c r="A23" s="873"/>
      <c r="B23" s="875"/>
      <c r="C23" s="875"/>
      <c r="D23" s="875"/>
      <c r="E23" s="877"/>
      <c r="F23" s="527" t="s">
        <v>389</v>
      </c>
      <c r="G23" s="875"/>
      <c r="H23" s="875"/>
      <c r="I23" s="875"/>
      <c r="J23" s="176">
        <v>43493</v>
      </c>
      <c r="K23" s="176">
        <v>43497</v>
      </c>
      <c r="L23" s="176">
        <v>43554</v>
      </c>
      <c r="M23" s="524">
        <v>15</v>
      </c>
      <c r="N23" s="524" t="s">
        <v>4</v>
      </c>
      <c r="O23" s="524">
        <v>30</v>
      </c>
      <c r="P23" s="175" t="s">
        <v>1260</v>
      </c>
      <c r="Q23" s="167"/>
    </row>
    <row r="24" spans="1:17" ht="30.1" customHeight="1" x14ac:dyDescent="0.25">
      <c r="A24" s="872">
        <v>12</v>
      </c>
      <c r="B24" s="874" t="s">
        <v>708</v>
      </c>
      <c r="C24" s="874" t="s">
        <v>709</v>
      </c>
      <c r="D24" s="874" t="s">
        <v>375</v>
      </c>
      <c r="E24" s="876">
        <v>78712549</v>
      </c>
      <c r="F24" s="682" t="s">
        <v>376</v>
      </c>
      <c r="G24" s="874" t="s">
        <v>606</v>
      </c>
      <c r="H24" s="874" t="s">
        <v>710</v>
      </c>
      <c r="I24" s="874">
        <v>7914558</v>
      </c>
      <c r="J24" s="880">
        <v>43385</v>
      </c>
      <c r="K24" s="880">
        <v>43374</v>
      </c>
      <c r="L24" s="880">
        <v>43585</v>
      </c>
      <c r="M24" s="524">
        <v>20</v>
      </c>
      <c r="N24" s="524" t="s">
        <v>231</v>
      </c>
      <c r="O24" s="524">
        <v>120</v>
      </c>
      <c r="P24" s="167" t="s">
        <v>707</v>
      </c>
      <c r="Q24" s="179"/>
    </row>
    <row r="25" spans="1:17" ht="30.1" customHeight="1" x14ac:dyDescent="0.25">
      <c r="A25" s="890"/>
      <c r="B25" s="893"/>
      <c r="C25" s="893"/>
      <c r="D25" s="893"/>
      <c r="E25" s="894"/>
      <c r="F25" s="682" t="s">
        <v>376</v>
      </c>
      <c r="G25" s="893"/>
      <c r="H25" s="893"/>
      <c r="I25" s="893"/>
      <c r="J25" s="886"/>
      <c r="K25" s="886"/>
      <c r="L25" s="886"/>
      <c r="M25" s="524">
        <v>20</v>
      </c>
      <c r="N25" s="524" t="s">
        <v>4</v>
      </c>
      <c r="O25" s="524">
        <v>120</v>
      </c>
      <c r="P25" s="167" t="s">
        <v>711</v>
      </c>
      <c r="Q25" s="167"/>
    </row>
    <row r="26" spans="1:17" ht="30.1" customHeight="1" x14ac:dyDescent="0.25">
      <c r="A26" s="873"/>
      <c r="B26" s="875"/>
      <c r="C26" s="875"/>
      <c r="D26" s="875"/>
      <c r="E26" s="877"/>
      <c r="F26" s="682" t="s">
        <v>376</v>
      </c>
      <c r="G26" s="875"/>
      <c r="H26" s="875"/>
      <c r="I26" s="875"/>
      <c r="J26" s="881"/>
      <c r="K26" s="881"/>
      <c r="L26" s="881"/>
      <c r="M26" s="524">
        <v>20</v>
      </c>
      <c r="N26" s="524" t="s">
        <v>8</v>
      </c>
      <c r="O26" s="524">
        <v>120</v>
      </c>
      <c r="P26" s="167"/>
      <c r="Q26" s="167"/>
    </row>
    <row r="27" spans="1:17" s="290" customFormat="1" ht="30.1" customHeight="1" x14ac:dyDescent="0.25">
      <c r="A27" s="348">
        <v>13</v>
      </c>
      <c r="B27" s="352" t="s">
        <v>718</v>
      </c>
      <c r="C27" s="352" t="s">
        <v>719</v>
      </c>
      <c r="D27" s="349" t="s">
        <v>375</v>
      </c>
      <c r="E27" s="350">
        <v>78753699</v>
      </c>
      <c r="F27" s="681" t="s">
        <v>376</v>
      </c>
      <c r="G27" s="349" t="s">
        <v>720</v>
      </c>
      <c r="H27" s="349" t="s">
        <v>721</v>
      </c>
      <c r="I27" s="349">
        <v>3205581880</v>
      </c>
      <c r="J27" s="351">
        <v>43508</v>
      </c>
      <c r="K27" s="351">
        <v>43509</v>
      </c>
      <c r="L27" s="351">
        <v>43536</v>
      </c>
      <c r="M27" s="524">
        <v>12</v>
      </c>
      <c r="N27" s="524" t="s">
        <v>4</v>
      </c>
      <c r="O27" s="524">
        <v>12</v>
      </c>
      <c r="P27" s="180"/>
      <c r="Q27" s="349"/>
    </row>
    <row r="28" spans="1:17" ht="30.1" customHeight="1" x14ac:dyDescent="0.25">
      <c r="A28" s="872">
        <v>14</v>
      </c>
      <c r="B28" s="891" t="s">
        <v>769</v>
      </c>
      <c r="C28" s="891" t="s">
        <v>770</v>
      </c>
      <c r="D28" s="878" t="s">
        <v>375</v>
      </c>
      <c r="E28" s="879">
        <v>50896806</v>
      </c>
      <c r="F28" s="681" t="s">
        <v>377</v>
      </c>
      <c r="G28" s="874"/>
      <c r="H28" s="878" t="s">
        <v>771</v>
      </c>
      <c r="I28" s="878" t="s">
        <v>772</v>
      </c>
      <c r="J28" s="892">
        <v>43496</v>
      </c>
      <c r="K28" s="892">
        <v>43497</v>
      </c>
      <c r="L28" s="892">
        <v>43524</v>
      </c>
      <c r="M28" s="524">
        <v>12</v>
      </c>
      <c r="N28" s="524" t="s">
        <v>4</v>
      </c>
      <c r="O28" s="524">
        <v>60</v>
      </c>
      <c r="P28" s="874" t="s">
        <v>803</v>
      </c>
      <c r="Q28" s="167"/>
    </row>
    <row r="29" spans="1:17" ht="30.1" customHeight="1" x14ac:dyDescent="0.25">
      <c r="A29" s="890"/>
      <c r="B29" s="891"/>
      <c r="C29" s="891"/>
      <c r="D29" s="878"/>
      <c r="E29" s="879"/>
      <c r="F29" s="681" t="s">
        <v>377</v>
      </c>
      <c r="G29" s="893"/>
      <c r="H29" s="878"/>
      <c r="I29" s="878"/>
      <c r="J29" s="892"/>
      <c r="K29" s="892"/>
      <c r="L29" s="892"/>
      <c r="M29" s="524">
        <v>12</v>
      </c>
      <c r="N29" s="524" t="s">
        <v>231</v>
      </c>
      <c r="O29" s="524">
        <v>24</v>
      </c>
      <c r="P29" s="893"/>
      <c r="Q29" s="167"/>
    </row>
    <row r="30" spans="1:17" ht="30.1" customHeight="1" x14ac:dyDescent="0.25">
      <c r="A30" s="872">
        <v>15</v>
      </c>
      <c r="B30" s="874" t="s">
        <v>826</v>
      </c>
      <c r="C30" s="874" t="s">
        <v>827</v>
      </c>
      <c r="D30" s="874" t="s">
        <v>375</v>
      </c>
      <c r="E30" s="876">
        <v>50911896</v>
      </c>
      <c r="F30" s="682" t="s">
        <v>376</v>
      </c>
      <c r="G30" s="874" t="s">
        <v>608</v>
      </c>
      <c r="H30" s="874" t="s">
        <v>828</v>
      </c>
      <c r="I30" s="874">
        <v>3002857701</v>
      </c>
      <c r="J30" s="880">
        <v>43501</v>
      </c>
      <c r="K30" s="880">
        <v>43502</v>
      </c>
      <c r="L30" s="880">
        <v>43524</v>
      </c>
      <c r="M30" s="524">
        <v>15</v>
      </c>
      <c r="N30" s="524" t="s">
        <v>4</v>
      </c>
      <c r="O30" s="524">
        <v>15</v>
      </c>
      <c r="P30" s="874"/>
      <c r="Q30" s="167"/>
    </row>
    <row r="31" spans="1:17" ht="30.1" customHeight="1" x14ac:dyDescent="0.25">
      <c r="A31" s="873"/>
      <c r="B31" s="875"/>
      <c r="C31" s="875"/>
      <c r="D31" s="875"/>
      <c r="E31" s="877"/>
      <c r="F31" s="682" t="s">
        <v>376</v>
      </c>
      <c r="G31" s="875"/>
      <c r="H31" s="875"/>
      <c r="I31" s="875"/>
      <c r="J31" s="881"/>
      <c r="K31" s="881"/>
      <c r="L31" s="881"/>
      <c r="M31" s="524">
        <v>15</v>
      </c>
      <c r="N31" s="524" t="s">
        <v>8</v>
      </c>
      <c r="O31" s="524">
        <v>15</v>
      </c>
      <c r="P31" s="875"/>
      <c r="Q31" s="167"/>
    </row>
    <row r="32" spans="1:17" ht="30.1" customHeight="1" x14ac:dyDescent="0.25">
      <c r="A32" s="169">
        <v>16</v>
      </c>
      <c r="B32" s="173" t="s">
        <v>904</v>
      </c>
      <c r="C32" s="173" t="s">
        <v>905</v>
      </c>
      <c r="D32" s="167" t="s">
        <v>375</v>
      </c>
      <c r="E32" s="174">
        <v>34975924</v>
      </c>
      <c r="F32" s="681" t="s">
        <v>377</v>
      </c>
      <c r="G32" s="167" t="s">
        <v>593</v>
      </c>
      <c r="H32" s="167" t="s">
        <v>906</v>
      </c>
      <c r="I32" s="167">
        <v>3137530611</v>
      </c>
      <c r="J32" s="176">
        <v>43441</v>
      </c>
      <c r="K32" s="176">
        <v>43444</v>
      </c>
      <c r="L32" s="176">
        <v>43533</v>
      </c>
      <c r="M32" s="524">
        <v>12</v>
      </c>
      <c r="N32" s="524" t="s">
        <v>4</v>
      </c>
      <c r="O32" s="524">
        <v>36</v>
      </c>
      <c r="P32" s="167" t="s">
        <v>907</v>
      </c>
      <c r="Q32" s="167"/>
    </row>
    <row r="33" spans="1:17" ht="30.1" customHeight="1" x14ac:dyDescent="0.25">
      <c r="A33" s="872">
        <v>17</v>
      </c>
      <c r="B33" s="874" t="s">
        <v>908</v>
      </c>
      <c r="C33" s="874" t="s">
        <v>909</v>
      </c>
      <c r="D33" s="874" t="s">
        <v>375</v>
      </c>
      <c r="E33" s="876">
        <v>34968598</v>
      </c>
      <c r="F33" s="682" t="s">
        <v>376</v>
      </c>
      <c r="G33" s="874" t="s">
        <v>593</v>
      </c>
      <c r="H33" s="874" t="s">
        <v>910</v>
      </c>
      <c r="I33" s="874">
        <v>3103569557</v>
      </c>
      <c r="J33" s="880">
        <v>43489</v>
      </c>
      <c r="K33" s="880">
        <v>43493</v>
      </c>
      <c r="L33" s="880">
        <v>43523</v>
      </c>
      <c r="M33" s="524">
        <v>20</v>
      </c>
      <c r="N33" s="524" t="s">
        <v>4</v>
      </c>
      <c r="O33" s="524">
        <v>20</v>
      </c>
      <c r="P33" s="887" t="s">
        <v>1311</v>
      </c>
      <c r="Q33" s="253"/>
    </row>
    <row r="34" spans="1:17" ht="30.1" customHeight="1" x14ac:dyDescent="0.25">
      <c r="A34" s="873"/>
      <c r="B34" s="875"/>
      <c r="C34" s="875"/>
      <c r="D34" s="875"/>
      <c r="E34" s="877"/>
      <c r="F34" s="682" t="s">
        <v>376</v>
      </c>
      <c r="G34" s="875"/>
      <c r="H34" s="875"/>
      <c r="I34" s="875"/>
      <c r="J34" s="881"/>
      <c r="K34" s="881"/>
      <c r="L34" s="881"/>
      <c r="M34" s="524">
        <v>20</v>
      </c>
      <c r="N34" s="524" t="s">
        <v>8</v>
      </c>
      <c r="O34" s="524">
        <v>20</v>
      </c>
      <c r="P34" s="888"/>
      <c r="Q34" s="253"/>
    </row>
    <row r="35" spans="1:17" ht="30.1" customHeight="1" x14ac:dyDescent="0.25">
      <c r="A35" s="872">
        <v>18</v>
      </c>
      <c r="B35" s="874" t="s">
        <v>934</v>
      </c>
      <c r="C35" s="874" t="s">
        <v>909</v>
      </c>
      <c r="D35" s="874" t="s">
        <v>375</v>
      </c>
      <c r="E35" s="876">
        <v>6899680</v>
      </c>
      <c r="F35" s="682" t="s">
        <v>376</v>
      </c>
      <c r="G35" s="874" t="s">
        <v>608</v>
      </c>
      <c r="H35" s="874" t="s">
        <v>935</v>
      </c>
      <c r="I35" s="874">
        <v>3126227397</v>
      </c>
      <c r="J35" s="880">
        <v>43447</v>
      </c>
      <c r="K35" s="880">
        <v>43448</v>
      </c>
      <c r="L35" s="880">
        <v>43509</v>
      </c>
      <c r="M35" s="524">
        <v>12</v>
      </c>
      <c r="N35" s="524" t="s">
        <v>4</v>
      </c>
      <c r="O35" s="524">
        <v>24</v>
      </c>
      <c r="P35" s="167"/>
      <c r="Q35" s="167"/>
    </row>
    <row r="36" spans="1:17" ht="30.1" customHeight="1" x14ac:dyDescent="0.25">
      <c r="A36" s="873"/>
      <c r="B36" s="875"/>
      <c r="C36" s="875"/>
      <c r="D36" s="875"/>
      <c r="E36" s="877"/>
      <c r="F36" s="682" t="s">
        <v>376</v>
      </c>
      <c r="G36" s="875"/>
      <c r="H36" s="875"/>
      <c r="I36" s="875"/>
      <c r="J36" s="881"/>
      <c r="K36" s="881"/>
      <c r="L36" s="881"/>
      <c r="M36" s="524">
        <v>12</v>
      </c>
      <c r="N36" s="524" t="s">
        <v>8</v>
      </c>
      <c r="O36" s="524">
        <v>24</v>
      </c>
      <c r="P36" s="260"/>
      <c r="Q36" s="260"/>
    </row>
    <row r="37" spans="1:17" ht="30.1" customHeight="1" x14ac:dyDescent="0.25">
      <c r="A37" s="520">
        <v>19</v>
      </c>
      <c r="B37" s="521" t="s">
        <v>948</v>
      </c>
      <c r="C37" s="521" t="s">
        <v>949</v>
      </c>
      <c r="D37" s="521" t="s">
        <v>375</v>
      </c>
      <c r="E37" s="522">
        <v>25765953</v>
      </c>
      <c r="F37" s="682" t="s">
        <v>376</v>
      </c>
      <c r="G37" s="521" t="s">
        <v>593</v>
      </c>
      <c r="H37" s="521" t="s">
        <v>950</v>
      </c>
      <c r="I37" s="521" t="s">
        <v>951</v>
      </c>
      <c r="J37" s="519">
        <v>43448</v>
      </c>
      <c r="K37" s="177">
        <v>43488</v>
      </c>
      <c r="L37" s="177">
        <v>43518</v>
      </c>
      <c r="M37" s="524">
        <v>20</v>
      </c>
      <c r="N37" s="524" t="s">
        <v>231</v>
      </c>
      <c r="O37" s="524">
        <v>20</v>
      </c>
      <c r="P37" s="260"/>
      <c r="Q37" s="260"/>
    </row>
    <row r="38" spans="1:17" ht="30.1" customHeight="1" x14ac:dyDescent="0.25">
      <c r="A38" s="872">
        <v>20</v>
      </c>
      <c r="B38" s="874" t="s">
        <v>959</v>
      </c>
      <c r="C38" s="874" t="s">
        <v>960</v>
      </c>
      <c r="D38" s="874" t="s">
        <v>375</v>
      </c>
      <c r="E38" s="876">
        <v>1067949811</v>
      </c>
      <c r="F38" s="682" t="s">
        <v>377</v>
      </c>
      <c r="G38" s="874" t="s">
        <v>631</v>
      </c>
      <c r="H38" s="874" t="s">
        <v>961</v>
      </c>
      <c r="I38" s="874" t="s">
        <v>962</v>
      </c>
      <c r="J38" s="261">
        <v>43451</v>
      </c>
      <c r="K38" s="261">
        <v>43452</v>
      </c>
      <c r="L38" s="261">
        <v>43541</v>
      </c>
      <c r="M38" s="526">
        <v>20</v>
      </c>
      <c r="N38" s="524" t="s">
        <v>4</v>
      </c>
      <c r="O38" s="524">
        <v>60</v>
      </c>
      <c r="P38" s="260" t="s">
        <v>963</v>
      </c>
      <c r="Q38" s="456"/>
    </row>
    <row r="39" spans="1:17" ht="30.1" customHeight="1" x14ac:dyDescent="0.25">
      <c r="A39" s="873"/>
      <c r="B39" s="875"/>
      <c r="C39" s="875"/>
      <c r="D39" s="875"/>
      <c r="E39" s="877"/>
      <c r="F39" s="682" t="s">
        <v>377</v>
      </c>
      <c r="G39" s="875"/>
      <c r="H39" s="875"/>
      <c r="I39" s="875"/>
      <c r="J39" s="457">
        <v>43489</v>
      </c>
      <c r="K39" s="457">
        <v>43489</v>
      </c>
      <c r="L39" s="457">
        <v>43519</v>
      </c>
      <c r="M39" s="524">
        <v>5</v>
      </c>
      <c r="N39" s="524" t="s">
        <v>230</v>
      </c>
      <c r="O39" s="524">
        <v>5</v>
      </c>
      <c r="P39" s="456"/>
      <c r="Q39" s="260"/>
    </row>
    <row r="40" spans="1:17" ht="30.1" customHeight="1" x14ac:dyDescent="0.25">
      <c r="A40" s="889">
        <v>21</v>
      </c>
      <c r="B40" s="878" t="s">
        <v>965</v>
      </c>
      <c r="C40" s="878" t="s">
        <v>966</v>
      </c>
      <c r="D40" s="878" t="s">
        <v>375</v>
      </c>
      <c r="E40" s="879">
        <v>41316304</v>
      </c>
      <c r="F40" s="527" t="s">
        <v>389</v>
      </c>
      <c r="G40" s="878" t="s">
        <v>593</v>
      </c>
      <c r="H40" s="878" t="s">
        <v>967</v>
      </c>
      <c r="I40" s="878">
        <v>3145354841</v>
      </c>
      <c r="J40" s="892">
        <v>43501</v>
      </c>
      <c r="K40" s="892">
        <v>43466</v>
      </c>
      <c r="L40" s="892">
        <v>43554</v>
      </c>
      <c r="M40" s="524">
        <v>20</v>
      </c>
      <c r="N40" s="524" t="s">
        <v>4</v>
      </c>
      <c r="O40" s="524">
        <v>60</v>
      </c>
      <c r="P40" s="878"/>
      <c r="Q40" s="283"/>
    </row>
    <row r="41" spans="1:17" ht="30.1" customHeight="1" x14ac:dyDescent="0.25">
      <c r="A41" s="889"/>
      <c r="B41" s="878"/>
      <c r="C41" s="878"/>
      <c r="D41" s="878"/>
      <c r="E41" s="879"/>
      <c r="F41" s="527" t="s">
        <v>389</v>
      </c>
      <c r="G41" s="878"/>
      <c r="H41" s="878"/>
      <c r="I41" s="878"/>
      <c r="J41" s="892"/>
      <c r="K41" s="892"/>
      <c r="L41" s="892"/>
      <c r="M41" s="524">
        <v>20</v>
      </c>
      <c r="N41" s="524" t="s">
        <v>231</v>
      </c>
      <c r="O41" s="524">
        <v>60</v>
      </c>
      <c r="P41" s="878"/>
      <c r="Q41" s="283"/>
    </row>
    <row r="42" spans="1:17" ht="30.1" customHeight="1" x14ac:dyDescent="0.25">
      <c r="A42" s="889"/>
      <c r="B42" s="878"/>
      <c r="C42" s="878"/>
      <c r="D42" s="878"/>
      <c r="E42" s="879"/>
      <c r="F42" s="527" t="s">
        <v>389</v>
      </c>
      <c r="G42" s="878"/>
      <c r="H42" s="878"/>
      <c r="I42" s="878"/>
      <c r="J42" s="892"/>
      <c r="K42" s="892"/>
      <c r="L42" s="892"/>
      <c r="M42" s="524">
        <v>20</v>
      </c>
      <c r="N42" s="524" t="s">
        <v>8</v>
      </c>
      <c r="O42" s="524">
        <v>60</v>
      </c>
      <c r="P42" s="878"/>
      <c r="Q42" s="283"/>
    </row>
    <row r="43" spans="1:17" ht="30.1" customHeight="1" x14ac:dyDescent="0.25">
      <c r="A43" s="287">
        <v>22</v>
      </c>
      <c r="B43" s="284" t="s">
        <v>969</v>
      </c>
      <c r="C43" s="284" t="s">
        <v>970</v>
      </c>
      <c r="D43" s="285" t="s">
        <v>375</v>
      </c>
      <c r="E43" s="288">
        <v>35870664</v>
      </c>
      <c r="F43" s="681" t="s">
        <v>377</v>
      </c>
      <c r="G43" s="285" t="s">
        <v>652</v>
      </c>
      <c r="H43" s="285" t="s">
        <v>971</v>
      </c>
      <c r="I43" s="285" t="s">
        <v>972</v>
      </c>
      <c r="J43" s="286">
        <v>43454</v>
      </c>
      <c r="K43" s="286">
        <v>43460</v>
      </c>
      <c r="L43" s="286">
        <v>43549</v>
      </c>
      <c r="M43" s="524">
        <v>16</v>
      </c>
      <c r="N43" s="524" t="s">
        <v>4</v>
      </c>
      <c r="O43" s="524">
        <v>48</v>
      </c>
      <c r="P43" s="285" t="s">
        <v>973</v>
      </c>
      <c r="Q43" s="285"/>
    </row>
    <row r="44" spans="1:17" s="290" customFormat="1" ht="30.1" customHeight="1" x14ac:dyDescent="0.25">
      <c r="A44" s="872">
        <v>23</v>
      </c>
      <c r="B44" s="884" t="s">
        <v>974</v>
      </c>
      <c r="C44" s="884" t="s">
        <v>975</v>
      </c>
      <c r="D44" s="884" t="s">
        <v>375</v>
      </c>
      <c r="E44" s="895">
        <v>1067902346</v>
      </c>
      <c r="F44" s="683" t="s">
        <v>377</v>
      </c>
      <c r="G44" s="884" t="s">
        <v>591</v>
      </c>
      <c r="H44" s="884" t="s">
        <v>976</v>
      </c>
      <c r="I44" s="884">
        <v>3145543192</v>
      </c>
      <c r="J44" s="882">
        <v>43454</v>
      </c>
      <c r="K44" s="882">
        <v>43467</v>
      </c>
      <c r="L44" s="882">
        <v>43554</v>
      </c>
      <c r="M44" s="168">
        <v>20</v>
      </c>
      <c r="N44" s="168" t="s">
        <v>4</v>
      </c>
      <c r="O44" s="168">
        <v>60</v>
      </c>
      <c r="P44" s="884" t="s">
        <v>388</v>
      </c>
      <c r="Q44" s="168"/>
    </row>
    <row r="45" spans="1:17" ht="30.1" customHeight="1" x14ac:dyDescent="0.25">
      <c r="A45" s="873"/>
      <c r="B45" s="885"/>
      <c r="C45" s="885"/>
      <c r="D45" s="885"/>
      <c r="E45" s="896"/>
      <c r="F45" s="683" t="s">
        <v>377</v>
      </c>
      <c r="G45" s="885"/>
      <c r="H45" s="885"/>
      <c r="I45" s="885"/>
      <c r="J45" s="883"/>
      <c r="K45" s="883"/>
      <c r="L45" s="883"/>
      <c r="M45" s="524">
        <v>20</v>
      </c>
      <c r="N45" s="524" t="s">
        <v>231</v>
      </c>
      <c r="O45" s="524">
        <v>60</v>
      </c>
      <c r="P45" s="885"/>
      <c r="Q45" s="285"/>
    </row>
    <row r="46" spans="1:17" ht="30.1" customHeight="1" x14ac:dyDescent="0.25">
      <c r="A46" s="287">
        <v>24</v>
      </c>
      <c r="B46" s="658" t="s">
        <v>997</v>
      </c>
      <c r="C46" s="284" t="s">
        <v>998</v>
      </c>
      <c r="D46" s="285" t="s">
        <v>375</v>
      </c>
      <c r="E46" s="288">
        <v>25761742</v>
      </c>
      <c r="F46" s="527" t="s">
        <v>389</v>
      </c>
      <c r="G46" s="285" t="s">
        <v>605</v>
      </c>
      <c r="H46" s="285" t="s">
        <v>999</v>
      </c>
      <c r="I46" s="285">
        <v>3167773707</v>
      </c>
      <c r="J46" s="286">
        <v>43508</v>
      </c>
      <c r="K46" s="286">
        <v>43509</v>
      </c>
      <c r="L46" s="286">
        <v>43524</v>
      </c>
      <c r="M46" s="524">
        <v>12</v>
      </c>
      <c r="N46" s="524" t="s">
        <v>4</v>
      </c>
      <c r="O46" s="524">
        <v>12</v>
      </c>
      <c r="P46" s="285"/>
      <c r="Q46" s="285"/>
    </row>
    <row r="47" spans="1:17" ht="30.1" customHeight="1" x14ac:dyDescent="0.25">
      <c r="A47" s="306">
        <v>25</v>
      </c>
      <c r="B47" s="310" t="s">
        <v>1000</v>
      </c>
      <c r="C47" s="310" t="s">
        <v>1001</v>
      </c>
      <c r="D47" s="307" t="s">
        <v>375</v>
      </c>
      <c r="E47" s="308">
        <v>25837239</v>
      </c>
      <c r="F47" s="681" t="s">
        <v>377</v>
      </c>
      <c r="G47" s="307" t="s">
        <v>1002</v>
      </c>
      <c r="H47" s="307" t="s">
        <v>1003</v>
      </c>
      <c r="I47" s="307" t="s">
        <v>1004</v>
      </c>
      <c r="J47" s="309">
        <v>43462</v>
      </c>
      <c r="K47" s="309">
        <v>43109</v>
      </c>
      <c r="L47" s="309">
        <v>43504</v>
      </c>
      <c r="M47" s="524">
        <v>20</v>
      </c>
      <c r="N47" s="524" t="s">
        <v>4</v>
      </c>
      <c r="O47" s="524">
        <v>20</v>
      </c>
      <c r="P47" s="307"/>
      <c r="Q47" s="307"/>
    </row>
    <row r="48" spans="1:17" ht="30.1" customHeight="1" x14ac:dyDescent="0.25">
      <c r="A48" s="287">
        <v>26</v>
      </c>
      <c r="B48" s="284" t="s">
        <v>911</v>
      </c>
      <c r="C48" s="284" t="s">
        <v>1013</v>
      </c>
      <c r="D48" s="285" t="s">
        <v>375</v>
      </c>
      <c r="E48" s="288">
        <v>34963365</v>
      </c>
      <c r="F48" s="681" t="s">
        <v>376</v>
      </c>
      <c r="G48" s="285" t="s">
        <v>1014</v>
      </c>
      <c r="H48" s="285" t="s">
        <v>1015</v>
      </c>
      <c r="I48" s="285" t="s">
        <v>1016</v>
      </c>
      <c r="J48" s="286">
        <v>43489</v>
      </c>
      <c r="K48" s="286">
        <v>43497</v>
      </c>
      <c r="L48" s="286">
        <v>43524</v>
      </c>
      <c r="M48" s="524">
        <v>10</v>
      </c>
      <c r="N48" s="524" t="s">
        <v>4</v>
      </c>
      <c r="O48" s="524">
        <v>10</v>
      </c>
      <c r="P48" s="599"/>
      <c r="Q48" s="285"/>
    </row>
    <row r="49" spans="1:17" ht="30.1" customHeight="1" x14ac:dyDescent="0.25">
      <c r="A49" s="287">
        <v>27</v>
      </c>
      <c r="B49" s="284" t="s">
        <v>391</v>
      </c>
      <c r="C49" s="284" t="s">
        <v>1024</v>
      </c>
      <c r="D49" s="285" t="s">
        <v>375</v>
      </c>
      <c r="E49" s="288">
        <v>10967175</v>
      </c>
      <c r="F49" s="681" t="s">
        <v>377</v>
      </c>
      <c r="G49" s="285" t="s">
        <v>625</v>
      </c>
      <c r="H49" s="285" t="s">
        <v>1025</v>
      </c>
      <c r="I49" s="285"/>
      <c r="J49" s="286">
        <v>43437</v>
      </c>
      <c r="K49" s="286">
        <v>43437</v>
      </c>
      <c r="L49" s="286">
        <v>43554</v>
      </c>
      <c r="M49" s="524">
        <v>12</v>
      </c>
      <c r="N49" s="524" t="s">
        <v>4</v>
      </c>
      <c r="O49" s="524">
        <v>36</v>
      </c>
      <c r="P49" s="285" t="s">
        <v>1026</v>
      </c>
      <c r="Q49" s="285" t="s">
        <v>1027</v>
      </c>
    </row>
    <row r="50" spans="1:17" ht="30.1" customHeight="1" x14ac:dyDescent="0.25">
      <c r="A50" s="287">
        <v>28</v>
      </c>
      <c r="B50" s="284" t="s">
        <v>1074</v>
      </c>
      <c r="C50" s="284" t="s">
        <v>1075</v>
      </c>
      <c r="D50" s="285" t="s">
        <v>375</v>
      </c>
      <c r="E50" s="288">
        <v>1536038</v>
      </c>
      <c r="F50" s="681" t="s">
        <v>376</v>
      </c>
      <c r="G50" s="285" t="s">
        <v>1076</v>
      </c>
      <c r="H50" s="285" t="s">
        <v>1077</v>
      </c>
      <c r="I50" s="285" t="s">
        <v>1078</v>
      </c>
      <c r="J50" s="286">
        <v>43475</v>
      </c>
      <c r="K50" s="286">
        <v>43479</v>
      </c>
      <c r="L50" s="286">
        <v>43509</v>
      </c>
      <c r="M50" s="524">
        <v>12</v>
      </c>
      <c r="N50" s="524" t="s">
        <v>4</v>
      </c>
      <c r="O50" s="524">
        <v>12</v>
      </c>
      <c r="P50" s="285"/>
      <c r="Q50" s="285"/>
    </row>
    <row r="51" spans="1:17" ht="30.1" customHeight="1" x14ac:dyDescent="0.25">
      <c r="A51" s="364">
        <v>29</v>
      </c>
      <c r="B51" s="368" t="s">
        <v>1094</v>
      </c>
      <c r="C51" s="368" t="s">
        <v>1095</v>
      </c>
      <c r="D51" s="365" t="s">
        <v>375</v>
      </c>
      <c r="E51" s="366">
        <v>34988585</v>
      </c>
      <c r="F51" s="681" t="s">
        <v>377</v>
      </c>
      <c r="G51" s="365" t="s">
        <v>1096</v>
      </c>
      <c r="H51" s="365" t="s">
        <v>1098</v>
      </c>
      <c r="I51" s="365" t="s">
        <v>1097</v>
      </c>
      <c r="J51" s="367">
        <v>43480</v>
      </c>
      <c r="K51" s="367">
        <v>43481</v>
      </c>
      <c r="L51" s="367">
        <v>43570</v>
      </c>
      <c r="M51" s="524">
        <v>8</v>
      </c>
      <c r="N51" s="524" t="s">
        <v>285</v>
      </c>
      <c r="O51" s="524">
        <v>24</v>
      </c>
      <c r="P51" s="365" t="s">
        <v>1099</v>
      </c>
      <c r="Q51" s="365"/>
    </row>
    <row r="52" spans="1:17" ht="30.1" customHeight="1" x14ac:dyDescent="0.25">
      <c r="A52" s="364">
        <v>30</v>
      </c>
      <c r="B52" s="368" t="s">
        <v>1123</v>
      </c>
      <c r="C52" s="368" t="s">
        <v>1124</v>
      </c>
      <c r="D52" s="365" t="s">
        <v>375</v>
      </c>
      <c r="E52" s="366">
        <v>34960814</v>
      </c>
      <c r="F52" s="681" t="s">
        <v>376</v>
      </c>
      <c r="G52" s="365" t="s">
        <v>1076</v>
      </c>
      <c r="H52" s="365" t="s">
        <v>1125</v>
      </c>
      <c r="I52" s="365" t="s">
        <v>1126</v>
      </c>
      <c r="J52" s="367">
        <v>43481</v>
      </c>
      <c r="K52" s="367">
        <v>43482</v>
      </c>
      <c r="L52" s="367">
        <v>43512</v>
      </c>
      <c r="M52" s="524">
        <v>20</v>
      </c>
      <c r="N52" s="524" t="s">
        <v>4</v>
      </c>
      <c r="O52" s="524">
        <v>20</v>
      </c>
      <c r="P52" s="365"/>
      <c r="Q52" s="365"/>
    </row>
    <row r="53" spans="1:17" s="290" customFormat="1" ht="30.1" customHeight="1" x14ac:dyDescent="0.25">
      <c r="A53" s="872">
        <v>31</v>
      </c>
      <c r="B53" s="874" t="s">
        <v>1127</v>
      </c>
      <c r="C53" s="874" t="s">
        <v>1128</v>
      </c>
      <c r="D53" s="874" t="s">
        <v>375</v>
      </c>
      <c r="E53" s="876">
        <v>28417721</v>
      </c>
      <c r="F53" s="688" t="s">
        <v>389</v>
      </c>
      <c r="G53" s="874"/>
      <c r="H53" s="874" t="s">
        <v>1129</v>
      </c>
      <c r="I53" s="874">
        <v>3176477853</v>
      </c>
      <c r="J53" s="880">
        <v>43482</v>
      </c>
      <c r="K53" s="880">
        <v>43483</v>
      </c>
      <c r="L53" s="880">
        <v>43554</v>
      </c>
      <c r="M53" s="524">
        <v>12</v>
      </c>
      <c r="N53" s="524" t="s">
        <v>4</v>
      </c>
      <c r="O53" s="524">
        <v>40</v>
      </c>
      <c r="P53" s="874" t="s">
        <v>1130</v>
      </c>
      <c r="Q53" s="395"/>
    </row>
    <row r="54" spans="1:17" s="290" customFormat="1" ht="30.1" customHeight="1" x14ac:dyDescent="0.25">
      <c r="A54" s="890"/>
      <c r="B54" s="893"/>
      <c r="C54" s="893"/>
      <c r="D54" s="893"/>
      <c r="E54" s="894"/>
      <c r="F54" s="688" t="s">
        <v>389</v>
      </c>
      <c r="G54" s="893"/>
      <c r="H54" s="893"/>
      <c r="I54" s="893"/>
      <c r="J54" s="886"/>
      <c r="K54" s="886"/>
      <c r="L54" s="886"/>
      <c r="M54" s="524">
        <v>12</v>
      </c>
      <c r="N54" s="524" t="s">
        <v>8</v>
      </c>
      <c r="O54" s="524">
        <v>40</v>
      </c>
      <c r="P54" s="893"/>
      <c r="Q54" s="395"/>
    </row>
    <row r="55" spans="1:17" ht="30.1" customHeight="1" x14ac:dyDescent="0.25">
      <c r="A55" s="873"/>
      <c r="B55" s="875"/>
      <c r="C55" s="875"/>
      <c r="D55" s="875"/>
      <c r="E55" s="877"/>
      <c r="F55" s="688" t="s">
        <v>389</v>
      </c>
      <c r="G55" s="875"/>
      <c r="H55" s="875"/>
      <c r="I55" s="875"/>
      <c r="J55" s="881"/>
      <c r="K55" s="881"/>
      <c r="L55" s="881"/>
      <c r="M55" s="524">
        <v>12</v>
      </c>
      <c r="N55" s="524" t="s">
        <v>231</v>
      </c>
      <c r="O55" s="524">
        <v>40</v>
      </c>
      <c r="P55" s="875"/>
      <c r="Q55" s="365"/>
    </row>
    <row r="56" spans="1:17" ht="30.1" customHeight="1" x14ac:dyDescent="0.25">
      <c r="A56" s="364">
        <v>32</v>
      </c>
      <c r="B56" s="368" t="s">
        <v>1131</v>
      </c>
      <c r="C56" s="433" t="s">
        <v>1132</v>
      </c>
      <c r="D56" s="365" t="s">
        <v>375</v>
      </c>
      <c r="E56" s="366">
        <v>1067956060</v>
      </c>
      <c r="F56" s="681" t="s">
        <v>376</v>
      </c>
      <c r="G56" s="180" t="s">
        <v>1133</v>
      </c>
      <c r="H56" s="365" t="s">
        <v>1134</v>
      </c>
      <c r="I56" s="365">
        <v>3147296672</v>
      </c>
      <c r="J56" s="367">
        <v>43482</v>
      </c>
      <c r="K56" s="367">
        <v>43486</v>
      </c>
      <c r="L56" s="367">
        <v>43544</v>
      </c>
      <c r="M56" s="524">
        <v>10</v>
      </c>
      <c r="N56" s="524" t="s">
        <v>4</v>
      </c>
      <c r="O56" s="524">
        <v>20</v>
      </c>
      <c r="P56" s="365" t="s">
        <v>1135</v>
      </c>
      <c r="Q56" s="365"/>
    </row>
    <row r="57" spans="1:17" ht="30.1" customHeight="1" x14ac:dyDescent="0.25">
      <c r="A57" s="668">
        <v>33</v>
      </c>
      <c r="B57" s="757" t="s">
        <v>1144</v>
      </c>
      <c r="C57" s="757" t="s">
        <v>1145</v>
      </c>
      <c r="D57" s="758" t="s">
        <v>375</v>
      </c>
      <c r="E57" s="759">
        <v>64548823</v>
      </c>
      <c r="F57" s="679" t="s">
        <v>397</v>
      </c>
      <c r="G57" s="758"/>
      <c r="H57" s="758" t="s">
        <v>1146</v>
      </c>
      <c r="I57" s="758">
        <v>3126723228</v>
      </c>
      <c r="J57" s="760">
        <v>43483</v>
      </c>
      <c r="K57" s="760">
        <v>43486</v>
      </c>
      <c r="L57" s="760">
        <v>43524</v>
      </c>
      <c r="M57" s="758">
        <v>30</v>
      </c>
      <c r="N57" s="758" t="s">
        <v>4</v>
      </c>
      <c r="O57" s="758">
        <v>30</v>
      </c>
      <c r="P57" s="758" t="s">
        <v>1147</v>
      </c>
      <c r="Q57" s="758" t="s">
        <v>1394</v>
      </c>
    </row>
    <row r="58" spans="1:17" ht="30.1" customHeight="1" x14ac:dyDescent="0.25">
      <c r="A58" s="364">
        <v>34</v>
      </c>
      <c r="B58" s="368" t="s">
        <v>1152</v>
      </c>
      <c r="C58" s="433" t="s">
        <v>1153</v>
      </c>
      <c r="D58" s="365" t="s">
        <v>375</v>
      </c>
      <c r="E58" s="366">
        <v>34976329</v>
      </c>
      <c r="F58" s="681" t="s">
        <v>377</v>
      </c>
      <c r="G58" s="365" t="s">
        <v>602</v>
      </c>
      <c r="H58" s="365" t="s">
        <v>1154</v>
      </c>
      <c r="I58" s="365" t="s">
        <v>1155</v>
      </c>
      <c r="J58" s="367">
        <v>43487</v>
      </c>
      <c r="K58" s="367">
        <v>43488</v>
      </c>
      <c r="L58" s="367">
        <v>43518</v>
      </c>
      <c r="M58" s="524">
        <v>12</v>
      </c>
      <c r="N58" s="524" t="s">
        <v>4</v>
      </c>
      <c r="O58" s="524">
        <v>12</v>
      </c>
      <c r="P58" s="365"/>
      <c r="Q58" s="365"/>
    </row>
    <row r="59" spans="1:17" ht="30.1" customHeight="1" x14ac:dyDescent="0.25">
      <c r="A59" s="872">
        <v>35</v>
      </c>
      <c r="B59" s="874" t="s">
        <v>1156</v>
      </c>
      <c r="C59" s="874" t="s">
        <v>1157</v>
      </c>
      <c r="D59" s="874" t="s">
        <v>375</v>
      </c>
      <c r="E59" s="876">
        <v>1003047477</v>
      </c>
      <c r="F59" s="682" t="s">
        <v>377</v>
      </c>
      <c r="G59" s="874" t="s">
        <v>1158</v>
      </c>
      <c r="H59" s="874" t="s">
        <v>1159</v>
      </c>
      <c r="I59" s="874">
        <v>3163308988</v>
      </c>
      <c r="J59" s="880">
        <v>43487</v>
      </c>
      <c r="K59" s="880">
        <v>43488</v>
      </c>
      <c r="L59" s="880">
        <v>43577</v>
      </c>
      <c r="M59" s="524">
        <v>8</v>
      </c>
      <c r="N59" s="524" t="s">
        <v>4</v>
      </c>
      <c r="O59" s="524">
        <v>24</v>
      </c>
      <c r="P59" s="874" t="s">
        <v>1160</v>
      </c>
      <c r="Q59" s="365"/>
    </row>
    <row r="60" spans="1:17" ht="30.1" customHeight="1" x14ac:dyDescent="0.25">
      <c r="A60" s="890"/>
      <c r="B60" s="893"/>
      <c r="C60" s="893"/>
      <c r="D60" s="893"/>
      <c r="E60" s="894"/>
      <c r="F60" s="682" t="s">
        <v>377</v>
      </c>
      <c r="G60" s="893"/>
      <c r="H60" s="893"/>
      <c r="I60" s="893"/>
      <c r="J60" s="886"/>
      <c r="K60" s="886"/>
      <c r="L60" s="886"/>
      <c r="M60" s="524">
        <v>8</v>
      </c>
      <c r="N60" s="524" t="s">
        <v>8</v>
      </c>
      <c r="O60" s="524">
        <v>24</v>
      </c>
      <c r="P60" s="893"/>
      <c r="Q60" s="365"/>
    </row>
    <row r="61" spans="1:17" ht="30.1" customHeight="1" x14ac:dyDescent="0.25">
      <c r="A61" s="873"/>
      <c r="B61" s="875"/>
      <c r="C61" s="875"/>
      <c r="D61" s="875"/>
      <c r="E61" s="877"/>
      <c r="F61" s="682" t="s">
        <v>377</v>
      </c>
      <c r="G61" s="875"/>
      <c r="H61" s="875"/>
      <c r="I61" s="875"/>
      <c r="J61" s="881"/>
      <c r="K61" s="881"/>
      <c r="L61" s="881"/>
      <c r="M61" s="524">
        <v>8</v>
      </c>
      <c r="N61" s="524" t="s">
        <v>231</v>
      </c>
      <c r="O61" s="524">
        <v>24</v>
      </c>
      <c r="P61" s="875"/>
      <c r="Q61" s="435"/>
    </row>
    <row r="62" spans="1:17" ht="30.1" customHeight="1" x14ac:dyDescent="0.25">
      <c r="A62" s="437">
        <v>36</v>
      </c>
      <c r="B62" s="434" t="s">
        <v>1195</v>
      </c>
      <c r="C62" s="434" t="s">
        <v>1196</v>
      </c>
      <c r="D62" s="435" t="s">
        <v>375</v>
      </c>
      <c r="E62" s="438">
        <v>34986982</v>
      </c>
      <c r="F62" s="681" t="s">
        <v>376</v>
      </c>
      <c r="G62" s="435" t="s">
        <v>1197</v>
      </c>
      <c r="H62" s="435" t="s">
        <v>1198</v>
      </c>
      <c r="I62" s="435" t="s">
        <v>1199</v>
      </c>
      <c r="J62" s="436">
        <v>43494</v>
      </c>
      <c r="K62" s="436">
        <v>43496</v>
      </c>
      <c r="L62" s="436">
        <v>43524</v>
      </c>
      <c r="M62" s="524">
        <v>30</v>
      </c>
      <c r="N62" s="524" t="s">
        <v>4</v>
      </c>
      <c r="O62" s="524">
        <v>30</v>
      </c>
      <c r="P62" s="435"/>
      <c r="Q62" s="435"/>
    </row>
    <row r="63" spans="1:17" ht="30.1" customHeight="1" x14ac:dyDescent="0.25">
      <c r="A63" s="437">
        <v>37</v>
      </c>
      <c r="B63" s="434" t="s">
        <v>1210</v>
      </c>
      <c r="C63" s="434" t="s">
        <v>1211</v>
      </c>
      <c r="D63" s="435" t="s">
        <v>375</v>
      </c>
      <c r="E63" s="438">
        <v>50896122</v>
      </c>
      <c r="F63" s="681" t="s">
        <v>376</v>
      </c>
      <c r="G63" s="435"/>
      <c r="H63" s="435" t="s">
        <v>1212</v>
      </c>
      <c r="I63" s="435" t="s">
        <v>1213</v>
      </c>
      <c r="J63" s="436">
        <v>43495</v>
      </c>
      <c r="K63" s="436">
        <v>43496</v>
      </c>
      <c r="L63" s="436">
        <v>43511</v>
      </c>
      <c r="M63" s="524">
        <v>10</v>
      </c>
      <c r="N63" s="524" t="s">
        <v>4</v>
      </c>
      <c r="O63" s="524">
        <v>10</v>
      </c>
      <c r="P63" s="435"/>
      <c r="Q63" s="435"/>
    </row>
    <row r="64" spans="1:17" ht="30.1" customHeight="1" x14ac:dyDescent="0.25">
      <c r="A64" s="437">
        <v>38</v>
      </c>
      <c r="B64" s="434" t="s">
        <v>1216</v>
      </c>
      <c r="C64" s="434" t="s">
        <v>1217</v>
      </c>
      <c r="D64" s="435" t="s">
        <v>375</v>
      </c>
      <c r="E64" s="438">
        <v>26157674</v>
      </c>
      <c r="F64" s="679" t="s">
        <v>389</v>
      </c>
      <c r="G64" s="435"/>
      <c r="H64" s="435" t="s">
        <v>1218</v>
      </c>
      <c r="I64" s="435" t="s">
        <v>1219</v>
      </c>
      <c r="J64" s="436">
        <v>43495</v>
      </c>
      <c r="K64" s="436">
        <v>43495</v>
      </c>
      <c r="L64" s="436">
        <v>43503</v>
      </c>
      <c r="M64" s="524">
        <v>32</v>
      </c>
      <c r="N64" s="524" t="s">
        <v>5</v>
      </c>
      <c r="O64" s="524">
        <v>32</v>
      </c>
      <c r="P64" s="435" t="s">
        <v>1086</v>
      </c>
      <c r="Q64" s="435"/>
    </row>
    <row r="65" spans="1:17" ht="30.1" customHeight="1" x14ac:dyDescent="0.25">
      <c r="A65" s="437">
        <v>39</v>
      </c>
      <c r="B65" s="434" t="s">
        <v>1221</v>
      </c>
      <c r="C65" s="434" t="s">
        <v>1222</v>
      </c>
      <c r="D65" s="435" t="s">
        <v>375</v>
      </c>
      <c r="E65" s="438">
        <v>1067839486</v>
      </c>
      <c r="F65" s="681" t="s">
        <v>377</v>
      </c>
      <c r="G65" s="435" t="s">
        <v>606</v>
      </c>
      <c r="H65" s="435" t="s">
        <v>1223</v>
      </c>
      <c r="I65" s="435" t="s">
        <v>1224</v>
      </c>
      <c r="J65" s="436">
        <v>43497</v>
      </c>
      <c r="K65" s="436">
        <v>43500</v>
      </c>
      <c r="L65" s="436">
        <v>43527</v>
      </c>
      <c r="M65" s="524">
        <v>30</v>
      </c>
      <c r="N65" s="524" t="s">
        <v>4</v>
      </c>
      <c r="O65" s="524">
        <v>30</v>
      </c>
      <c r="P65" s="435"/>
      <c r="Q65" s="435"/>
    </row>
    <row r="66" spans="1:17" ht="30.1" customHeight="1" x14ac:dyDescent="0.25">
      <c r="A66" s="501">
        <v>40</v>
      </c>
      <c r="B66" s="503" t="s">
        <v>1225</v>
      </c>
      <c r="C66" s="503" t="s">
        <v>1226</v>
      </c>
      <c r="D66" s="499" t="s">
        <v>375</v>
      </c>
      <c r="E66" s="500">
        <v>26044552</v>
      </c>
      <c r="F66" s="681" t="s">
        <v>377</v>
      </c>
      <c r="G66" s="499" t="s">
        <v>1227</v>
      </c>
      <c r="H66" s="499" t="s">
        <v>1228</v>
      </c>
      <c r="I66" s="499" t="s">
        <v>1229</v>
      </c>
      <c r="J66" s="502">
        <v>43497</v>
      </c>
      <c r="K66" s="502">
        <v>43500</v>
      </c>
      <c r="L66" s="502">
        <v>43524</v>
      </c>
      <c r="M66" s="524">
        <v>12</v>
      </c>
      <c r="N66" s="524" t="s">
        <v>4</v>
      </c>
      <c r="O66" s="524">
        <v>12</v>
      </c>
      <c r="P66" s="499"/>
      <c r="Q66" s="499"/>
    </row>
    <row r="67" spans="1:17" ht="30.1" customHeight="1" x14ac:dyDescent="0.25">
      <c r="A67" s="872">
        <v>41</v>
      </c>
      <c r="B67" s="874" t="s">
        <v>1240</v>
      </c>
      <c r="C67" s="874" t="s">
        <v>1241</v>
      </c>
      <c r="D67" s="874" t="s">
        <v>375</v>
      </c>
      <c r="E67" s="876">
        <v>24887934</v>
      </c>
      <c r="F67" s="681" t="s">
        <v>377</v>
      </c>
      <c r="G67" s="874" t="s">
        <v>652</v>
      </c>
      <c r="H67" s="874" t="s">
        <v>1242</v>
      </c>
      <c r="I67" s="874" t="s">
        <v>1243</v>
      </c>
      <c r="J67" s="880">
        <v>43501</v>
      </c>
      <c r="K67" s="880">
        <v>43502</v>
      </c>
      <c r="L67" s="880">
        <v>43529</v>
      </c>
      <c r="M67" s="524">
        <v>16</v>
      </c>
      <c r="N67" s="524" t="s">
        <v>4</v>
      </c>
      <c r="O67" s="524">
        <v>16</v>
      </c>
      <c r="P67" s="435"/>
      <c r="Q67" s="435"/>
    </row>
    <row r="68" spans="1:17" ht="30.1" customHeight="1" x14ac:dyDescent="0.25">
      <c r="A68" s="873"/>
      <c r="B68" s="875"/>
      <c r="C68" s="875"/>
      <c r="D68" s="875"/>
      <c r="E68" s="877"/>
      <c r="F68" s="681" t="s">
        <v>377</v>
      </c>
      <c r="G68" s="875"/>
      <c r="H68" s="875"/>
      <c r="I68" s="875"/>
      <c r="J68" s="881"/>
      <c r="K68" s="881"/>
      <c r="L68" s="881"/>
      <c r="M68" s="524">
        <v>12</v>
      </c>
      <c r="N68" s="524" t="s">
        <v>5</v>
      </c>
      <c r="O68" s="524">
        <v>12</v>
      </c>
      <c r="P68" s="435"/>
      <c r="Q68" s="435"/>
    </row>
    <row r="69" spans="1:17" ht="36" customHeight="1" x14ac:dyDescent="0.25">
      <c r="A69" s="593">
        <v>42</v>
      </c>
      <c r="B69" s="595" t="s">
        <v>1272</v>
      </c>
      <c r="C69" s="595" t="s">
        <v>1273</v>
      </c>
      <c r="D69" s="591" t="s">
        <v>375</v>
      </c>
      <c r="E69" s="592">
        <v>2720188</v>
      </c>
      <c r="F69" s="681" t="s">
        <v>376</v>
      </c>
      <c r="G69" s="591" t="s">
        <v>593</v>
      </c>
      <c r="H69" s="591" t="s">
        <v>1274</v>
      </c>
      <c r="I69" s="591" t="s">
        <v>1275</v>
      </c>
      <c r="J69" s="594">
        <v>43495</v>
      </c>
      <c r="K69" s="594">
        <v>43496</v>
      </c>
      <c r="L69" s="594">
        <v>43511</v>
      </c>
      <c r="M69" s="591">
        <v>10</v>
      </c>
      <c r="N69" s="591" t="s">
        <v>4</v>
      </c>
      <c r="O69" s="591">
        <v>10</v>
      </c>
      <c r="P69" s="666" t="s">
        <v>1276</v>
      </c>
      <c r="Q69" s="591"/>
    </row>
    <row r="70" spans="1:17" ht="30.1" customHeight="1" x14ac:dyDescent="0.25">
      <c r="A70" s="437">
        <v>43</v>
      </c>
      <c r="B70" s="434" t="s">
        <v>1277</v>
      </c>
      <c r="C70" s="434" t="s">
        <v>1278</v>
      </c>
      <c r="D70" s="435" t="s">
        <v>375</v>
      </c>
      <c r="E70" s="438">
        <v>1541097</v>
      </c>
      <c r="F70" s="681" t="s">
        <v>1279</v>
      </c>
      <c r="G70" s="435" t="s">
        <v>1280</v>
      </c>
      <c r="H70" s="435" t="s">
        <v>1281</v>
      </c>
      <c r="I70" s="435" t="s">
        <v>1282</v>
      </c>
      <c r="J70" s="436">
        <v>43504</v>
      </c>
      <c r="K70" s="436">
        <v>43504</v>
      </c>
      <c r="L70" s="436">
        <v>43509</v>
      </c>
      <c r="M70" s="524">
        <v>10</v>
      </c>
      <c r="N70" s="524" t="s">
        <v>5</v>
      </c>
      <c r="O70" s="524">
        <v>10</v>
      </c>
      <c r="P70" s="435" t="s">
        <v>1283</v>
      </c>
      <c r="Q70" s="435"/>
    </row>
    <row r="71" spans="1:17" ht="30.1" customHeight="1" x14ac:dyDescent="0.25">
      <c r="A71" s="437">
        <v>44</v>
      </c>
      <c r="B71" s="434" t="s">
        <v>1312</v>
      </c>
      <c r="C71" s="434" t="s">
        <v>1313</v>
      </c>
      <c r="D71" s="435" t="s">
        <v>375</v>
      </c>
      <c r="E71" s="438">
        <v>1067850179</v>
      </c>
      <c r="F71" s="681" t="s">
        <v>377</v>
      </c>
      <c r="G71" s="435" t="s">
        <v>1314</v>
      </c>
      <c r="H71" s="435" t="s">
        <v>1315</v>
      </c>
      <c r="I71" s="435">
        <v>3003860328</v>
      </c>
      <c r="J71" s="436">
        <v>43508</v>
      </c>
      <c r="K71" s="436">
        <v>43508</v>
      </c>
      <c r="L71" s="436">
        <v>43513</v>
      </c>
      <c r="M71" s="524">
        <v>10</v>
      </c>
      <c r="N71" s="524" t="s">
        <v>5</v>
      </c>
      <c r="O71" s="524">
        <v>10</v>
      </c>
      <c r="P71" s="435" t="s">
        <v>1283</v>
      </c>
      <c r="Q71" s="435"/>
    </row>
    <row r="72" spans="1:17" ht="30.1" customHeight="1" x14ac:dyDescent="0.25">
      <c r="A72" s="437">
        <v>45</v>
      </c>
      <c r="B72" s="434" t="s">
        <v>1321</v>
      </c>
      <c r="C72" s="434" t="s">
        <v>1322</v>
      </c>
      <c r="D72" s="435" t="s">
        <v>375</v>
      </c>
      <c r="E72" s="438">
        <v>25765786</v>
      </c>
      <c r="F72" s="681" t="s">
        <v>1323</v>
      </c>
      <c r="G72" s="435" t="s">
        <v>1324</v>
      </c>
      <c r="H72" s="435" t="s">
        <v>1325</v>
      </c>
      <c r="I72" s="435" t="s">
        <v>1326</v>
      </c>
      <c r="J72" s="436">
        <v>43508</v>
      </c>
      <c r="K72" s="436">
        <v>43508</v>
      </c>
      <c r="L72" s="436">
        <v>43515</v>
      </c>
      <c r="M72" s="524">
        <v>42</v>
      </c>
      <c r="N72" s="524" t="s">
        <v>5</v>
      </c>
      <c r="O72" s="524">
        <v>42</v>
      </c>
      <c r="P72" s="435" t="s">
        <v>1327</v>
      </c>
      <c r="Q72" s="435"/>
    </row>
    <row r="73" spans="1:17" ht="30.1" customHeight="1" x14ac:dyDescent="0.25">
      <c r="A73" s="631">
        <v>46</v>
      </c>
      <c r="B73" s="628" t="s">
        <v>1328</v>
      </c>
      <c r="C73" s="628" t="s">
        <v>1329</v>
      </c>
      <c r="D73" s="629" t="s">
        <v>375</v>
      </c>
      <c r="E73" s="632">
        <v>25775590</v>
      </c>
      <c r="F73" s="681" t="s">
        <v>377</v>
      </c>
      <c r="G73" s="629" t="s">
        <v>602</v>
      </c>
      <c r="H73" s="629" t="s">
        <v>1330</v>
      </c>
      <c r="I73" s="629" t="s">
        <v>1331</v>
      </c>
      <c r="J73" s="630">
        <v>43509</v>
      </c>
      <c r="K73" s="630">
        <v>43510</v>
      </c>
      <c r="L73" s="630">
        <v>43598</v>
      </c>
      <c r="M73" s="629">
        <v>10</v>
      </c>
      <c r="N73" s="629" t="s">
        <v>4</v>
      </c>
      <c r="O73" s="629">
        <v>30</v>
      </c>
      <c r="P73" s="629"/>
      <c r="Q73" s="629"/>
    </row>
    <row r="74" spans="1:17" ht="30.1" customHeight="1" x14ac:dyDescent="0.25">
      <c r="A74" s="631">
        <v>47</v>
      </c>
      <c r="B74" s="628" t="s">
        <v>1336</v>
      </c>
      <c r="C74" s="628" t="s">
        <v>1337</v>
      </c>
      <c r="D74" s="629" t="s">
        <v>375</v>
      </c>
      <c r="E74" s="632">
        <v>6869481</v>
      </c>
      <c r="F74" s="681" t="s">
        <v>1279</v>
      </c>
      <c r="G74" s="629" t="s">
        <v>1338</v>
      </c>
      <c r="H74" s="629" t="s">
        <v>1339</v>
      </c>
      <c r="I74" s="629" t="s">
        <v>1340</v>
      </c>
      <c r="J74" s="630">
        <v>43509</v>
      </c>
      <c r="K74" s="630">
        <v>43510</v>
      </c>
      <c r="L74" s="630">
        <v>43554</v>
      </c>
      <c r="M74" s="629">
        <v>30</v>
      </c>
      <c r="N74" s="629" t="s">
        <v>4</v>
      </c>
      <c r="O74" s="629">
        <v>30</v>
      </c>
      <c r="P74" s="629"/>
      <c r="Q74" s="629"/>
    </row>
    <row r="75" spans="1:17" s="690" customFormat="1" ht="30.1" customHeight="1" x14ac:dyDescent="0.25">
      <c r="A75" s="872">
        <v>48</v>
      </c>
      <c r="B75" s="897" t="s">
        <v>655</v>
      </c>
      <c r="C75" s="897" t="s">
        <v>1342</v>
      </c>
      <c r="D75" s="874" t="s">
        <v>375</v>
      </c>
      <c r="E75" s="876">
        <v>6573462</v>
      </c>
      <c r="F75" s="815" t="s">
        <v>376</v>
      </c>
      <c r="G75" s="874" t="s">
        <v>593</v>
      </c>
      <c r="H75" s="874" t="s">
        <v>1343</v>
      </c>
      <c r="I75" s="874">
        <v>3205547766</v>
      </c>
      <c r="J75" s="880">
        <v>43509</v>
      </c>
      <c r="K75" s="880">
        <v>43510</v>
      </c>
      <c r="L75" s="880">
        <v>43537</v>
      </c>
      <c r="M75" s="815">
        <v>20</v>
      </c>
      <c r="N75" s="815" t="s">
        <v>4</v>
      </c>
      <c r="O75" s="815">
        <v>20</v>
      </c>
      <c r="P75" s="178"/>
      <c r="Q75" s="815"/>
    </row>
    <row r="76" spans="1:17" s="690" customFormat="1" ht="30.1" customHeight="1" x14ac:dyDescent="0.25">
      <c r="A76" s="873"/>
      <c r="B76" s="898"/>
      <c r="C76" s="898"/>
      <c r="D76" s="875"/>
      <c r="E76" s="877"/>
      <c r="F76" s="815" t="s">
        <v>376</v>
      </c>
      <c r="G76" s="875"/>
      <c r="H76" s="875"/>
      <c r="I76" s="875"/>
      <c r="J76" s="881"/>
      <c r="K76" s="881"/>
      <c r="L76" s="886"/>
      <c r="M76" s="815">
        <v>20</v>
      </c>
      <c r="N76" s="815" t="s">
        <v>8</v>
      </c>
      <c r="O76" s="815">
        <v>20</v>
      </c>
      <c r="P76" s="178"/>
      <c r="Q76" s="815"/>
    </row>
    <row r="77" spans="1:17" s="690" customFormat="1" ht="30.1" customHeight="1" x14ac:dyDescent="0.25">
      <c r="A77" s="889"/>
      <c r="B77" s="891"/>
      <c r="C77" s="891"/>
      <c r="D77" s="878"/>
      <c r="E77" s="879"/>
      <c r="F77" s="815" t="s">
        <v>376</v>
      </c>
      <c r="G77" s="878"/>
      <c r="H77" s="878"/>
      <c r="I77" s="878"/>
      <c r="J77" s="892"/>
      <c r="K77" s="892"/>
      <c r="L77" s="881"/>
      <c r="M77" s="815">
        <v>20</v>
      </c>
      <c r="N77" s="815" t="s">
        <v>231</v>
      </c>
      <c r="O77" s="815">
        <v>20</v>
      </c>
      <c r="P77" s="178"/>
      <c r="Q77" s="815"/>
    </row>
    <row r="78" spans="1:17" s="690" customFormat="1" ht="30.1" customHeight="1" x14ac:dyDescent="0.25">
      <c r="A78" s="889"/>
      <c r="B78" s="891"/>
      <c r="C78" s="891"/>
      <c r="D78" s="878"/>
      <c r="E78" s="879"/>
      <c r="F78" s="815" t="s">
        <v>376</v>
      </c>
      <c r="G78" s="878"/>
      <c r="H78" s="878"/>
      <c r="I78" s="878"/>
      <c r="J78" s="892"/>
      <c r="K78" s="680">
        <v>43509</v>
      </c>
      <c r="L78" s="177">
        <v>43511</v>
      </c>
      <c r="M78" s="815">
        <v>3</v>
      </c>
      <c r="N78" s="815" t="s">
        <v>5</v>
      </c>
      <c r="O78" s="815">
        <v>3</v>
      </c>
      <c r="P78" s="178"/>
      <c r="Q78" s="815"/>
    </row>
    <row r="79" spans="1:17" ht="30.1" customHeight="1" x14ac:dyDescent="0.25">
      <c r="A79" s="631">
        <v>49</v>
      </c>
      <c r="B79" s="628" t="s">
        <v>1372</v>
      </c>
      <c r="C79" s="628" t="s">
        <v>1373</v>
      </c>
      <c r="D79" s="629" t="s">
        <v>375</v>
      </c>
      <c r="E79" s="632">
        <v>25765766</v>
      </c>
      <c r="F79" s="681" t="s">
        <v>376</v>
      </c>
      <c r="G79" s="629" t="s">
        <v>1375</v>
      </c>
      <c r="H79" s="629" t="s">
        <v>331</v>
      </c>
      <c r="I79" s="629">
        <v>3013815708</v>
      </c>
      <c r="J79" s="630">
        <v>43512</v>
      </c>
      <c r="K79" s="630">
        <v>43512</v>
      </c>
      <c r="L79" s="630">
        <v>43518</v>
      </c>
      <c r="M79" s="629">
        <v>36</v>
      </c>
      <c r="N79" s="629" t="s">
        <v>5</v>
      </c>
      <c r="O79" s="629">
        <v>36</v>
      </c>
      <c r="P79" s="629" t="s">
        <v>1374</v>
      </c>
      <c r="Q79" s="629"/>
    </row>
    <row r="80" spans="1:17" ht="30.1" customHeight="1" x14ac:dyDescent="0.25">
      <c r="A80" s="631">
        <v>50</v>
      </c>
      <c r="B80" s="628" t="s">
        <v>1378</v>
      </c>
      <c r="C80" s="628" t="s">
        <v>1379</v>
      </c>
      <c r="D80" s="629" t="s">
        <v>375</v>
      </c>
      <c r="E80" s="632">
        <v>10790655</v>
      </c>
      <c r="F80" s="681" t="s">
        <v>377</v>
      </c>
      <c r="G80" s="629" t="s">
        <v>748</v>
      </c>
      <c r="H80" s="629" t="s">
        <v>1380</v>
      </c>
      <c r="I80" s="629" t="s">
        <v>1381</v>
      </c>
      <c r="J80" s="630">
        <v>43514</v>
      </c>
      <c r="K80" s="630">
        <v>43515</v>
      </c>
      <c r="L80" s="630">
        <v>43542</v>
      </c>
      <c r="M80" s="629">
        <v>15</v>
      </c>
      <c r="N80" s="629" t="s">
        <v>4</v>
      </c>
      <c r="O80" s="629">
        <v>15</v>
      </c>
      <c r="P80" s="629"/>
      <c r="Q80" s="629"/>
    </row>
    <row r="81" spans="1:17" s="690" customFormat="1" ht="30.1" customHeight="1" x14ac:dyDescent="0.25">
      <c r="A81" s="752">
        <v>51</v>
      </c>
      <c r="B81" s="753" t="s">
        <v>1382</v>
      </c>
      <c r="C81" s="753" t="s">
        <v>1383</v>
      </c>
      <c r="D81" s="753" t="s">
        <v>375</v>
      </c>
      <c r="E81" s="754">
        <v>25784560</v>
      </c>
      <c r="F81" s="753" t="s">
        <v>377</v>
      </c>
      <c r="G81" s="753" t="s">
        <v>593</v>
      </c>
      <c r="H81" s="753" t="s">
        <v>1384</v>
      </c>
      <c r="I81" s="753" t="s">
        <v>1385</v>
      </c>
      <c r="J81" s="747">
        <v>43514</v>
      </c>
      <c r="K81" s="747">
        <v>43515</v>
      </c>
      <c r="L81" s="747">
        <v>43542</v>
      </c>
      <c r="M81" s="750">
        <v>20</v>
      </c>
      <c r="N81" s="750" t="s">
        <v>4</v>
      </c>
      <c r="O81" s="750">
        <v>20</v>
      </c>
      <c r="P81" s="753"/>
      <c r="Q81" s="750"/>
    </row>
    <row r="82" spans="1:17" s="690" customFormat="1" ht="30.1" customHeight="1" x14ac:dyDescent="0.25">
      <c r="A82" s="748">
        <v>52</v>
      </c>
      <c r="B82" s="749" t="s">
        <v>1386</v>
      </c>
      <c r="C82" s="749" t="s">
        <v>1387</v>
      </c>
      <c r="D82" s="750" t="s">
        <v>375</v>
      </c>
      <c r="E82" s="751">
        <v>1074004827</v>
      </c>
      <c r="F82" s="750" t="s">
        <v>377</v>
      </c>
      <c r="G82" s="750" t="s">
        <v>676</v>
      </c>
      <c r="H82" s="750" t="s">
        <v>1388</v>
      </c>
      <c r="I82" s="750" t="s">
        <v>1389</v>
      </c>
      <c r="J82" s="746">
        <v>43514</v>
      </c>
      <c r="K82" s="746">
        <v>43515</v>
      </c>
      <c r="L82" s="746">
        <v>43603</v>
      </c>
      <c r="M82" s="750">
        <v>12</v>
      </c>
      <c r="N82" s="750" t="s">
        <v>4</v>
      </c>
      <c r="O82" s="750">
        <v>36</v>
      </c>
      <c r="P82" s="750" t="s">
        <v>1390</v>
      </c>
      <c r="Q82" s="750"/>
    </row>
    <row r="83" spans="1:17" s="290" customFormat="1" ht="30.1" customHeight="1" x14ac:dyDescent="0.25">
      <c r="A83" s="765">
        <v>53</v>
      </c>
      <c r="B83" s="766" t="s">
        <v>1418</v>
      </c>
      <c r="C83" s="766" t="s">
        <v>1419</v>
      </c>
      <c r="D83" s="767" t="s">
        <v>375</v>
      </c>
      <c r="E83" s="768">
        <v>35000129</v>
      </c>
      <c r="F83" s="767" t="s">
        <v>376</v>
      </c>
      <c r="G83" s="767" t="s">
        <v>1420</v>
      </c>
      <c r="H83" s="767" t="s">
        <v>1421</v>
      </c>
      <c r="I83" s="767" t="s">
        <v>1422</v>
      </c>
      <c r="J83" s="764">
        <v>43516</v>
      </c>
      <c r="K83" s="764">
        <v>43517</v>
      </c>
      <c r="L83" s="764">
        <v>43544</v>
      </c>
      <c r="M83" s="767">
        <v>30</v>
      </c>
      <c r="N83" s="767" t="s">
        <v>4</v>
      </c>
      <c r="O83" s="767">
        <v>30</v>
      </c>
      <c r="P83" s="767"/>
      <c r="Q83" s="767"/>
    </row>
    <row r="84" spans="1:17" ht="30.1" customHeight="1" x14ac:dyDescent="0.25">
      <c r="A84" s="631"/>
      <c r="B84" s="628"/>
      <c r="C84" s="628"/>
      <c r="D84" s="629"/>
      <c r="E84" s="632"/>
      <c r="F84" s="681"/>
      <c r="G84" s="629"/>
      <c r="H84" s="629"/>
      <c r="I84" s="629"/>
      <c r="J84" s="630"/>
      <c r="K84" s="630"/>
      <c r="L84" s="630"/>
      <c r="M84" s="629">
        <f>SUBTOTAL(9,M2:M83)</f>
        <v>1386</v>
      </c>
      <c r="N84" s="629"/>
      <c r="O84" s="629"/>
      <c r="P84" s="629"/>
      <c r="Q84" s="629"/>
    </row>
    <row r="85" spans="1:17" ht="30.1" customHeight="1" x14ac:dyDescent="0.25">
      <c r="A85" s="631"/>
      <c r="B85" s="628"/>
      <c r="C85" s="628"/>
      <c r="D85" s="629"/>
      <c r="E85" s="632"/>
      <c r="F85" s="681"/>
      <c r="G85" s="629"/>
      <c r="H85" s="629"/>
      <c r="I85" s="629"/>
      <c r="J85" s="630"/>
      <c r="K85" s="630"/>
      <c r="L85" s="630"/>
      <c r="M85" s="629"/>
      <c r="N85" s="629"/>
      <c r="O85" s="629"/>
      <c r="P85" s="629"/>
      <c r="Q85" s="629"/>
    </row>
    <row r="86" spans="1:17" ht="30.1" customHeight="1" x14ac:dyDescent="0.25">
      <c r="A86" s="631"/>
      <c r="B86" s="628"/>
      <c r="C86" s="628"/>
      <c r="D86" s="629"/>
      <c r="E86" s="632"/>
      <c r="F86" s="681"/>
      <c r="G86" s="629"/>
      <c r="H86" s="629"/>
      <c r="I86" s="629"/>
      <c r="J86" s="630"/>
      <c r="K86" s="630"/>
      <c r="L86" s="630"/>
      <c r="M86" s="629"/>
      <c r="N86" s="629"/>
      <c r="O86" s="629"/>
      <c r="P86" s="629"/>
      <c r="Q86" s="629"/>
    </row>
    <row r="87" spans="1:17" ht="30.1" customHeight="1" x14ac:dyDescent="0.25">
      <c r="A87" s="631"/>
      <c r="B87" s="628"/>
      <c r="C87" s="628"/>
      <c r="D87" s="629"/>
      <c r="E87" s="632"/>
      <c r="F87" s="681"/>
      <c r="G87" s="629"/>
      <c r="H87" s="629"/>
      <c r="I87" s="629"/>
      <c r="J87" s="630"/>
      <c r="K87" s="630"/>
      <c r="L87" s="630"/>
      <c r="M87" s="629"/>
      <c r="N87" s="629"/>
      <c r="O87" s="629"/>
      <c r="P87" s="629"/>
      <c r="Q87" s="629"/>
    </row>
    <row r="88" spans="1:17" ht="30.1" customHeight="1" x14ac:dyDescent="0.25">
      <c r="A88" s="631"/>
      <c r="B88" s="628"/>
      <c r="C88" s="628"/>
      <c r="D88" s="629"/>
      <c r="E88" s="632"/>
      <c r="F88" s="681"/>
      <c r="G88" s="629"/>
      <c r="H88" s="629"/>
      <c r="I88" s="629"/>
      <c r="J88" s="630"/>
      <c r="K88" s="630"/>
      <c r="L88" s="630"/>
      <c r="M88" s="629"/>
      <c r="N88" s="629"/>
      <c r="O88" s="629"/>
      <c r="P88" s="629"/>
      <c r="Q88" s="629"/>
    </row>
    <row r="89" spans="1:17" ht="30.1" customHeight="1" x14ac:dyDescent="0.25">
      <c r="A89" s="631"/>
      <c r="B89" s="628"/>
      <c r="C89" s="628"/>
      <c r="D89" s="629"/>
      <c r="E89" s="632"/>
      <c r="F89" s="681"/>
      <c r="G89" s="629"/>
      <c r="H89" s="629"/>
      <c r="I89" s="629"/>
      <c r="J89" s="630"/>
      <c r="K89" s="630"/>
      <c r="L89" s="630"/>
      <c r="M89" s="629"/>
      <c r="N89" s="629"/>
      <c r="O89" s="629"/>
      <c r="P89" s="629"/>
      <c r="Q89" s="629"/>
    </row>
    <row r="90" spans="1:17" ht="30.1" customHeight="1" x14ac:dyDescent="0.25">
      <c r="A90" s="631"/>
      <c r="B90" s="628"/>
      <c r="C90" s="628"/>
      <c r="D90" s="629"/>
      <c r="E90" s="632"/>
      <c r="F90" s="681"/>
      <c r="G90" s="629"/>
      <c r="H90" s="629"/>
      <c r="I90" s="629"/>
      <c r="J90" s="630"/>
      <c r="K90" s="630"/>
      <c r="L90" s="630"/>
      <c r="M90" s="629"/>
      <c r="N90" s="629"/>
      <c r="O90" s="629"/>
      <c r="P90" s="629"/>
      <c r="Q90" s="629"/>
    </row>
    <row r="91" spans="1:17" ht="30.1" customHeight="1" x14ac:dyDescent="0.25">
      <c r="A91" s="631"/>
      <c r="B91" s="628"/>
      <c r="C91" s="628"/>
      <c r="D91" s="629"/>
      <c r="E91" s="632"/>
      <c r="F91" s="681"/>
      <c r="G91" s="629"/>
      <c r="H91" s="629"/>
      <c r="I91" s="629"/>
      <c r="J91" s="630"/>
      <c r="K91" s="630"/>
      <c r="L91" s="630"/>
      <c r="M91" s="629"/>
      <c r="N91" s="629"/>
      <c r="O91" s="629"/>
      <c r="P91" s="629"/>
      <c r="Q91" s="629"/>
    </row>
    <row r="92" spans="1:17" ht="30.1" customHeight="1" x14ac:dyDescent="0.25">
      <c r="A92" s="631"/>
      <c r="B92" s="628"/>
      <c r="C92" s="628"/>
      <c r="D92" s="629"/>
      <c r="E92" s="632"/>
      <c r="F92" s="681"/>
      <c r="G92" s="629"/>
      <c r="H92" s="629"/>
      <c r="I92" s="629"/>
      <c r="J92" s="630"/>
      <c r="K92" s="630"/>
      <c r="L92" s="630"/>
      <c r="M92" s="629"/>
      <c r="N92" s="629"/>
      <c r="O92" s="629"/>
      <c r="P92" s="629"/>
      <c r="Q92" s="629"/>
    </row>
    <row r="93" spans="1:17" ht="30.1" customHeight="1" x14ac:dyDescent="0.25">
      <c r="A93" s="631"/>
      <c r="B93" s="628"/>
      <c r="C93" s="628"/>
      <c r="D93" s="629"/>
      <c r="E93" s="632"/>
      <c r="F93" s="681"/>
      <c r="G93" s="629"/>
      <c r="H93" s="629"/>
      <c r="I93" s="629"/>
      <c r="J93" s="630"/>
      <c r="K93" s="630"/>
      <c r="L93" s="630"/>
      <c r="M93" s="629"/>
      <c r="N93" s="629"/>
      <c r="O93" s="629"/>
      <c r="P93" s="629"/>
      <c r="Q93" s="629"/>
    </row>
    <row r="94" spans="1:17" ht="30.1" customHeight="1" x14ac:dyDescent="0.25">
      <c r="A94" s="631"/>
      <c r="B94" s="628"/>
      <c r="C94" s="628"/>
      <c r="D94" s="629"/>
      <c r="E94" s="632"/>
      <c r="F94" s="681"/>
      <c r="G94" s="629"/>
      <c r="H94" s="629"/>
      <c r="I94" s="629"/>
      <c r="J94" s="630"/>
      <c r="K94" s="630"/>
      <c r="L94" s="630"/>
      <c r="M94" s="629"/>
      <c r="N94" s="629"/>
      <c r="O94" s="629"/>
      <c r="P94" s="629"/>
      <c r="Q94" s="629"/>
    </row>
    <row r="95" spans="1:17" ht="30.1" customHeight="1" x14ac:dyDescent="0.25">
      <c r="A95" s="631"/>
      <c r="B95" s="628"/>
      <c r="C95" s="628"/>
      <c r="D95" s="629"/>
      <c r="E95" s="632"/>
      <c r="F95" s="681"/>
      <c r="G95" s="629"/>
      <c r="H95" s="629"/>
      <c r="I95" s="629"/>
      <c r="J95" s="630"/>
      <c r="K95" s="630"/>
      <c r="L95" s="630"/>
      <c r="M95" s="629"/>
      <c r="N95" s="629"/>
      <c r="O95" s="629"/>
      <c r="P95" s="629"/>
      <c r="Q95" s="629"/>
    </row>
    <row r="96" spans="1:17" ht="30.1" customHeight="1" x14ac:dyDescent="0.25">
      <c r="A96" s="631"/>
      <c r="B96" s="628"/>
      <c r="C96" s="628"/>
      <c r="D96" s="629"/>
      <c r="E96" s="632"/>
      <c r="F96" s="681"/>
      <c r="G96" s="629"/>
      <c r="H96" s="629"/>
      <c r="I96" s="629"/>
      <c r="J96" s="630"/>
      <c r="K96" s="630"/>
      <c r="L96" s="630"/>
      <c r="M96" s="629"/>
      <c r="N96" s="629"/>
      <c r="O96" s="629"/>
      <c r="P96" s="629"/>
      <c r="Q96" s="629"/>
    </row>
    <row r="97" spans="1:17" ht="30.1" customHeight="1" x14ac:dyDescent="0.25">
      <c r="A97" s="631"/>
      <c r="B97" s="628"/>
      <c r="C97" s="628"/>
      <c r="D97" s="629"/>
      <c r="E97" s="632"/>
      <c r="F97" s="681"/>
      <c r="G97" s="629"/>
      <c r="H97" s="629"/>
      <c r="I97" s="629"/>
      <c r="J97" s="630"/>
      <c r="K97" s="630"/>
      <c r="L97" s="630"/>
      <c r="M97" s="629"/>
      <c r="N97" s="629"/>
      <c r="O97" s="629"/>
      <c r="P97" s="629"/>
      <c r="Q97" s="629"/>
    </row>
    <row r="98" spans="1:17" ht="30.1" customHeight="1" x14ac:dyDescent="0.25">
      <c r="A98" s="631"/>
      <c r="B98" s="628"/>
      <c r="C98" s="628"/>
      <c r="D98" s="629"/>
      <c r="E98" s="632"/>
      <c r="F98" s="681"/>
      <c r="G98" s="629"/>
      <c r="H98" s="629"/>
      <c r="I98" s="629"/>
      <c r="J98" s="630"/>
      <c r="K98" s="630"/>
      <c r="L98" s="630"/>
      <c r="M98" s="629"/>
      <c r="N98" s="629"/>
      <c r="O98" s="629"/>
      <c r="P98" s="629"/>
      <c r="Q98" s="629"/>
    </row>
    <row r="99" spans="1:17" ht="30.1" customHeight="1" x14ac:dyDescent="0.25">
      <c r="A99" s="631"/>
      <c r="B99" s="628"/>
      <c r="C99" s="628"/>
      <c r="D99" s="629"/>
      <c r="E99" s="632"/>
      <c r="F99" s="681"/>
      <c r="G99" s="629"/>
      <c r="H99" s="629"/>
      <c r="I99" s="629"/>
      <c r="J99" s="630"/>
      <c r="K99" s="630"/>
      <c r="L99" s="630"/>
      <c r="M99" s="629"/>
      <c r="N99" s="629"/>
      <c r="O99" s="629"/>
      <c r="P99" s="629"/>
      <c r="Q99" s="629"/>
    </row>
    <row r="100" spans="1:17" ht="30.1" customHeight="1" x14ac:dyDescent="0.25">
      <c r="A100" s="631"/>
      <c r="B100" s="628"/>
      <c r="C100" s="628"/>
      <c r="D100" s="629"/>
      <c r="E100" s="632"/>
      <c r="F100" s="681"/>
      <c r="G100" s="629"/>
      <c r="H100" s="629"/>
      <c r="I100" s="629"/>
      <c r="J100" s="630"/>
      <c r="K100" s="630"/>
      <c r="L100" s="630"/>
      <c r="M100" s="629"/>
      <c r="N100" s="629"/>
      <c r="O100" s="629"/>
      <c r="P100" s="629"/>
      <c r="Q100" s="629"/>
    </row>
    <row r="101" spans="1:17" ht="30.1" customHeight="1" x14ac:dyDescent="0.25">
      <c r="A101" s="631"/>
      <c r="B101" s="628"/>
      <c r="C101" s="628"/>
      <c r="D101" s="629"/>
      <c r="E101" s="632"/>
      <c r="F101" s="681"/>
      <c r="G101" s="629"/>
      <c r="H101" s="629"/>
      <c r="I101" s="629"/>
      <c r="J101" s="630"/>
      <c r="K101" s="630"/>
      <c r="L101" s="630"/>
      <c r="M101" s="629"/>
      <c r="N101" s="629"/>
      <c r="O101" s="629"/>
      <c r="P101" s="629"/>
      <c r="Q101" s="629"/>
    </row>
    <row r="102" spans="1:17" ht="30.1" customHeight="1" x14ac:dyDescent="0.25">
      <c r="A102" s="631"/>
      <c r="B102" s="628"/>
      <c r="C102" s="628"/>
      <c r="D102" s="629"/>
      <c r="E102" s="632"/>
      <c r="F102" s="681"/>
      <c r="G102" s="629"/>
      <c r="H102" s="629"/>
      <c r="I102" s="629"/>
      <c r="J102" s="630"/>
      <c r="K102" s="630"/>
      <c r="L102" s="630"/>
      <c r="M102" s="629"/>
      <c r="N102" s="629"/>
      <c r="O102" s="629"/>
      <c r="P102" s="629"/>
      <c r="Q102" s="629"/>
    </row>
    <row r="103" spans="1:17" ht="30.1" customHeight="1" x14ac:dyDescent="0.25">
      <c r="A103" s="631"/>
      <c r="B103" s="628"/>
      <c r="C103" s="628"/>
      <c r="D103" s="629"/>
      <c r="E103" s="632"/>
      <c r="F103" s="681"/>
      <c r="G103" s="629"/>
      <c r="H103" s="629"/>
      <c r="I103" s="629"/>
      <c r="J103" s="630"/>
      <c r="K103" s="630"/>
      <c r="L103" s="630"/>
      <c r="M103" s="629"/>
      <c r="N103" s="629"/>
      <c r="O103" s="629"/>
      <c r="P103" s="629"/>
      <c r="Q103" s="629"/>
    </row>
    <row r="104" spans="1:17" ht="30.1" customHeight="1" x14ac:dyDescent="0.25">
      <c r="A104" s="631"/>
      <c r="B104" s="628"/>
      <c r="C104" s="628"/>
      <c r="D104" s="629"/>
      <c r="E104" s="632"/>
      <c r="F104" s="681"/>
      <c r="G104" s="629"/>
      <c r="H104" s="629"/>
      <c r="I104" s="629"/>
      <c r="J104" s="630"/>
      <c r="K104" s="630"/>
      <c r="L104" s="630"/>
      <c r="M104" s="629"/>
      <c r="N104" s="629"/>
      <c r="O104" s="629"/>
      <c r="P104" s="629"/>
      <c r="Q104" s="629"/>
    </row>
  </sheetData>
  <autoFilter ref="B1:R83"/>
  <mergeCells count="206">
    <mergeCell ref="K75:K77"/>
    <mergeCell ref="L75:L77"/>
    <mergeCell ref="A75:A78"/>
    <mergeCell ref="B75:B78"/>
    <mergeCell ref="C75:C78"/>
    <mergeCell ref="D75:D78"/>
    <mergeCell ref="E75:E78"/>
    <mergeCell ref="G75:G78"/>
    <mergeCell ref="H75:H78"/>
    <mergeCell ref="I75:I78"/>
    <mergeCell ref="J75:J78"/>
    <mergeCell ref="A44:A45"/>
    <mergeCell ref="B44:B45"/>
    <mergeCell ref="L67:L68"/>
    <mergeCell ref="A67:A68"/>
    <mergeCell ref="B67:B68"/>
    <mergeCell ref="C67:C68"/>
    <mergeCell ref="D67:D68"/>
    <mergeCell ref="E67:E68"/>
    <mergeCell ref="G67:G68"/>
    <mergeCell ref="H67:H68"/>
    <mergeCell ref="I67:I68"/>
    <mergeCell ref="J67:J68"/>
    <mergeCell ref="K67:K68"/>
    <mergeCell ref="K59:K61"/>
    <mergeCell ref="L59:L61"/>
    <mergeCell ref="A53:A55"/>
    <mergeCell ref="C53:C55"/>
    <mergeCell ref="D53:D55"/>
    <mergeCell ref="E53:E55"/>
    <mergeCell ref="G53:G55"/>
    <mergeCell ref="H53:H55"/>
    <mergeCell ref="I53:I55"/>
    <mergeCell ref="P59:P61"/>
    <mergeCell ref="J24:J26"/>
    <mergeCell ref="K24:K26"/>
    <mergeCell ref="D44:D45"/>
    <mergeCell ref="E44:E45"/>
    <mergeCell ref="G44:G45"/>
    <mergeCell ref="H44:H45"/>
    <mergeCell ref="I44:I45"/>
    <mergeCell ref="I35:I36"/>
    <mergeCell ref="H35:H36"/>
    <mergeCell ref="G35:G36"/>
    <mergeCell ref="K28:K29"/>
    <mergeCell ref="L28:L29"/>
    <mergeCell ref="J28:J29"/>
    <mergeCell ref="G33:G34"/>
    <mergeCell ref="H33:H34"/>
    <mergeCell ref="I33:I34"/>
    <mergeCell ref="L53:L55"/>
    <mergeCell ref="P53:P55"/>
    <mergeCell ref="J40:J42"/>
    <mergeCell ref="K40:K42"/>
    <mergeCell ref="D59:D61"/>
    <mergeCell ref="E35:E36"/>
    <mergeCell ref="L40:L42"/>
    <mergeCell ref="A35:A36"/>
    <mergeCell ref="B35:B36"/>
    <mergeCell ref="C35:C36"/>
    <mergeCell ref="D35:D36"/>
    <mergeCell ref="A33:A34"/>
    <mergeCell ref="B33:B34"/>
    <mergeCell ref="E33:E34"/>
    <mergeCell ref="J59:J61"/>
    <mergeCell ref="A59:A61"/>
    <mergeCell ref="B59:B61"/>
    <mergeCell ref="C59:C61"/>
    <mergeCell ref="E59:E61"/>
    <mergeCell ref="G59:G61"/>
    <mergeCell ref="H59:H61"/>
    <mergeCell ref="I59:I61"/>
    <mergeCell ref="C33:C34"/>
    <mergeCell ref="D33:D34"/>
    <mergeCell ref="A40:A42"/>
    <mergeCell ref="B40:B42"/>
    <mergeCell ref="C40:C42"/>
    <mergeCell ref="C44:C45"/>
    <mergeCell ref="G40:G42"/>
    <mergeCell ref="H40:H42"/>
    <mergeCell ref="B53:B55"/>
    <mergeCell ref="K20:K21"/>
    <mergeCell ref="E10:E12"/>
    <mergeCell ref="B20:B21"/>
    <mergeCell ref="C20:C21"/>
    <mergeCell ref="D20:D21"/>
    <mergeCell ref="E20:E21"/>
    <mergeCell ref="G20:G21"/>
    <mergeCell ref="H20:H21"/>
    <mergeCell ref="I20:I21"/>
    <mergeCell ref="J16:J19"/>
    <mergeCell ref="B14:B15"/>
    <mergeCell ref="C14:C15"/>
    <mergeCell ref="D14:D15"/>
    <mergeCell ref="E14:E15"/>
    <mergeCell ref="G14:G15"/>
    <mergeCell ref="H14:H15"/>
    <mergeCell ref="I14:I15"/>
    <mergeCell ref="B2:B5"/>
    <mergeCell ref="C2:C5"/>
    <mergeCell ref="D2:D5"/>
    <mergeCell ref="A2:A5"/>
    <mergeCell ref="L24:L26"/>
    <mergeCell ref="K30:K31"/>
    <mergeCell ref="L30:L31"/>
    <mergeCell ref="A24:A26"/>
    <mergeCell ref="G28:G29"/>
    <mergeCell ref="H28:H29"/>
    <mergeCell ref="I28:I29"/>
    <mergeCell ref="B24:B26"/>
    <mergeCell ref="C24:C26"/>
    <mergeCell ref="D24:D26"/>
    <mergeCell ref="E24:E26"/>
    <mergeCell ref="G24:G26"/>
    <mergeCell ref="H24:H26"/>
    <mergeCell ref="I24:I26"/>
    <mergeCell ref="E28:E29"/>
    <mergeCell ref="A22:A23"/>
    <mergeCell ref="I10:I12"/>
    <mergeCell ref="A10:A12"/>
    <mergeCell ref="J30:J31"/>
    <mergeCell ref="L20:L21"/>
    <mergeCell ref="Q17:Q19"/>
    <mergeCell ref="P10:P12"/>
    <mergeCell ref="Q10:Q12"/>
    <mergeCell ref="J14:J15"/>
    <mergeCell ref="K14:K15"/>
    <mergeCell ref="L14:L15"/>
    <mergeCell ref="P14:P15"/>
    <mergeCell ref="J10:J12"/>
    <mergeCell ref="K10:K12"/>
    <mergeCell ref="K17:K18"/>
    <mergeCell ref="L17:L18"/>
    <mergeCell ref="I2:I5"/>
    <mergeCell ref="L10:L12"/>
    <mergeCell ref="I16:I19"/>
    <mergeCell ref="P2:P5"/>
    <mergeCell ref="J2:J5"/>
    <mergeCell ref="K2:K5"/>
    <mergeCell ref="L2:L5"/>
    <mergeCell ref="P30:P31"/>
    <mergeCell ref="B10:B12"/>
    <mergeCell ref="P28:P29"/>
    <mergeCell ref="P20:P21"/>
    <mergeCell ref="J20:J21"/>
    <mergeCell ref="P16:P19"/>
    <mergeCell ref="G2:G5"/>
    <mergeCell ref="C16:C19"/>
    <mergeCell ref="D16:D19"/>
    <mergeCell ref="E16:E19"/>
    <mergeCell ref="H2:H5"/>
    <mergeCell ref="H10:H12"/>
    <mergeCell ref="C10:C12"/>
    <mergeCell ref="G16:G19"/>
    <mergeCell ref="H16:H19"/>
    <mergeCell ref="D10:D12"/>
    <mergeCell ref="E2:E5"/>
    <mergeCell ref="A16:A19"/>
    <mergeCell ref="A20:A21"/>
    <mergeCell ref="A30:A31"/>
    <mergeCell ref="B30:B31"/>
    <mergeCell ref="C30:C31"/>
    <mergeCell ref="D30:D31"/>
    <mergeCell ref="E30:E31"/>
    <mergeCell ref="I30:I31"/>
    <mergeCell ref="G10:G12"/>
    <mergeCell ref="B16:B19"/>
    <mergeCell ref="G30:G31"/>
    <mergeCell ref="H30:H31"/>
    <mergeCell ref="A14:A15"/>
    <mergeCell ref="I22:I23"/>
    <mergeCell ref="H22:H23"/>
    <mergeCell ref="B22:B23"/>
    <mergeCell ref="C22:C23"/>
    <mergeCell ref="D22:D23"/>
    <mergeCell ref="E22:E23"/>
    <mergeCell ref="G22:G23"/>
    <mergeCell ref="A28:A29"/>
    <mergeCell ref="B28:B29"/>
    <mergeCell ref="C28:C29"/>
    <mergeCell ref="D28:D29"/>
    <mergeCell ref="P40:P42"/>
    <mergeCell ref="L33:L34"/>
    <mergeCell ref="J44:J45"/>
    <mergeCell ref="K44:K45"/>
    <mergeCell ref="L44:L45"/>
    <mergeCell ref="P44:P45"/>
    <mergeCell ref="J33:J34"/>
    <mergeCell ref="K33:K34"/>
    <mergeCell ref="J53:J55"/>
    <mergeCell ref="K53:K55"/>
    <mergeCell ref="L35:L36"/>
    <mergeCell ref="K35:K36"/>
    <mergeCell ref="J35:J36"/>
    <mergeCell ref="P33:P34"/>
    <mergeCell ref="A38:A39"/>
    <mergeCell ref="B38:B39"/>
    <mergeCell ref="C38:C39"/>
    <mergeCell ref="D38:D39"/>
    <mergeCell ref="E38:E39"/>
    <mergeCell ref="G38:G39"/>
    <mergeCell ref="H38:H39"/>
    <mergeCell ref="I38:I39"/>
    <mergeCell ref="D40:D42"/>
    <mergeCell ref="E40:E42"/>
    <mergeCell ref="I40:I42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9"/>
  <sheetViews>
    <sheetView zoomScaleNormal="100" workbookViewId="0">
      <pane ySplit="1" topLeftCell="A11" activePane="bottomLeft" state="frozen"/>
      <selection pane="bottomLeft" activeCell="C18" sqref="C18:C19"/>
    </sheetView>
  </sheetViews>
  <sheetFormatPr baseColWidth="10" defaultColWidth="11.375" defaultRowHeight="30.1" customHeight="1" x14ac:dyDescent="0.25"/>
  <cols>
    <col min="1" max="1" width="4.25" style="7" customWidth="1"/>
    <col min="2" max="2" width="16.875" style="9" customWidth="1"/>
    <col min="3" max="3" width="18" style="9" customWidth="1"/>
    <col min="4" max="4" width="4.125" style="9" customWidth="1"/>
    <col min="5" max="5" width="14" style="12" customWidth="1"/>
    <col min="6" max="6" width="13.25" style="9" customWidth="1"/>
    <col min="7" max="7" width="13.875" style="9" customWidth="1"/>
    <col min="8" max="8" width="13.125" style="9" customWidth="1"/>
    <col min="9" max="9" width="17" style="9" customWidth="1"/>
    <col min="10" max="10" width="14.75" style="9" customWidth="1"/>
    <col min="11" max="11" width="12.25" style="147" customWidth="1"/>
    <col min="12" max="12" width="11.625" style="147" customWidth="1"/>
    <col min="13" max="13" width="11.875" style="147" customWidth="1"/>
    <col min="14" max="14" width="6.75" style="9" customWidth="1"/>
    <col min="15" max="15" width="7.625" style="9" customWidth="1"/>
    <col min="16" max="16" width="6.875" style="9" customWidth="1"/>
    <col min="17" max="17" width="21.375" style="9" customWidth="1"/>
    <col min="18" max="18" width="24.625" style="9" customWidth="1"/>
    <col min="19" max="19" width="39.875" style="13" customWidth="1"/>
    <col min="20" max="16384" width="11.375" style="10"/>
  </cols>
  <sheetData>
    <row r="1" spans="1:19" s="9" customFormat="1" ht="22.6" customHeight="1" x14ac:dyDescent="0.25">
      <c r="A1" s="71" t="s">
        <v>363</v>
      </c>
      <c r="B1" s="72" t="s">
        <v>364</v>
      </c>
      <c r="C1" s="72" t="s">
        <v>365</v>
      </c>
      <c r="D1" s="72" t="s">
        <v>366</v>
      </c>
      <c r="E1" s="181" t="s">
        <v>367</v>
      </c>
      <c r="F1" s="72" t="s">
        <v>368</v>
      </c>
      <c r="G1" s="182" t="s">
        <v>576</v>
      </c>
      <c r="H1" s="72" t="s">
        <v>12</v>
      </c>
      <c r="I1" s="72" t="s">
        <v>369</v>
      </c>
      <c r="J1" s="71" t="s">
        <v>0</v>
      </c>
      <c r="K1" s="183" t="s">
        <v>370</v>
      </c>
      <c r="L1" s="183" t="s">
        <v>1</v>
      </c>
      <c r="M1" s="183" t="s">
        <v>2</v>
      </c>
      <c r="N1" s="72" t="s">
        <v>694</v>
      </c>
      <c r="O1" s="72" t="s">
        <v>372</v>
      </c>
      <c r="P1" s="72" t="s">
        <v>695</v>
      </c>
      <c r="Q1" s="72" t="s">
        <v>447</v>
      </c>
      <c r="R1" s="72" t="s">
        <v>3</v>
      </c>
      <c r="S1" s="184" t="s">
        <v>446</v>
      </c>
    </row>
    <row r="2" spans="1:19" ht="30.1" customHeight="1" x14ac:dyDescent="0.25">
      <c r="A2" s="934">
        <v>1</v>
      </c>
      <c r="B2" s="925" t="s">
        <v>445</v>
      </c>
      <c r="C2" s="925" t="s">
        <v>444</v>
      </c>
      <c r="D2" s="925" t="s">
        <v>394</v>
      </c>
      <c r="E2" s="931">
        <v>1062605273</v>
      </c>
      <c r="F2" s="686" t="s">
        <v>410</v>
      </c>
      <c r="G2" s="925" t="s">
        <v>600</v>
      </c>
      <c r="H2" s="726" t="s">
        <v>9</v>
      </c>
      <c r="I2" s="925" t="s">
        <v>443</v>
      </c>
      <c r="J2" s="925">
        <v>3145290652</v>
      </c>
      <c r="K2" s="928">
        <v>43413</v>
      </c>
      <c r="L2" s="928">
        <v>43418</v>
      </c>
      <c r="M2" s="928">
        <v>43545</v>
      </c>
      <c r="N2" s="186">
        <v>20</v>
      </c>
      <c r="O2" s="186" t="s">
        <v>4</v>
      </c>
      <c r="P2" s="186">
        <v>90</v>
      </c>
      <c r="Q2" s="186" t="s">
        <v>7</v>
      </c>
      <c r="R2" s="925" t="s">
        <v>815</v>
      </c>
      <c r="S2" s="922" t="s">
        <v>903</v>
      </c>
    </row>
    <row r="3" spans="1:19" ht="30.1" customHeight="1" x14ac:dyDescent="0.25">
      <c r="A3" s="935"/>
      <c r="B3" s="926"/>
      <c r="C3" s="926"/>
      <c r="D3" s="926"/>
      <c r="E3" s="932"/>
      <c r="F3" s="686" t="s">
        <v>410</v>
      </c>
      <c r="G3" s="926"/>
      <c r="H3" s="726" t="s">
        <v>9</v>
      </c>
      <c r="I3" s="926"/>
      <c r="J3" s="926"/>
      <c r="K3" s="929"/>
      <c r="L3" s="929"/>
      <c r="M3" s="929"/>
      <c r="N3" s="186">
        <v>20</v>
      </c>
      <c r="O3" s="186" t="s">
        <v>8</v>
      </c>
      <c r="P3" s="186">
        <v>90</v>
      </c>
      <c r="Q3" s="186" t="s">
        <v>1261</v>
      </c>
      <c r="R3" s="926"/>
      <c r="S3" s="923"/>
    </row>
    <row r="4" spans="1:19" ht="30.1" customHeight="1" x14ac:dyDescent="0.25">
      <c r="A4" s="935"/>
      <c r="B4" s="926"/>
      <c r="C4" s="926"/>
      <c r="D4" s="926"/>
      <c r="E4" s="932"/>
      <c r="F4" s="686" t="s">
        <v>410</v>
      </c>
      <c r="G4" s="926"/>
      <c r="H4" s="726" t="s">
        <v>9</v>
      </c>
      <c r="I4" s="926"/>
      <c r="J4" s="926"/>
      <c r="K4" s="929"/>
      <c r="L4" s="929"/>
      <c r="M4" s="929"/>
      <c r="N4" s="186">
        <v>20</v>
      </c>
      <c r="O4" s="186" t="s">
        <v>231</v>
      </c>
      <c r="P4" s="186">
        <v>90</v>
      </c>
      <c r="Q4" s="186" t="s">
        <v>857</v>
      </c>
      <c r="R4" s="926"/>
      <c r="S4" s="923"/>
    </row>
    <row r="5" spans="1:19" ht="30.1" customHeight="1" x14ac:dyDescent="0.25">
      <c r="A5" s="936"/>
      <c r="B5" s="927"/>
      <c r="C5" s="927"/>
      <c r="D5" s="927"/>
      <c r="E5" s="933"/>
      <c r="F5" s="686" t="s">
        <v>410</v>
      </c>
      <c r="G5" s="927"/>
      <c r="H5" s="726" t="s">
        <v>9</v>
      </c>
      <c r="I5" s="927"/>
      <c r="J5" s="927"/>
      <c r="K5" s="930"/>
      <c r="L5" s="930"/>
      <c r="M5" s="930"/>
      <c r="N5" s="186">
        <v>20</v>
      </c>
      <c r="O5" s="186" t="s">
        <v>230</v>
      </c>
      <c r="P5" s="186">
        <v>90</v>
      </c>
      <c r="Q5" s="186" t="s">
        <v>225</v>
      </c>
      <c r="R5" s="927"/>
      <c r="S5" s="924"/>
    </row>
    <row r="6" spans="1:19" ht="30.1" customHeight="1" x14ac:dyDescent="0.25">
      <c r="A6" s="910">
        <v>2</v>
      </c>
      <c r="B6" s="907" t="s">
        <v>912</v>
      </c>
      <c r="C6" s="907" t="s">
        <v>913</v>
      </c>
      <c r="D6" s="907" t="s">
        <v>375</v>
      </c>
      <c r="E6" s="913">
        <v>26023342</v>
      </c>
      <c r="F6" s="684" t="s">
        <v>376</v>
      </c>
      <c r="G6" s="907" t="s">
        <v>593</v>
      </c>
      <c r="H6" s="724" t="s">
        <v>20</v>
      </c>
      <c r="I6" s="907" t="s">
        <v>861</v>
      </c>
      <c r="J6" s="907" t="s">
        <v>862</v>
      </c>
      <c r="K6" s="905">
        <v>43438</v>
      </c>
      <c r="L6" s="905">
        <v>43438</v>
      </c>
      <c r="M6" s="905">
        <v>43615</v>
      </c>
      <c r="N6" s="115">
        <v>20</v>
      </c>
      <c r="O6" s="115" t="s">
        <v>4</v>
      </c>
      <c r="P6" s="115">
        <v>120</v>
      </c>
      <c r="Q6" s="115" t="s">
        <v>6</v>
      </c>
      <c r="R6" s="907" t="s">
        <v>860</v>
      </c>
      <c r="S6" s="917" t="s">
        <v>914</v>
      </c>
    </row>
    <row r="7" spans="1:19" ht="30.1" customHeight="1" x14ac:dyDescent="0.25">
      <c r="A7" s="911"/>
      <c r="B7" s="916"/>
      <c r="C7" s="916"/>
      <c r="D7" s="916"/>
      <c r="E7" s="914"/>
      <c r="F7" s="684" t="s">
        <v>376</v>
      </c>
      <c r="G7" s="916"/>
      <c r="H7" s="724" t="s">
        <v>20</v>
      </c>
      <c r="I7" s="916"/>
      <c r="J7" s="916"/>
      <c r="K7" s="906"/>
      <c r="L7" s="906"/>
      <c r="M7" s="906"/>
      <c r="N7" s="115">
        <v>20</v>
      </c>
      <c r="O7" s="115" t="s">
        <v>8</v>
      </c>
      <c r="P7" s="115">
        <v>120</v>
      </c>
      <c r="Q7" s="115" t="s">
        <v>424</v>
      </c>
      <c r="R7" s="916"/>
      <c r="S7" s="918"/>
    </row>
    <row r="8" spans="1:19" ht="30.1" customHeight="1" x14ac:dyDescent="0.25">
      <c r="A8" s="912"/>
      <c r="B8" s="908"/>
      <c r="C8" s="908"/>
      <c r="D8" s="908"/>
      <c r="E8" s="915"/>
      <c r="F8" s="684" t="s">
        <v>376</v>
      </c>
      <c r="G8" s="908"/>
      <c r="H8" s="724" t="s">
        <v>20</v>
      </c>
      <c r="I8" s="908"/>
      <c r="J8" s="908"/>
      <c r="K8" s="909"/>
      <c r="L8" s="909"/>
      <c r="M8" s="909"/>
      <c r="N8" s="115">
        <v>20</v>
      </c>
      <c r="O8" s="115" t="s">
        <v>231</v>
      </c>
      <c r="P8" s="115">
        <v>120</v>
      </c>
      <c r="Q8" s="115" t="s">
        <v>789</v>
      </c>
      <c r="R8" s="908"/>
      <c r="S8" s="919"/>
    </row>
    <row r="9" spans="1:19" ht="30.1" customHeight="1" x14ac:dyDescent="0.25">
      <c r="A9" s="118">
        <v>3</v>
      </c>
      <c r="B9" s="115" t="s">
        <v>421</v>
      </c>
      <c r="C9" s="115" t="s">
        <v>420</v>
      </c>
      <c r="D9" s="115" t="s">
        <v>396</v>
      </c>
      <c r="E9" s="119">
        <v>1138028726</v>
      </c>
      <c r="F9" s="493" t="s">
        <v>397</v>
      </c>
      <c r="G9" s="115"/>
      <c r="H9" s="727" t="s">
        <v>15</v>
      </c>
      <c r="I9" s="115" t="s">
        <v>419</v>
      </c>
      <c r="J9" s="115">
        <v>3003446207</v>
      </c>
      <c r="K9" s="120">
        <v>43336</v>
      </c>
      <c r="L9" s="120">
        <v>43339</v>
      </c>
      <c r="M9" s="120">
        <v>43502</v>
      </c>
      <c r="N9" s="115">
        <v>48</v>
      </c>
      <c r="O9" s="115" t="s">
        <v>8</v>
      </c>
      <c r="P9" s="115">
        <v>48</v>
      </c>
      <c r="Q9" s="115" t="s">
        <v>418</v>
      </c>
      <c r="R9" s="115" t="s">
        <v>417</v>
      </c>
      <c r="S9" s="116" t="s">
        <v>416</v>
      </c>
    </row>
    <row r="10" spans="1:19" ht="30.1" customHeight="1" x14ac:dyDescent="0.25">
      <c r="A10" s="118">
        <v>4</v>
      </c>
      <c r="B10" s="115" t="s">
        <v>159</v>
      </c>
      <c r="C10" s="115" t="s">
        <v>549</v>
      </c>
      <c r="D10" s="115" t="s">
        <v>375</v>
      </c>
      <c r="E10" s="119">
        <v>1003288014</v>
      </c>
      <c r="F10" s="687" t="s">
        <v>377</v>
      </c>
      <c r="G10" s="115" t="s">
        <v>609</v>
      </c>
      <c r="H10" s="727" t="s">
        <v>550</v>
      </c>
      <c r="I10" s="121" t="s">
        <v>551</v>
      </c>
      <c r="J10" s="115" t="s">
        <v>552</v>
      </c>
      <c r="K10" s="120">
        <v>43427</v>
      </c>
      <c r="L10" s="120">
        <v>43428</v>
      </c>
      <c r="M10" s="120">
        <v>43608</v>
      </c>
      <c r="N10" s="115">
        <v>60</v>
      </c>
      <c r="O10" s="115" t="s">
        <v>4</v>
      </c>
      <c r="P10" s="115">
        <v>240</v>
      </c>
      <c r="Q10" s="115" t="s">
        <v>553</v>
      </c>
      <c r="R10" s="115" t="s">
        <v>836</v>
      </c>
      <c r="S10" s="144" t="s">
        <v>837</v>
      </c>
    </row>
    <row r="11" spans="1:19" ht="30.1" customHeight="1" x14ac:dyDescent="0.25">
      <c r="A11" s="118">
        <v>5</v>
      </c>
      <c r="B11" s="115" t="s">
        <v>665</v>
      </c>
      <c r="C11" s="115" t="s">
        <v>666</v>
      </c>
      <c r="D11" s="115" t="s">
        <v>375</v>
      </c>
      <c r="E11" s="119">
        <v>30625013</v>
      </c>
      <c r="F11" s="687" t="s">
        <v>410</v>
      </c>
      <c r="G11" s="115" t="s">
        <v>606</v>
      </c>
      <c r="H11" s="727" t="s">
        <v>228</v>
      </c>
      <c r="I11" s="115" t="s">
        <v>667</v>
      </c>
      <c r="J11" s="115" t="s">
        <v>668</v>
      </c>
      <c r="K11" s="120">
        <v>43447</v>
      </c>
      <c r="L11" s="120">
        <v>43466</v>
      </c>
      <c r="M11" s="120">
        <v>43554</v>
      </c>
      <c r="N11" s="115">
        <v>20</v>
      </c>
      <c r="O11" s="115" t="s">
        <v>4</v>
      </c>
      <c r="P11" s="115">
        <v>60</v>
      </c>
      <c r="Q11" s="115" t="s">
        <v>224</v>
      </c>
      <c r="R11" s="115" t="s">
        <v>669</v>
      </c>
      <c r="S11" s="116"/>
    </row>
    <row r="12" spans="1:19" ht="30.1" customHeight="1" x14ac:dyDescent="0.25">
      <c r="A12" s="910">
        <v>6</v>
      </c>
      <c r="B12" s="907" t="s">
        <v>671</v>
      </c>
      <c r="C12" s="907" t="s">
        <v>672</v>
      </c>
      <c r="D12" s="907" t="s">
        <v>375</v>
      </c>
      <c r="E12" s="913">
        <v>50847871</v>
      </c>
      <c r="F12" s="684" t="s">
        <v>377</v>
      </c>
      <c r="G12" s="907" t="s">
        <v>673</v>
      </c>
      <c r="H12" s="724" t="s">
        <v>9</v>
      </c>
      <c r="I12" s="907" t="s">
        <v>674</v>
      </c>
      <c r="J12" s="907">
        <v>3003961992</v>
      </c>
      <c r="K12" s="905">
        <v>43374</v>
      </c>
      <c r="L12" s="905">
        <v>43375</v>
      </c>
      <c r="M12" s="905">
        <v>43554</v>
      </c>
      <c r="N12" s="115">
        <v>20</v>
      </c>
      <c r="O12" s="115" t="s">
        <v>4</v>
      </c>
      <c r="P12" s="115">
        <v>120</v>
      </c>
      <c r="Q12" s="115" t="s">
        <v>7</v>
      </c>
      <c r="R12" s="907" t="s">
        <v>675</v>
      </c>
      <c r="S12" s="116"/>
    </row>
    <row r="13" spans="1:19" ht="30.1" customHeight="1" x14ac:dyDescent="0.25">
      <c r="A13" s="911"/>
      <c r="B13" s="916"/>
      <c r="C13" s="916"/>
      <c r="D13" s="916"/>
      <c r="E13" s="914"/>
      <c r="F13" s="684" t="s">
        <v>377</v>
      </c>
      <c r="G13" s="916"/>
      <c r="H13" s="724" t="s">
        <v>9</v>
      </c>
      <c r="I13" s="916"/>
      <c r="J13" s="916"/>
      <c r="K13" s="906"/>
      <c r="L13" s="906"/>
      <c r="M13" s="906"/>
      <c r="N13" s="115">
        <v>20</v>
      </c>
      <c r="O13" s="115" t="s">
        <v>231</v>
      </c>
      <c r="P13" s="115">
        <v>120</v>
      </c>
      <c r="Q13" s="115" t="s">
        <v>415</v>
      </c>
      <c r="R13" s="916"/>
      <c r="S13" s="116"/>
    </row>
    <row r="14" spans="1:19" ht="30.1" customHeight="1" x14ac:dyDescent="0.25">
      <c r="A14" s="912"/>
      <c r="B14" s="908"/>
      <c r="C14" s="908"/>
      <c r="D14" s="908"/>
      <c r="E14" s="915"/>
      <c r="F14" s="684" t="s">
        <v>377</v>
      </c>
      <c r="G14" s="908"/>
      <c r="H14" s="724" t="s">
        <v>9</v>
      </c>
      <c r="I14" s="908"/>
      <c r="J14" s="908"/>
      <c r="K14" s="909"/>
      <c r="L14" s="909"/>
      <c r="M14" s="909"/>
      <c r="N14" s="115">
        <v>20</v>
      </c>
      <c r="O14" s="115" t="s">
        <v>8</v>
      </c>
      <c r="P14" s="115">
        <v>120</v>
      </c>
      <c r="Q14" s="115" t="s">
        <v>432</v>
      </c>
      <c r="R14" s="908"/>
      <c r="S14" s="116"/>
    </row>
    <row r="15" spans="1:19" ht="30.1" customHeight="1" x14ac:dyDescent="0.25">
      <c r="A15" s="910">
        <v>7</v>
      </c>
      <c r="B15" s="903" t="s">
        <v>700</v>
      </c>
      <c r="C15" s="903" t="s">
        <v>701</v>
      </c>
      <c r="D15" s="903" t="s">
        <v>375</v>
      </c>
      <c r="E15" s="939">
        <v>9305275</v>
      </c>
      <c r="F15" s="685" t="s">
        <v>376</v>
      </c>
      <c r="G15" s="903" t="s">
        <v>602</v>
      </c>
      <c r="H15" s="725" t="s">
        <v>9</v>
      </c>
      <c r="I15" s="941" t="s">
        <v>702</v>
      </c>
      <c r="J15" s="937">
        <v>3113599433</v>
      </c>
      <c r="K15" s="920">
        <v>43454</v>
      </c>
      <c r="L15" s="920">
        <v>43455</v>
      </c>
      <c r="M15" s="920">
        <v>43516</v>
      </c>
      <c r="N15" s="122">
        <v>20</v>
      </c>
      <c r="O15" s="122" t="s">
        <v>4</v>
      </c>
      <c r="P15" s="122">
        <v>60</v>
      </c>
      <c r="Q15" s="122" t="s">
        <v>10</v>
      </c>
      <c r="R15" s="115"/>
      <c r="S15" s="116" t="s">
        <v>968</v>
      </c>
    </row>
    <row r="16" spans="1:19" ht="30.1" customHeight="1" x14ac:dyDescent="0.25">
      <c r="A16" s="912"/>
      <c r="B16" s="904"/>
      <c r="C16" s="904"/>
      <c r="D16" s="904"/>
      <c r="E16" s="940"/>
      <c r="F16" s="685" t="s">
        <v>376</v>
      </c>
      <c r="G16" s="904"/>
      <c r="H16" s="725" t="s">
        <v>9</v>
      </c>
      <c r="I16" s="904"/>
      <c r="J16" s="938"/>
      <c r="K16" s="921"/>
      <c r="L16" s="921"/>
      <c r="M16" s="921"/>
      <c r="N16" s="122">
        <v>12</v>
      </c>
      <c r="O16" s="122" t="s">
        <v>231</v>
      </c>
      <c r="P16" s="122">
        <v>36</v>
      </c>
      <c r="Q16" s="122" t="s">
        <v>415</v>
      </c>
      <c r="R16" s="115"/>
      <c r="S16" s="116"/>
    </row>
    <row r="17" spans="1:19" ht="30.1" customHeight="1" x14ac:dyDescent="0.25">
      <c r="A17" s="118">
        <v>8</v>
      </c>
      <c r="B17" s="186" t="s">
        <v>703</v>
      </c>
      <c r="C17" s="186" t="s">
        <v>704</v>
      </c>
      <c r="D17" s="115" t="s">
        <v>375</v>
      </c>
      <c r="E17" s="119">
        <v>78029710</v>
      </c>
      <c r="F17" s="687" t="s">
        <v>377</v>
      </c>
      <c r="G17" s="115" t="s">
        <v>705</v>
      </c>
      <c r="H17" s="727" t="s">
        <v>9</v>
      </c>
      <c r="I17" s="115" t="s">
        <v>1393</v>
      </c>
      <c r="J17" s="115" t="s">
        <v>706</v>
      </c>
      <c r="K17" s="120">
        <v>43384</v>
      </c>
      <c r="L17" s="120">
        <v>43385</v>
      </c>
      <c r="M17" s="120">
        <v>43566</v>
      </c>
      <c r="N17" s="115">
        <v>20</v>
      </c>
      <c r="O17" s="115" t="s">
        <v>4</v>
      </c>
      <c r="P17" s="115">
        <v>120</v>
      </c>
      <c r="Q17" s="115" t="s">
        <v>7</v>
      </c>
      <c r="R17" s="115" t="s">
        <v>707</v>
      </c>
      <c r="S17" s="115" t="s">
        <v>1262</v>
      </c>
    </row>
    <row r="18" spans="1:19" ht="30.1" customHeight="1" x14ac:dyDescent="0.25">
      <c r="A18" s="910">
        <v>9</v>
      </c>
      <c r="B18" s="907" t="s">
        <v>794</v>
      </c>
      <c r="C18" s="907" t="s">
        <v>795</v>
      </c>
      <c r="D18" s="907" t="s">
        <v>375</v>
      </c>
      <c r="E18" s="913">
        <v>10905262</v>
      </c>
      <c r="F18" s="684" t="s">
        <v>410</v>
      </c>
      <c r="G18" s="907" t="s">
        <v>799</v>
      </c>
      <c r="H18" s="724" t="s">
        <v>20</v>
      </c>
      <c r="I18" s="907" t="s">
        <v>796</v>
      </c>
      <c r="J18" s="907" t="s">
        <v>797</v>
      </c>
      <c r="K18" s="905">
        <v>43412</v>
      </c>
      <c r="L18" s="905">
        <v>43413</v>
      </c>
      <c r="M18" s="905">
        <v>43504</v>
      </c>
      <c r="N18" s="115">
        <v>12</v>
      </c>
      <c r="O18" s="115" t="s">
        <v>4</v>
      </c>
      <c r="P18" s="115">
        <v>36</v>
      </c>
      <c r="Q18" s="115" t="s">
        <v>677</v>
      </c>
      <c r="R18" s="907" t="s">
        <v>798</v>
      </c>
      <c r="S18" s="116"/>
    </row>
    <row r="19" spans="1:19" ht="30.1" customHeight="1" x14ac:dyDescent="0.25">
      <c r="A19" s="912"/>
      <c r="B19" s="908"/>
      <c r="C19" s="908"/>
      <c r="D19" s="908"/>
      <c r="E19" s="915"/>
      <c r="F19" s="684" t="s">
        <v>410</v>
      </c>
      <c r="G19" s="908"/>
      <c r="H19" s="724" t="s">
        <v>20</v>
      </c>
      <c r="I19" s="908"/>
      <c r="J19" s="908"/>
      <c r="K19" s="909"/>
      <c r="L19" s="909"/>
      <c r="M19" s="909"/>
      <c r="N19" s="115">
        <v>12</v>
      </c>
      <c r="O19" s="115" t="s">
        <v>8</v>
      </c>
      <c r="P19" s="115">
        <v>36</v>
      </c>
      <c r="Q19" s="115" t="s">
        <v>424</v>
      </c>
      <c r="R19" s="908"/>
      <c r="S19" s="116"/>
    </row>
    <row r="20" spans="1:19" ht="30.1" customHeight="1" x14ac:dyDescent="0.25">
      <c r="A20" s="910">
        <v>10</v>
      </c>
      <c r="B20" s="907" t="s">
        <v>820</v>
      </c>
      <c r="C20" s="907" t="s">
        <v>821</v>
      </c>
      <c r="D20" s="907" t="s">
        <v>396</v>
      </c>
      <c r="E20" s="913">
        <v>1138083910</v>
      </c>
      <c r="F20" s="684" t="s">
        <v>410</v>
      </c>
      <c r="G20" s="907" t="s">
        <v>822</v>
      </c>
      <c r="H20" s="724" t="s">
        <v>20</v>
      </c>
      <c r="I20" s="907" t="s">
        <v>819</v>
      </c>
      <c r="J20" s="907">
        <v>3108284745</v>
      </c>
      <c r="K20" s="905">
        <v>43420</v>
      </c>
      <c r="L20" s="905">
        <v>43423</v>
      </c>
      <c r="M20" s="905">
        <v>43603</v>
      </c>
      <c r="N20" s="115">
        <v>12</v>
      </c>
      <c r="O20" s="115" t="s">
        <v>4</v>
      </c>
      <c r="P20" s="115">
        <v>72</v>
      </c>
      <c r="Q20" s="115" t="s">
        <v>677</v>
      </c>
      <c r="R20" s="115"/>
      <c r="S20" s="116"/>
    </row>
    <row r="21" spans="1:19" ht="30.1" customHeight="1" x14ac:dyDescent="0.25">
      <c r="A21" s="911"/>
      <c r="B21" s="916"/>
      <c r="C21" s="916"/>
      <c r="D21" s="916"/>
      <c r="E21" s="914"/>
      <c r="F21" s="684" t="s">
        <v>410</v>
      </c>
      <c r="G21" s="916"/>
      <c r="H21" s="724" t="s">
        <v>20</v>
      </c>
      <c r="I21" s="916"/>
      <c r="J21" s="916"/>
      <c r="K21" s="906"/>
      <c r="L21" s="906"/>
      <c r="M21" s="906"/>
      <c r="N21" s="115">
        <v>12</v>
      </c>
      <c r="O21" s="115" t="s">
        <v>231</v>
      </c>
      <c r="P21" s="115">
        <v>72</v>
      </c>
      <c r="Q21" s="115" t="s">
        <v>789</v>
      </c>
      <c r="R21" s="115"/>
      <c r="S21" s="116"/>
    </row>
    <row r="22" spans="1:19" ht="30.1" customHeight="1" x14ac:dyDescent="0.25">
      <c r="A22" s="912"/>
      <c r="B22" s="908"/>
      <c r="C22" s="908"/>
      <c r="D22" s="908"/>
      <c r="E22" s="915"/>
      <c r="F22" s="684" t="s">
        <v>410</v>
      </c>
      <c r="G22" s="908"/>
      <c r="H22" s="724" t="s">
        <v>20</v>
      </c>
      <c r="I22" s="908"/>
      <c r="J22" s="908"/>
      <c r="K22" s="909"/>
      <c r="L22" s="909"/>
      <c r="M22" s="909"/>
      <c r="N22" s="115">
        <v>12</v>
      </c>
      <c r="O22" s="115" t="s">
        <v>8</v>
      </c>
      <c r="P22" s="115">
        <v>72</v>
      </c>
      <c r="Q22" s="115" t="s">
        <v>424</v>
      </c>
      <c r="R22" s="115"/>
      <c r="S22" s="116"/>
    </row>
    <row r="23" spans="1:19" ht="30.1" customHeight="1" x14ac:dyDescent="0.25">
      <c r="A23" s="910">
        <v>11</v>
      </c>
      <c r="B23" s="907" t="s">
        <v>823</v>
      </c>
      <c r="C23" s="907" t="s">
        <v>824</v>
      </c>
      <c r="D23" s="907" t="s">
        <v>375</v>
      </c>
      <c r="E23" s="913">
        <v>6661737</v>
      </c>
      <c r="F23" s="684" t="s">
        <v>410</v>
      </c>
      <c r="G23" s="907" t="s">
        <v>593</v>
      </c>
      <c r="H23" s="724" t="s">
        <v>20</v>
      </c>
      <c r="I23" s="907" t="s">
        <v>825</v>
      </c>
      <c r="J23" s="907">
        <v>3145171319</v>
      </c>
      <c r="K23" s="905">
        <v>43469</v>
      </c>
      <c r="L23" s="905">
        <v>43473</v>
      </c>
      <c r="M23" s="905">
        <v>43562</v>
      </c>
      <c r="N23" s="314">
        <v>12</v>
      </c>
      <c r="O23" s="314" t="s">
        <v>4</v>
      </c>
      <c r="P23" s="314">
        <v>36</v>
      </c>
      <c r="Q23" s="314" t="s">
        <v>6</v>
      </c>
      <c r="R23" s="907" t="s">
        <v>1032</v>
      </c>
      <c r="S23" s="899" t="s">
        <v>1424</v>
      </c>
    </row>
    <row r="24" spans="1:19" ht="30.1" customHeight="1" x14ac:dyDescent="0.25">
      <c r="A24" s="912"/>
      <c r="B24" s="908"/>
      <c r="C24" s="908"/>
      <c r="D24" s="908"/>
      <c r="E24" s="915"/>
      <c r="F24" s="684" t="s">
        <v>410</v>
      </c>
      <c r="G24" s="908"/>
      <c r="H24" s="724" t="s">
        <v>20</v>
      </c>
      <c r="I24" s="908"/>
      <c r="J24" s="908"/>
      <c r="K24" s="909"/>
      <c r="L24" s="909"/>
      <c r="M24" s="909"/>
      <c r="N24" s="115">
        <v>12</v>
      </c>
      <c r="O24" s="115" t="s">
        <v>231</v>
      </c>
      <c r="P24" s="115">
        <v>36</v>
      </c>
      <c r="Q24" s="115" t="s">
        <v>789</v>
      </c>
      <c r="R24" s="908"/>
      <c r="S24" s="900"/>
    </row>
    <row r="25" spans="1:19" ht="30.1" customHeight="1" x14ac:dyDescent="0.25">
      <c r="A25" s="118">
        <v>12</v>
      </c>
      <c r="B25" s="115" t="s">
        <v>829</v>
      </c>
      <c r="C25" s="115" t="s">
        <v>830</v>
      </c>
      <c r="D25" s="115" t="s">
        <v>375</v>
      </c>
      <c r="E25" s="119">
        <v>2809762</v>
      </c>
      <c r="F25" s="687" t="s">
        <v>410</v>
      </c>
      <c r="G25" s="115" t="s">
        <v>652</v>
      </c>
      <c r="H25" s="727" t="s">
        <v>800</v>
      </c>
      <c r="I25" s="115" t="s">
        <v>802</v>
      </c>
      <c r="J25" s="115" t="s">
        <v>831</v>
      </c>
      <c r="K25" s="120">
        <v>43427</v>
      </c>
      <c r="L25" s="120">
        <v>43430</v>
      </c>
      <c r="M25" s="120">
        <v>43549</v>
      </c>
      <c r="N25" s="115">
        <v>12</v>
      </c>
      <c r="O25" s="115" t="s">
        <v>4</v>
      </c>
      <c r="P25" s="115">
        <v>48</v>
      </c>
      <c r="Q25" s="115" t="s">
        <v>801</v>
      </c>
      <c r="R25" s="115" t="s">
        <v>832</v>
      </c>
      <c r="S25" s="116"/>
    </row>
    <row r="26" spans="1:19" ht="30.1" customHeight="1" x14ac:dyDescent="0.25">
      <c r="A26" s="910">
        <v>13</v>
      </c>
      <c r="B26" s="907" t="s">
        <v>852</v>
      </c>
      <c r="C26" s="907" t="s">
        <v>853</v>
      </c>
      <c r="D26" s="907" t="s">
        <v>375</v>
      </c>
      <c r="E26" s="913">
        <v>33166064</v>
      </c>
      <c r="F26" s="684" t="s">
        <v>376</v>
      </c>
      <c r="G26" s="907" t="s">
        <v>854</v>
      </c>
      <c r="H26" s="724" t="s">
        <v>9</v>
      </c>
      <c r="I26" s="907" t="s">
        <v>855</v>
      </c>
      <c r="J26" s="907" t="s">
        <v>856</v>
      </c>
      <c r="K26" s="905">
        <v>43470</v>
      </c>
      <c r="L26" s="905">
        <v>43473</v>
      </c>
      <c r="M26" s="905">
        <v>43554</v>
      </c>
      <c r="N26" s="115">
        <v>12</v>
      </c>
      <c r="O26" s="115" t="s">
        <v>4</v>
      </c>
      <c r="P26" s="115">
        <v>36</v>
      </c>
      <c r="Q26" s="115" t="s">
        <v>7</v>
      </c>
      <c r="R26" s="601"/>
      <c r="S26" s="116"/>
    </row>
    <row r="27" spans="1:19" ht="30.1" customHeight="1" x14ac:dyDescent="0.25">
      <c r="A27" s="911"/>
      <c r="B27" s="916"/>
      <c r="C27" s="916"/>
      <c r="D27" s="916"/>
      <c r="E27" s="914"/>
      <c r="F27" s="684" t="s">
        <v>376</v>
      </c>
      <c r="G27" s="916"/>
      <c r="H27" s="724" t="s">
        <v>9</v>
      </c>
      <c r="I27" s="916"/>
      <c r="J27" s="916"/>
      <c r="K27" s="906"/>
      <c r="L27" s="906"/>
      <c r="M27" s="906"/>
      <c r="N27" s="115">
        <v>12</v>
      </c>
      <c r="O27" s="115" t="s">
        <v>231</v>
      </c>
      <c r="P27" s="115">
        <v>36</v>
      </c>
      <c r="Q27" s="115" t="s">
        <v>857</v>
      </c>
      <c r="R27" s="115"/>
      <c r="S27" s="116"/>
    </row>
    <row r="28" spans="1:19" ht="30.1" customHeight="1" x14ac:dyDescent="0.25">
      <c r="A28" s="912"/>
      <c r="B28" s="908"/>
      <c r="C28" s="908"/>
      <c r="D28" s="908"/>
      <c r="E28" s="915"/>
      <c r="F28" s="684" t="s">
        <v>376</v>
      </c>
      <c r="G28" s="908"/>
      <c r="H28" s="724" t="s">
        <v>9</v>
      </c>
      <c r="I28" s="908"/>
      <c r="J28" s="908"/>
      <c r="K28" s="662">
        <v>43504</v>
      </c>
      <c r="L28" s="662">
        <v>43504</v>
      </c>
      <c r="M28" s="662">
        <v>43524</v>
      </c>
      <c r="N28" s="661">
        <v>12</v>
      </c>
      <c r="O28" s="661" t="s">
        <v>5</v>
      </c>
      <c r="P28" s="661">
        <v>12</v>
      </c>
      <c r="Q28" s="661" t="s">
        <v>7</v>
      </c>
      <c r="R28" s="661"/>
      <c r="S28" s="148"/>
    </row>
    <row r="29" spans="1:19" s="117" customFormat="1" ht="30.1" customHeight="1" x14ac:dyDescent="0.25">
      <c r="A29" s="118">
        <v>14</v>
      </c>
      <c r="B29" s="115" t="s">
        <v>953</v>
      </c>
      <c r="C29" s="115" t="s">
        <v>954</v>
      </c>
      <c r="D29" s="115" t="s">
        <v>375</v>
      </c>
      <c r="E29" s="119">
        <v>25135957</v>
      </c>
      <c r="F29" s="687" t="s">
        <v>410</v>
      </c>
      <c r="G29" s="115" t="s">
        <v>955</v>
      </c>
      <c r="H29" s="727" t="s">
        <v>411</v>
      </c>
      <c r="I29" s="115" t="s">
        <v>956</v>
      </c>
      <c r="J29" s="123" t="s">
        <v>957</v>
      </c>
      <c r="K29" s="120">
        <v>43448</v>
      </c>
      <c r="L29" s="120">
        <v>43451</v>
      </c>
      <c r="M29" s="120">
        <v>43512</v>
      </c>
      <c r="N29" s="115">
        <v>20</v>
      </c>
      <c r="O29" s="115" t="s">
        <v>4</v>
      </c>
      <c r="P29" s="115">
        <v>40</v>
      </c>
      <c r="Q29" s="115" t="s">
        <v>224</v>
      </c>
      <c r="R29" s="115" t="s">
        <v>958</v>
      </c>
      <c r="S29" s="116"/>
    </row>
    <row r="30" spans="1:19" s="1" customFormat="1" ht="23.3" customHeight="1" x14ac:dyDescent="0.25">
      <c r="A30" s="942">
        <v>15</v>
      </c>
      <c r="B30" s="943" t="s">
        <v>515</v>
      </c>
      <c r="C30" s="943" t="s">
        <v>516</v>
      </c>
      <c r="D30" s="903"/>
      <c r="E30" s="903"/>
      <c r="F30" s="687" t="s">
        <v>410</v>
      </c>
      <c r="G30" s="944" t="s">
        <v>619</v>
      </c>
      <c r="H30" s="727" t="s">
        <v>19</v>
      </c>
      <c r="I30" s="945"/>
      <c r="J30" s="903" t="s">
        <v>517</v>
      </c>
      <c r="K30" s="920">
        <v>43480</v>
      </c>
      <c r="L30" s="901">
        <v>43481</v>
      </c>
      <c r="M30" s="901">
        <v>43511</v>
      </c>
      <c r="N30" s="115">
        <v>16</v>
      </c>
      <c r="O30" s="115" t="s">
        <v>5</v>
      </c>
      <c r="P30" s="122">
        <v>16</v>
      </c>
      <c r="Q30" s="115" t="s">
        <v>18</v>
      </c>
      <c r="R30" s="122"/>
      <c r="S30" s="122"/>
    </row>
    <row r="31" spans="1:19" s="1" customFormat="1" ht="23.95" customHeight="1" x14ac:dyDescent="0.25">
      <c r="A31" s="942"/>
      <c r="B31" s="943"/>
      <c r="C31" s="943"/>
      <c r="D31" s="904"/>
      <c r="E31" s="904"/>
      <c r="F31" s="687" t="s">
        <v>410</v>
      </c>
      <c r="G31" s="944"/>
      <c r="H31" s="727" t="s">
        <v>19</v>
      </c>
      <c r="I31" s="945"/>
      <c r="J31" s="904"/>
      <c r="K31" s="904"/>
      <c r="L31" s="902"/>
      <c r="M31" s="902"/>
      <c r="N31" s="115">
        <v>20</v>
      </c>
      <c r="O31" s="115" t="s">
        <v>231</v>
      </c>
      <c r="P31" s="122">
        <v>20</v>
      </c>
      <c r="Q31" s="115" t="s">
        <v>518</v>
      </c>
      <c r="R31" s="122"/>
      <c r="S31" s="122"/>
    </row>
    <row r="32" spans="1:19" ht="30.1" customHeight="1" x14ac:dyDescent="0.25">
      <c r="A32" s="910">
        <v>16</v>
      </c>
      <c r="B32" s="907" t="s">
        <v>1089</v>
      </c>
      <c r="C32" s="907" t="s">
        <v>1090</v>
      </c>
      <c r="D32" s="907" t="s">
        <v>375</v>
      </c>
      <c r="E32" s="913">
        <v>1063140920</v>
      </c>
      <c r="F32" s="684" t="s">
        <v>377</v>
      </c>
      <c r="G32" s="373"/>
      <c r="H32" s="724" t="s">
        <v>21</v>
      </c>
      <c r="I32" s="907" t="s">
        <v>1091</v>
      </c>
      <c r="J32" s="907" t="s">
        <v>1092</v>
      </c>
      <c r="K32" s="905">
        <v>43480</v>
      </c>
      <c r="L32" s="905">
        <v>43481</v>
      </c>
      <c r="M32" s="905">
        <v>43600</v>
      </c>
      <c r="N32" s="376">
        <v>20</v>
      </c>
      <c r="O32" s="376" t="s">
        <v>4</v>
      </c>
      <c r="P32" s="376">
        <v>80</v>
      </c>
      <c r="Q32" s="376" t="s">
        <v>670</v>
      </c>
      <c r="R32" s="907" t="s">
        <v>1093</v>
      </c>
      <c r="S32" s="116"/>
    </row>
    <row r="33" spans="1:19" ht="30.1" customHeight="1" x14ac:dyDescent="0.25">
      <c r="A33" s="911"/>
      <c r="B33" s="916"/>
      <c r="C33" s="916"/>
      <c r="D33" s="916"/>
      <c r="E33" s="914"/>
      <c r="F33" s="684" t="s">
        <v>377</v>
      </c>
      <c r="G33" s="375"/>
      <c r="H33" s="724" t="s">
        <v>21</v>
      </c>
      <c r="I33" s="916"/>
      <c r="J33" s="916"/>
      <c r="K33" s="906"/>
      <c r="L33" s="906"/>
      <c r="M33" s="906"/>
      <c r="N33" s="376">
        <v>20</v>
      </c>
      <c r="O33" s="376" t="s">
        <v>8</v>
      </c>
      <c r="P33" s="376">
        <v>80</v>
      </c>
      <c r="Q33" s="376" t="s">
        <v>237</v>
      </c>
      <c r="R33" s="916"/>
      <c r="S33" s="116"/>
    </row>
    <row r="34" spans="1:19" ht="30.1" customHeight="1" x14ac:dyDescent="0.25">
      <c r="A34" s="912"/>
      <c r="B34" s="908"/>
      <c r="C34" s="908"/>
      <c r="D34" s="908"/>
      <c r="E34" s="915"/>
      <c r="F34" s="684" t="s">
        <v>377</v>
      </c>
      <c r="G34" s="374"/>
      <c r="H34" s="724" t="s">
        <v>21</v>
      </c>
      <c r="I34" s="908"/>
      <c r="J34" s="908"/>
      <c r="K34" s="909"/>
      <c r="L34" s="909"/>
      <c r="M34" s="909"/>
      <c r="N34" s="376">
        <v>12</v>
      </c>
      <c r="O34" s="376" t="s">
        <v>231</v>
      </c>
      <c r="P34" s="376">
        <v>48</v>
      </c>
      <c r="Q34" s="376" t="s">
        <v>431</v>
      </c>
      <c r="R34" s="908"/>
      <c r="S34" s="116"/>
    </row>
    <row r="35" spans="1:19" s="117" customFormat="1" ht="30.1" customHeight="1" x14ac:dyDescent="0.25">
      <c r="A35" s="396">
        <v>17</v>
      </c>
      <c r="B35" s="397" t="s">
        <v>1136</v>
      </c>
      <c r="C35" s="397" t="s">
        <v>1137</v>
      </c>
      <c r="D35" s="397" t="s">
        <v>375</v>
      </c>
      <c r="E35" s="119">
        <v>34970856</v>
      </c>
      <c r="F35" s="687" t="s">
        <v>376</v>
      </c>
      <c r="G35" s="397" t="s">
        <v>593</v>
      </c>
      <c r="H35" s="727" t="s">
        <v>9</v>
      </c>
      <c r="I35" s="397" t="s">
        <v>1138</v>
      </c>
      <c r="J35" s="397" t="s">
        <v>1139</v>
      </c>
      <c r="K35" s="398">
        <v>43483</v>
      </c>
      <c r="L35" s="398">
        <v>43486</v>
      </c>
      <c r="M35" s="398">
        <v>43516</v>
      </c>
      <c r="N35" s="397">
        <v>15</v>
      </c>
      <c r="O35" s="397" t="s">
        <v>4</v>
      </c>
      <c r="P35" s="397">
        <v>15</v>
      </c>
      <c r="Q35" s="397" t="s">
        <v>7</v>
      </c>
      <c r="R35" s="493" t="s">
        <v>1304</v>
      </c>
      <c r="S35" s="116"/>
    </row>
    <row r="36" spans="1:19" s="117" customFormat="1" ht="30.1" customHeight="1" x14ac:dyDescent="0.25">
      <c r="A36" s="439">
        <v>18</v>
      </c>
      <c r="B36" s="440" t="s">
        <v>1162</v>
      </c>
      <c r="C36" s="440" t="s">
        <v>1163</v>
      </c>
      <c r="D36" s="440" t="s">
        <v>375</v>
      </c>
      <c r="E36" s="119">
        <v>26192132</v>
      </c>
      <c r="F36" s="687" t="s">
        <v>376</v>
      </c>
      <c r="G36" s="440" t="s">
        <v>1164</v>
      </c>
      <c r="H36" s="727" t="s">
        <v>9</v>
      </c>
      <c r="I36" s="440" t="s">
        <v>1165</v>
      </c>
      <c r="J36" s="440" t="s">
        <v>1166</v>
      </c>
      <c r="K36" s="441">
        <v>43488</v>
      </c>
      <c r="L36" s="441">
        <v>43493</v>
      </c>
      <c r="M36" s="441">
        <v>43524</v>
      </c>
      <c r="N36" s="440">
        <v>30</v>
      </c>
      <c r="O36" s="440" t="s">
        <v>4</v>
      </c>
      <c r="P36" s="440">
        <v>30</v>
      </c>
      <c r="Q36" s="440" t="s">
        <v>1007</v>
      </c>
      <c r="R36" s="440"/>
      <c r="S36" s="116"/>
    </row>
    <row r="37" spans="1:19" ht="30.1" customHeight="1" x14ac:dyDescent="0.25">
      <c r="A37" s="625">
        <v>19</v>
      </c>
      <c r="B37" s="600" t="s">
        <v>1174</v>
      </c>
      <c r="C37" s="600" t="s">
        <v>1175</v>
      </c>
      <c r="D37" s="600" t="s">
        <v>375</v>
      </c>
      <c r="E37" s="715">
        <v>15047735</v>
      </c>
      <c r="F37" s="600" t="s">
        <v>377</v>
      </c>
      <c r="G37" s="600" t="s">
        <v>1176</v>
      </c>
      <c r="H37" s="600" t="s">
        <v>249</v>
      </c>
      <c r="I37" s="600" t="s">
        <v>1177</v>
      </c>
      <c r="J37" s="600" t="s">
        <v>1178</v>
      </c>
      <c r="K37" s="716">
        <v>43430</v>
      </c>
      <c r="L37" s="716">
        <v>43431</v>
      </c>
      <c r="M37" s="716">
        <v>43542</v>
      </c>
      <c r="N37" s="600">
        <v>20</v>
      </c>
      <c r="O37" s="600" t="s">
        <v>4</v>
      </c>
      <c r="P37" s="600">
        <v>20</v>
      </c>
      <c r="Q37" s="600" t="s">
        <v>1179</v>
      </c>
      <c r="R37" s="600"/>
      <c r="S37" s="717" t="s">
        <v>1355</v>
      </c>
    </row>
    <row r="38" spans="1:19" ht="30.1" customHeight="1" x14ac:dyDescent="0.25">
      <c r="A38" s="458">
        <v>20</v>
      </c>
      <c r="B38" s="459" t="s">
        <v>1180</v>
      </c>
      <c r="C38" s="459" t="s">
        <v>1181</v>
      </c>
      <c r="D38" s="459" t="s">
        <v>375</v>
      </c>
      <c r="E38" s="119">
        <v>25975119</v>
      </c>
      <c r="F38" s="687" t="s">
        <v>377</v>
      </c>
      <c r="G38" s="459" t="s">
        <v>602</v>
      </c>
      <c r="H38" s="727" t="s">
        <v>21</v>
      </c>
      <c r="I38" s="459" t="s">
        <v>1182</v>
      </c>
      <c r="J38" s="459" t="s">
        <v>497</v>
      </c>
      <c r="K38" s="460">
        <v>43489</v>
      </c>
      <c r="L38" s="460">
        <v>43490</v>
      </c>
      <c r="M38" s="460">
        <v>43520</v>
      </c>
      <c r="N38" s="459">
        <v>16</v>
      </c>
      <c r="O38" s="459" t="s">
        <v>4</v>
      </c>
      <c r="P38" s="459">
        <v>16</v>
      </c>
      <c r="Q38" s="459" t="s">
        <v>670</v>
      </c>
      <c r="R38" s="459"/>
      <c r="S38" s="116"/>
    </row>
    <row r="39" spans="1:19" ht="30.1" customHeight="1" x14ac:dyDescent="0.25">
      <c r="A39" s="280">
        <v>21</v>
      </c>
      <c r="B39" s="281" t="s">
        <v>1230</v>
      </c>
      <c r="C39" s="281" t="s">
        <v>1231</v>
      </c>
      <c r="D39" s="281" t="s">
        <v>375</v>
      </c>
      <c r="E39" s="119">
        <v>25975092</v>
      </c>
      <c r="F39" s="687" t="s">
        <v>377</v>
      </c>
      <c r="G39" s="281" t="s">
        <v>1232</v>
      </c>
      <c r="H39" s="727" t="s">
        <v>21</v>
      </c>
      <c r="I39" s="281"/>
      <c r="J39" s="281" t="s">
        <v>1233</v>
      </c>
      <c r="K39" s="282">
        <v>43501</v>
      </c>
      <c r="L39" s="282">
        <v>43502</v>
      </c>
      <c r="M39" s="282">
        <v>43524</v>
      </c>
      <c r="N39" s="281">
        <v>20</v>
      </c>
      <c r="O39" s="281" t="s">
        <v>4</v>
      </c>
      <c r="P39" s="281">
        <v>20</v>
      </c>
      <c r="Q39" s="281" t="s">
        <v>670</v>
      </c>
      <c r="R39" s="281"/>
      <c r="S39" s="116"/>
    </row>
    <row r="40" spans="1:19" ht="30.1" customHeight="1" x14ac:dyDescent="0.25">
      <c r="A40" s="280">
        <v>22</v>
      </c>
      <c r="B40" s="281" t="s">
        <v>1235</v>
      </c>
      <c r="C40" s="281" t="s">
        <v>1236</v>
      </c>
      <c r="D40" s="281" t="s">
        <v>375</v>
      </c>
      <c r="E40" s="119">
        <v>1578436</v>
      </c>
      <c r="F40" s="687" t="s">
        <v>377</v>
      </c>
      <c r="G40" s="281" t="s">
        <v>652</v>
      </c>
      <c r="H40" s="727" t="s">
        <v>101</v>
      </c>
      <c r="I40" s="281" t="s">
        <v>1237</v>
      </c>
      <c r="J40" s="281" t="s">
        <v>1238</v>
      </c>
      <c r="K40" s="282">
        <v>43501</v>
      </c>
      <c r="L40" s="282">
        <v>43502</v>
      </c>
      <c r="M40" s="282">
        <v>43524</v>
      </c>
      <c r="N40" s="281">
        <v>20</v>
      </c>
      <c r="O40" s="281" t="s">
        <v>4</v>
      </c>
      <c r="P40" s="281">
        <v>20</v>
      </c>
      <c r="Q40" s="281" t="s">
        <v>1239</v>
      </c>
      <c r="R40" s="281"/>
      <c r="S40" s="116"/>
    </row>
    <row r="41" spans="1:19" ht="30.1" customHeight="1" x14ac:dyDescent="0.25">
      <c r="A41" s="280">
        <v>23</v>
      </c>
      <c r="B41" s="281" t="s">
        <v>1094</v>
      </c>
      <c r="C41" s="281" t="s">
        <v>1270</v>
      </c>
      <c r="D41" s="281" t="s">
        <v>375</v>
      </c>
      <c r="E41" s="119">
        <v>25874350</v>
      </c>
      <c r="F41" s="687" t="s">
        <v>410</v>
      </c>
      <c r="G41" s="281" t="s">
        <v>938</v>
      </c>
      <c r="H41" s="727" t="s">
        <v>1271</v>
      </c>
      <c r="I41" s="281" t="s">
        <v>232</v>
      </c>
      <c r="J41" s="281">
        <v>3148386661</v>
      </c>
      <c r="K41" s="282">
        <v>43503</v>
      </c>
      <c r="L41" s="282">
        <v>43504</v>
      </c>
      <c r="M41" s="282">
        <v>43531</v>
      </c>
      <c r="N41" s="281">
        <v>20</v>
      </c>
      <c r="O41" s="281" t="s">
        <v>4</v>
      </c>
      <c r="P41" s="281">
        <v>20</v>
      </c>
      <c r="Q41" s="596" t="s">
        <v>23</v>
      </c>
      <c r="R41" s="281"/>
      <c r="S41" s="116"/>
    </row>
    <row r="42" spans="1:19" ht="30.1" customHeight="1" x14ac:dyDescent="0.25">
      <c r="A42" s="280">
        <v>24</v>
      </c>
      <c r="B42" s="281" t="s">
        <v>1306</v>
      </c>
      <c r="C42" s="281" t="s">
        <v>1307</v>
      </c>
      <c r="D42" s="281" t="s">
        <v>396</v>
      </c>
      <c r="E42" s="119">
        <v>1138033086</v>
      </c>
      <c r="F42" s="687" t="s">
        <v>1308</v>
      </c>
      <c r="G42" s="281" t="s">
        <v>1309</v>
      </c>
      <c r="H42" s="727" t="s">
        <v>9</v>
      </c>
      <c r="I42" s="281" t="s">
        <v>1310</v>
      </c>
      <c r="J42" s="281">
        <v>3007588801</v>
      </c>
      <c r="K42" s="282">
        <v>43507</v>
      </c>
      <c r="L42" s="282">
        <v>43507</v>
      </c>
      <c r="M42" s="282">
        <v>43510</v>
      </c>
      <c r="N42" s="281">
        <v>4</v>
      </c>
      <c r="O42" s="281" t="s">
        <v>5</v>
      </c>
      <c r="P42" s="281">
        <v>4</v>
      </c>
      <c r="Q42" s="281" t="s">
        <v>7</v>
      </c>
      <c r="R42" s="281"/>
      <c r="S42" s="116"/>
    </row>
    <row r="43" spans="1:19" ht="30.1" customHeight="1" x14ac:dyDescent="0.25">
      <c r="A43" s="280">
        <v>25</v>
      </c>
      <c r="B43" s="281"/>
      <c r="C43" s="281"/>
      <c r="D43" s="281"/>
      <c r="E43" s="119"/>
      <c r="F43" s="687"/>
      <c r="G43" s="281"/>
      <c r="H43" s="727"/>
      <c r="I43" s="281"/>
      <c r="J43" s="281"/>
      <c r="K43" s="282"/>
      <c r="L43" s="282"/>
      <c r="M43" s="282"/>
      <c r="N43" s="281"/>
      <c r="O43" s="281"/>
      <c r="P43" s="281"/>
      <c r="Q43" s="281"/>
      <c r="R43" s="281"/>
      <c r="S43" s="116"/>
    </row>
    <row r="44" spans="1:19" ht="30.1" customHeight="1" x14ac:dyDescent="0.25">
      <c r="A44" s="280"/>
      <c r="B44" s="281"/>
      <c r="C44" s="281"/>
      <c r="D44" s="281"/>
      <c r="E44" s="119"/>
      <c r="F44" s="687"/>
      <c r="G44" s="281"/>
      <c r="H44" s="727"/>
      <c r="I44" s="281"/>
      <c r="J44" s="281"/>
      <c r="K44" s="282"/>
      <c r="L44" s="282"/>
      <c r="M44" s="282"/>
      <c r="N44" s="281"/>
      <c r="O44" s="281"/>
      <c r="P44" s="281"/>
      <c r="Q44" s="281"/>
      <c r="R44" s="281"/>
      <c r="S44" s="116"/>
    </row>
    <row r="45" spans="1:19" ht="30.1" customHeight="1" x14ac:dyDescent="0.25">
      <c r="A45" s="280"/>
      <c r="B45" s="281"/>
      <c r="C45" s="281"/>
      <c r="D45" s="281"/>
      <c r="E45" s="119"/>
      <c r="F45" s="687"/>
      <c r="G45" s="281"/>
      <c r="H45" s="727"/>
      <c r="I45" s="281"/>
      <c r="J45" s="281"/>
      <c r="K45" s="282"/>
      <c r="L45" s="282"/>
      <c r="M45" s="282"/>
      <c r="N45" s="281"/>
      <c r="O45" s="281"/>
      <c r="P45" s="281"/>
      <c r="Q45" s="281"/>
      <c r="R45" s="281"/>
      <c r="S45" s="116"/>
    </row>
    <row r="46" spans="1:19" ht="30.1" customHeight="1" x14ac:dyDescent="0.25">
      <c r="A46" s="280"/>
      <c r="B46" s="281"/>
      <c r="C46" s="281"/>
      <c r="D46" s="281"/>
      <c r="E46" s="119"/>
      <c r="F46" s="687"/>
      <c r="G46" s="281"/>
      <c r="H46" s="727"/>
      <c r="I46" s="281"/>
      <c r="J46" s="281"/>
      <c r="K46" s="282"/>
      <c r="L46" s="282"/>
      <c r="M46" s="282"/>
      <c r="N46" s="281"/>
      <c r="O46" s="281"/>
      <c r="P46" s="281"/>
      <c r="Q46" s="281"/>
      <c r="R46" s="281"/>
      <c r="S46" s="116"/>
    </row>
    <row r="47" spans="1:19" ht="30.1" customHeight="1" x14ac:dyDescent="0.25">
      <c r="A47" s="280"/>
      <c r="B47" s="281"/>
      <c r="C47" s="281"/>
      <c r="D47" s="281"/>
      <c r="E47" s="119"/>
      <c r="F47" s="687"/>
      <c r="G47" s="281"/>
      <c r="H47" s="727"/>
      <c r="I47" s="281"/>
      <c r="J47" s="281"/>
      <c r="K47" s="282"/>
      <c r="L47" s="282"/>
      <c r="M47" s="282"/>
      <c r="N47" s="281"/>
      <c r="O47" s="281"/>
      <c r="P47" s="281"/>
      <c r="Q47" s="281"/>
      <c r="R47" s="281"/>
      <c r="S47" s="116"/>
    </row>
    <row r="48" spans="1:19" ht="30.1" customHeight="1" x14ac:dyDescent="0.25">
      <c r="A48" s="280"/>
      <c r="B48" s="281"/>
      <c r="C48" s="281"/>
      <c r="D48" s="281"/>
      <c r="E48" s="119"/>
      <c r="F48" s="687"/>
      <c r="G48" s="281"/>
      <c r="H48" s="727"/>
      <c r="I48" s="281"/>
      <c r="J48" s="281"/>
      <c r="K48" s="282"/>
      <c r="L48" s="282"/>
      <c r="M48" s="282"/>
      <c r="N48" s="281"/>
      <c r="O48" s="281"/>
      <c r="P48" s="281"/>
      <c r="Q48" s="281"/>
      <c r="R48" s="281"/>
      <c r="S48" s="116"/>
    </row>
    <row r="49" spans="1:19" ht="30.1" customHeight="1" x14ac:dyDescent="0.25">
      <c r="A49" s="280"/>
      <c r="B49" s="281"/>
      <c r="C49" s="281"/>
      <c r="D49" s="281"/>
      <c r="E49" s="119"/>
      <c r="F49" s="687"/>
      <c r="G49" s="281"/>
      <c r="H49" s="727"/>
      <c r="I49" s="281"/>
      <c r="J49" s="281"/>
      <c r="K49" s="282"/>
      <c r="L49" s="282"/>
      <c r="M49" s="282"/>
      <c r="N49" s="281"/>
      <c r="O49" s="281"/>
      <c r="P49" s="281"/>
      <c r="Q49" s="281"/>
      <c r="R49" s="281"/>
      <c r="S49" s="116"/>
    </row>
    <row r="50" spans="1:19" ht="30.1" customHeight="1" x14ac:dyDescent="0.25">
      <c r="A50" s="280"/>
      <c r="B50" s="281"/>
      <c r="C50" s="281"/>
      <c r="D50" s="281"/>
      <c r="E50" s="119"/>
      <c r="F50" s="687"/>
      <c r="G50" s="281"/>
      <c r="H50" s="727"/>
      <c r="I50" s="281"/>
      <c r="J50" s="281"/>
      <c r="K50" s="282"/>
      <c r="L50" s="282"/>
      <c r="M50" s="282"/>
      <c r="N50" s="281"/>
      <c r="O50" s="281"/>
      <c r="P50" s="281"/>
      <c r="Q50" s="281"/>
      <c r="R50" s="281"/>
      <c r="S50" s="116"/>
    </row>
    <row r="51" spans="1:19" ht="30.1" customHeight="1" x14ac:dyDescent="0.25">
      <c r="A51" s="280"/>
      <c r="B51" s="281"/>
      <c r="C51" s="281"/>
      <c r="D51" s="281"/>
      <c r="E51" s="119"/>
      <c r="F51" s="687"/>
      <c r="G51" s="281"/>
      <c r="H51" s="727"/>
      <c r="I51" s="281"/>
      <c r="J51" s="281"/>
      <c r="K51" s="282"/>
      <c r="L51" s="282"/>
      <c r="M51" s="282"/>
      <c r="N51" s="281"/>
      <c r="O51" s="281"/>
      <c r="P51" s="281"/>
      <c r="Q51" s="281"/>
      <c r="R51" s="281"/>
      <c r="S51" s="116"/>
    </row>
    <row r="52" spans="1:19" ht="30.1" customHeight="1" x14ac:dyDescent="0.25">
      <c r="A52" s="280"/>
      <c r="B52" s="281"/>
      <c r="C52" s="281"/>
      <c r="D52" s="281"/>
      <c r="E52" s="119"/>
      <c r="F52" s="687"/>
      <c r="G52" s="281"/>
      <c r="H52" s="727"/>
      <c r="I52" s="281"/>
      <c r="J52" s="281"/>
      <c r="K52" s="282"/>
      <c r="L52" s="282"/>
      <c r="M52" s="282"/>
      <c r="N52" s="281"/>
      <c r="O52" s="281"/>
      <c r="P52" s="281"/>
      <c r="Q52" s="281"/>
      <c r="R52" s="281"/>
      <c r="S52" s="116"/>
    </row>
    <row r="53" spans="1:19" ht="30.1" customHeight="1" x14ac:dyDescent="0.25">
      <c r="A53" s="280"/>
      <c r="B53" s="281"/>
      <c r="C53" s="281"/>
      <c r="D53" s="281"/>
      <c r="E53" s="119"/>
      <c r="F53" s="687"/>
      <c r="G53" s="281"/>
      <c r="H53" s="727"/>
      <c r="I53" s="281"/>
      <c r="J53" s="281"/>
      <c r="K53" s="282"/>
      <c r="L53" s="282"/>
      <c r="M53" s="282"/>
      <c r="N53" s="281"/>
      <c r="O53" s="281"/>
      <c r="P53" s="281"/>
      <c r="Q53" s="281"/>
      <c r="R53" s="281"/>
      <c r="S53" s="116"/>
    </row>
    <row r="54" spans="1:19" ht="30.1" customHeight="1" x14ac:dyDescent="0.25">
      <c r="A54" s="280"/>
      <c r="B54" s="281"/>
      <c r="C54" s="281"/>
      <c r="D54" s="281"/>
      <c r="E54" s="119"/>
      <c r="F54" s="687"/>
      <c r="G54" s="281"/>
      <c r="H54" s="727"/>
      <c r="I54" s="281"/>
      <c r="J54" s="281"/>
      <c r="K54" s="282"/>
      <c r="L54" s="282"/>
      <c r="M54" s="282"/>
      <c r="N54" s="281"/>
      <c r="O54" s="281"/>
      <c r="P54" s="281"/>
      <c r="Q54" s="281"/>
      <c r="R54" s="281"/>
      <c r="S54" s="116"/>
    </row>
    <row r="55" spans="1:19" ht="30.1" customHeight="1" x14ac:dyDescent="0.25">
      <c r="A55" s="280"/>
      <c r="B55" s="281"/>
      <c r="C55" s="281"/>
      <c r="D55" s="281"/>
      <c r="E55" s="119"/>
      <c r="F55" s="687"/>
      <c r="G55" s="281"/>
      <c r="H55" s="727"/>
      <c r="I55" s="281"/>
      <c r="J55" s="281"/>
      <c r="K55" s="282"/>
      <c r="L55" s="282"/>
      <c r="M55" s="282"/>
      <c r="N55" s="281"/>
      <c r="O55" s="281"/>
      <c r="P55" s="281"/>
      <c r="Q55" s="281"/>
      <c r="R55" s="281"/>
      <c r="S55" s="116"/>
    </row>
    <row r="56" spans="1:19" ht="30.1" customHeight="1" x14ac:dyDescent="0.25">
      <c r="A56" s="280"/>
      <c r="B56" s="281"/>
      <c r="C56" s="281"/>
      <c r="D56" s="281"/>
      <c r="E56" s="119"/>
      <c r="F56" s="687"/>
      <c r="G56" s="281"/>
      <c r="H56" s="727"/>
      <c r="I56" s="281"/>
      <c r="J56" s="281"/>
      <c r="K56" s="282"/>
      <c r="L56" s="282"/>
      <c r="M56" s="282"/>
      <c r="N56" s="281"/>
      <c r="O56" s="281"/>
      <c r="P56" s="281"/>
      <c r="Q56" s="281"/>
      <c r="R56" s="281"/>
      <c r="S56" s="116"/>
    </row>
    <row r="57" spans="1:19" ht="30.1" customHeight="1" x14ac:dyDescent="0.25">
      <c r="A57" s="280"/>
      <c r="B57" s="281"/>
      <c r="C57" s="281"/>
      <c r="D57" s="281"/>
      <c r="E57" s="119"/>
      <c r="F57" s="687"/>
      <c r="G57" s="281"/>
      <c r="H57" s="727"/>
      <c r="I57" s="281"/>
      <c r="J57" s="281"/>
      <c r="K57" s="282"/>
      <c r="L57" s="282"/>
      <c r="M57" s="282"/>
      <c r="N57" s="281"/>
      <c r="O57" s="281"/>
      <c r="P57" s="281"/>
      <c r="Q57" s="281"/>
      <c r="R57" s="281"/>
      <c r="S57" s="116"/>
    </row>
    <row r="58" spans="1:19" ht="30.1" customHeight="1" x14ac:dyDescent="0.25">
      <c r="A58" s="280"/>
      <c r="B58" s="281"/>
      <c r="C58" s="281"/>
      <c r="D58" s="281"/>
      <c r="E58" s="119"/>
      <c r="F58" s="687"/>
      <c r="G58" s="281"/>
      <c r="H58" s="727"/>
      <c r="I58" s="281"/>
      <c r="J58" s="281"/>
      <c r="K58" s="282"/>
      <c r="L58" s="282"/>
      <c r="M58" s="282"/>
      <c r="N58" s="281"/>
      <c r="O58" s="281"/>
      <c r="P58" s="281"/>
      <c r="Q58" s="281"/>
      <c r="R58" s="281"/>
      <c r="S58" s="116"/>
    </row>
    <row r="59" spans="1:19" ht="30.1" customHeight="1" x14ac:dyDescent="0.25">
      <c r="A59" s="280"/>
      <c r="B59" s="281"/>
      <c r="C59" s="281"/>
      <c r="D59" s="281"/>
      <c r="E59" s="119"/>
      <c r="F59" s="687"/>
      <c r="G59" s="281"/>
      <c r="H59" s="727"/>
      <c r="I59" s="281"/>
      <c r="J59" s="281"/>
      <c r="K59" s="282"/>
      <c r="L59" s="282"/>
      <c r="M59" s="282"/>
      <c r="N59" s="281"/>
      <c r="O59" s="281"/>
      <c r="P59" s="281"/>
      <c r="Q59" s="281"/>
      <c r="R59" s="281"/>
      <c r="S59" s="116"/>
    </row>
    <row r="60" spans="1:19" ht="30.1" customHeight="1" x14ac:dyDescent="0.25">
      <c r="A60" s="280"/>
      <c r="B60" s="281"/>
      <c r="C60" s="281"/>
      <c r="D60" s="281"/>
      <c r="E60" s="119"/>
      <c r="F60" s="687"/>
      <c r="G60" s="281"/>
      <c r="H60" s="727"/>
      <c r="I60" s="281"/>
      <c r="J60" s="281"/>
      <c r="K60" s="282"/>
      <c r="L60" s="282"/>
      <c r="M60" s="282"/>
      <c r="N60" s="281"/>
      <c r="O60" s="281"/>
      <c r="P60" s="281"/>
      <c r="Q60" s="281"/>
      <c r="R60" s="281"/>
      <c r="S60" s="116"/>
    </row>
    <row r="61" spans="1:19" ht="30.1" customHeight="1" x14ac:dyDescent="0.25">
      <c r="A61" s="280"/>
      <c r="B61" s="281"/>
      <c r="C61" s="281"/>
      <c r="D61" s="281"/>
      <c r="E61" s="119"/>
      <c r="F61" s="687"/>
      <c r="G61" s="281"/>
      <c r="H61" s="727"/>
      <c r="I61" s="281"/>
      <c r="J61" s="281"/>
      <c r="K61" s="282"/>
      <c r="L61" s="282"/>
      <c r="M61" s="282"/>
      <c r="N61" s="281"/>
      <c r="O61" s="281"/>
      <c r="P61" s="281"/>
      <c r="Q61" s="281"/>
      <c r="R61" s="281"/>
      <c r="S61" s="116"/>
    </row>
    <row r="62" spans="1:19" ht="30.1" customHeight="1" x14ac:dyDescent="0.25">
      <c r="A62" s="280"/>
      <c r="B62" s="281"/>
      <c r="C62" s="281"/>
      <c r="D62" s="281"/>
      <c r="E62" s="119"/>
      <c r="F62" s="687"/>
      <c r="G62" s="281"/>
      <c r="H62" s="727"/>
      <c r="I62" s="281"/>
      <c r="J62" s="281"/>
      <c r="K62" s="282"/>
      <c r="L62" s="282"/>
      <c r="M62" s="282"/>
      <c r="N62" s="281"/>
      <c r="O62" s="281"/>
      <c r="P62" s="281"/>
      <c r="Q62" s="281"/>
      <c r="R62" s="281"/>
      <c r="S62" s="116"/>
    </row>
    <row r="63" spans="1:19" ht="30.1" customHeight="1" x14ac:dyDescent="0.25">
      <c r="A63" s="280"/>
      <c r="B63" s="281"/>
      <c r="C63" s="281"/>
      <c r="D63" s="281"/>
      <c r="E63" s="119"/>
      <c r="F63" s="687"/>
      <c r="G63" s="281"/>
      <c r="H63" s="727"/>
      <c r="I63" s="281"/>
      <c r="J63" s="281"/>
      <c r="K63" s="282"/>
      <c r="L63" s="282"/>
      <c r="M63" s="282"/>
      <c r="N63" s="281"/>
      <c r="O63" s="281"/>
      <c r="P63" s="281"/>
      <c r="Q63" s="281"/>
      <c r="R63" s="281"/>
      <c r="S63" s="116"/>
    </row>
    <row r="64" spans="1:19" ht="30.1" customHeight="1" x14ac:dyDescent="0.25">
      <c r="A64" s="280"/>
      <c r="B64" s="281"/>
      <c r="C64" s="281"/>
      <c r="D64" s="281"/>
      <c r="E64" s="119"/>
      <c r="F64" s="687"/>
      <c r="G64" s="281"/>
      <c r="H64" s="727"/>
      <c r="I64" s="281"/>
      <c r="J64" s="281"/>
      <c r="K64" s="282"/>
      <c r="L64" s="282"/>
      <c r="M64" s="282"/>
      <c r="N64" s="281"/>
      <c r="O64" s="281"/>
      <c r="P64" s="281"/>
      <c r="Q64" s="281"/>
      <c r="R64" s="281"/>
      <c r="S64" s="116"/>
    </row>
    <row r="65" spans="1:19" ht="30.1" customHeight="1" x14ac:dyDescent="0.25">
      <c r="A65" s="280"/>
      <c r="B65" s="281"/>
      <c r="C65" s="281"/>
      <c r="D65" s="281"/>
      <c r="E65" s="119"/>
      <c r="F65" s="687"/>
      <c r="G65" s="281"/>
      <c r="H65" s="727"/>
      <c r="I65" s="281"/>
      <c r="J65" s="281"/>
      <c r="K65" s="282"/>
      <c r="L65" s="282"/>
      <c r="M65" s="282"/>
      <c r="N65" s="281"/>
      <c r="O65" s="281"/>
      <c r="P65" s="281"/>
      <c r="Q65" s="281"/>
      <c r="R65" s="281"/>
      <c r="S65" s="116"/>
    </row>
    <row r="66" spans="1:19" ht="30.1" customHeight="1" x14ac:dyDescent="0.25">
      <c r="A66" s="280"/>
      <c r="B66" s="281"/>
      <c r="C66" s="281"/>
      <c r="D66" s="281"/>
      <c r="E66" s="119"/>
      <c r="F66" s="687"/>
      <c r="G66" s="281"/>
      <c r="H66" s="727"/>
      <c r="I66" s="281"/>
      <c r="J66" s="281"/>
      <c r="K66" s="282"/>
      <c r="L66" s="282"/>
      <c r="M66" s="282"/>
      <c r="N66" s="281"/>
      <c r="O66" s="281"/>
      <c r="P66" s="281"/>
      <c r="Q66" s="281"/>
      <c r="R66" s="281"/>
      <c r="S66" s="116"/>
    </row>
    <row r="67" spans="1:19" ht="30.1" customHeight="1" x14ac:dyDescent="0.25">
      <c r="A67" s="280"/>
      <c r="B67" s="281"/>
      <c r="C67" s="281"/>
      <c r="D67" s="281"/>
      <c r="E67" s="119"/>
      <c r="F67" s="687"/>
      <c r="G67" s="281"/>
      <c r="H67" s="727"/>
      <c r="I67" s="281"/>
      <c r="J67" s="281"/>
      <c r="K67" s="282"/>
      <c r="L67" s="282"/>
      <c r="M67" s="282"/>
      <c r="N67" s="281"/>
      <c r="O67" s="281"/>
      <c r="P67" s="281"/>
      <c r="Q67" s="281"/>
      <c r="R67" s="281"/>
      <c r="S67" s="116"/>
    </row>
    <row r="68" spans="1:19" ht="30.1" customHeight="1" x14ac:dyDescent="0.25">
      <c r="A68" s="280"/>
      <c r="B68" s="281"/>
      <c r="C68" s="281"/>
      <c r="D68" s="281"/>
      <c r="E68" s="119"/>
      <c r="F68" s="687"/>
      <c r="G68" s="281"/>
      <c r="H68" s="727"/>
      <c r="I68" s="281"/>
      <c r="J68" s="281"/>
      <c r="K68" s="282"/>
      <c r="L68" s="282"/>
      <c r="M68" s="282"/>
      <c r="N68" s="281"/>
      <c r="O68" s="281"/>
      <c r="P68" s="281"/>
      <c r="Q68" s="281"/>
      <c r="R68" s="281"/>
      <c r="S68" s="116"/>
    </row>
    <row r="69" spans="1:19" ht="30.1" customHeight="1" x14ac:dyDescent="0.25">
      <c r="A69" s="280"/>
      <c r="B69" s="281"/>
      <c r="C69" s="281"/>
      <c r="D69" s="281"/>
      <c r="E69" s="119"/>
      <c r="F69" s="687"/>
      <c r="G69" s="281"/>
      <c r="H69" s="727"/>
      <c r="I69" s="281"/>
      <c r="J69" s="281"/>
      <c r="K69" s="282"/>
      <c r="L69" s="282"/>
      <c r="M69" s="282"/>
      <c r="N69" s="281"/>
      <c r="O69" s="281"/>
      <c r="P69" s="281"/>
      <c r="Q69" s="281"/>
      <c r="R69" s="281"/>
      <c r="S69" s="116"/>
    </row>
    <row r="70" spans="1:19" ht="30.1" customHeight="1" x14ac:dyDescent="0.25">
      <c r="A70" s="280"/>
      <c r="B70" s="281"/>
      <c r="C70" s="281"/>
      <c r="D70" s="281"/>
      <c r="E70" s="119"/>
      <c r="F70" s="687"/>
      <c r="G70" s="281"/>
      <c r="H70" s="727"/>
      <c r="I70" s="281"/>
      <c r="J70" s="281"/>
      <c r="K70" s="282"/>
      <c r="L70" s="282"/>
      <c r="M70" s="282"/>
      <c r="N70" s="281"/>
      <c r="O70" s="281"/>
      <c r="P70" s="281"/>
      <c r="Q70" s="281"/>
      <c r="R70" s="281"/>
      <c r="S70" s="116"/>
    </row>
    <row r="71" spans="1:19" ht="30.1" customHeight="1" x14ac:dyDescent="0.25">
      <c r="A71" s="280"/>
      <c r="B71" s="281"/>
      <c r="C71" s="281"/>
      <c r="D71" s="281"/>
      <c r="E71" s="119"/>
      <c r="F71" s="687"/>
      <c r="G71" s="281"/>
      <c r="H71" s="727"/>
      <c r="I71" s="281"/>
      <c r="J71" s="281"/>
      <c r="K71" s="282"/>
      <c r="L71" s="282"/>
      <c r="M71" s="282"/>
      <c r="N71" s="281"/>
      <c r="O71" s="281"/>
      <c r="P71" s="281"/>
      <c r="Q71" s="281"/>
      <c r="R71" s="281"/>
      <c r="S71" s="116"/>
    </row>
    <row r="72" spans="1:19" ht="30.1" customHeight="1" x14ac:dyDescent="0.25">
      <c r="A72" s="280"/>
      <c r="B72" s="281"/>
      <c r="C72" s="281"/>
      <c r="D72" s="281"/>
      <c r="E72" s="119"/>
      <c r="F72" s="687"/>
      <c r="G72" s="281"/>
      <c r="H72" s="727"/>
      <c r="I72" s="281"/>
      <c r="J72" s="281"/>
      <c r="K72" s="282"/>
      <c r="L72" s="282"/>
      <c r="M72" s="282"/>
      <c r="N72" s="281"/>
      <c r="O72" s="281"/>
      <c r="P72" s="281"/>
      <c r="Q72" s="281"/>
      <c r="R72" s="281"/>
      <c r="S72" s="116"/>
    </row>
    <row r="73" spans="1:19" ht="30.1" customHeight="1" x14ac:dyDescent="0.25">
      <c r="A73" s="280"/>
      <c r="B73" s="281"/>
      <c r="C73" s="281"/>
      <c r="D73" s="281"/>
      <c r="E73" s="119"/>
      <c r="F73" s="687"/>
      <c r="G73" s="281"/>
      <c r="H73" s="727"/>
      <c r="I73" s="281"/>
      <c r="J73" s="281"/>
      <c r="K73" s="282"/>
      <c r="L73" s="282"/>
      <c r="M73" s="282"/>
      <c r="N73" s="281"/>
      <c r="O73" s="281"/>
      <c r="P73" s="281"/>
      <c r="Q73" s="281"/>
      <c r="R73" s="281"/>
      <c r="S73" s="116"/>
    </row>
    <row r="74" spans="1:19" ht="30.1" customHeight="1" x14ac:dyDescent="0.25">
      <c r="A74" s="280"/>
      <c r="B74" s="281"/>
      <c r="C74" s="281"/>
      <c r="D74" s="281"/>
      <c r="E74" s="119"/>
      <c r="F74" s="687"/>
      <c r="G74" s="281"/>
      <c r="H74" s="727"/>
      <c r="I74" s="281"/>
      <c r="J74" s="281"/>
      <c r="K74" s="282"/>
      <c r="L74" s="282"/>
      <c r="M74" s="282"/>
      <c r="N74" s="281"/>
      <c r="O74" s="281"/>
      <c r="P74" s="281"/>
      <c r="Q74" s="281"/>
      <c r="R74" s="281"/>
      <c r="S74" s="116"/>
    </row>
    <row r="75" spans="1:19" ht="30.1" customHeight="1" x14ac:dyDescent="0.25">
      <c r="A75" s="280"/>
      <c r="B75" s="281"/>
      <c r="C75" s="281"/>
      <c r="D75" s="281"/>
      <c r="E75" s="119"/>
      <c r="F75" s="687"/>
      <c r="G75" s="281"/>
      <c r="H75" s="727"/>
      <c r="I75" s="281"/>
      <c r="J75" s="281"/>
      <c r="K75" s="282"/>
      <c r="L75" s="282"/>
      <c r="M75" s="282"/>
      <c r="N75" s="281"/>
      <c r="O75" s="281"/>
      <c r="P75" s="281"/>
      <c r="Q75" s="281"/>
      <c r="R75" s="281"/>
      <c r="S75" s="116"/>
    </row>
    <row r="76" spans="1:19" ht="30.1" customHeight="1" x14ac:dyDescent="0.25">
      <c r="A76" s="280"/>
      <c r="B76" s="281"/>
      <c r="C76" s="281"/>
      <c r="D76" s="281"/>
      <c r="E76" s="119"/>
      <c r="F76" s="687"/>
      <c r="G76" s="281"/>
      <c r="H76" s="727"/>
      <c r="I76" s="281"/>
      <c r="J76" s="281"/>
      <c r="K76" s="282"/>
      <c r="L76" s="282"/>
      <c r="M76" s="282"/>
      <c r="N76" s="281"/>
      <c r="O76" s="281"/>
      <c r="P76" s="281"/>
      <c r="Q76" s="281"/>
      <c r="R76" s="281"/>
      <c r="S76" s="116"/>
    </row>
    <row r="77" spans="1:19" ht="30.1" customHeight="1" x14ac:dyDescent="0.25">
      <c r="A77" s="280"/>
      <c r="B77" s="281"/>
      <c r="C77" s="281"/>
      <c r="D77" s="281"/>
      <c r="E77" s="119"/>
      <c r="F77" s="687"/>
      <c r="G77" s="281"/>
      <c r="H77" s="727"/>
      <c r="I77" s="281"/>
      <c r="J77" s="281"/>
      <c r="K77" s="282"/>
      <c r="L77" s="282"/>
      <c r="M77" s="282"/>
      <c r="N77" s="281"/>
      <c r="O77" s="281"/>
      <c r="P77" s="281"/>
      <c r="Q77" s="281"/>
      <c r="R77" s="281"/>
      <c r="S77" s="116"/>
    </row>
    <row r="78" spans="1:19" ht="30.1" customHeight="1" x14ac:dyDescent="0.25">
      <c r="A78" s="280"/>
      <c r="B78" s="281"/>
      <c r="C78" s="281"/>
      <c r="D78" s="281"/>
      <c r="E78" s="119"/>
      <c r="F78" s="687"/>
      <c r="G78" s="281"/>
      <c r="H78" s="727"/>
      <c r="I78" s="281"/>
      <c r="J78" s="281"/>
      <c r="K78" s="282"/>
      <c r="L78" s="282"/>
      <c r="M78" s="282"/>
      <c r="N78" s="281"/>
      <c r="O78" s="281"/>
      <c r="P78" s="281"/>
      <c r="Q78" s="281"/>
      <c r="R78" s="281"/>
      <c r="S78" s="116"/>
    </row>
    <row r="79" spans="1:19" ht="30.1" customHeight="1" x14ac:dyDescent="0.25">
      <c r="A79" s="280"/>
      <c r="B79" s="281"/>
      <c r="C79" s="281"/>
      <c r="D79" s="281"/>
      <c r="E79" s="119"/>
      <c r="F79" s="687"/>
      <c r="G79" s="281"/>
      <c r="H79" s="727"/>
      <c r="I79" s="281"/>
      <c r="J79" s="281"/>
      <c r="K79" s="282"/>
      <c r="L79" s="282"/>
      <c r="M79" s="282"/>
      <c r="N79" s="281"/>
      <c r="O79" s="281"/>
      <c r="P79" s="281"/>
      <c r="Q79" s="281"/>
      <c r="R79" s="281"/>
      <c r="S79" s="116"/>
    </row>
  </sheetData>
  <autoFilter ref="B1:T43"/>
  <mergeCells count="118">
    <mergeCell ref="R32:R34"/>
    <mergeCell ref="A32:A34"/>
    <mergeCell ref="B32:B34"/>
    <mergeCell ref="C32:C34"/>
    <mergeCell ref="D32:D34"/>
    <mergeCell ref="E32:E34"/>
    <mergeCell ref="I32:I34"/>
    <mergeCell ref="J32:J34"/>
    <mergeCell ref="L32:L34"/>
    <mergeCell ref="M32:M34"/>
    <mergeCell ref="A18:A19"/>
    <mergeCell ref="B18:B19"/>
    <mergeCell ref="C18:C19"/>
    <mergeCell ref="E18:E19"/>
    <mergeCell ref="D18:D19"/>
    <mergeCell ref="G18:G19"/>
    <mergeCell ref="K32:K34"/>
    <mergeCell ref="K18:K19"/>
    <mergeCell ref="B20:B22"/>
    <mergeCell ref="C20:C22"/>
    <mergeCell ref="B26:B28"/>
    <mergeCell ref="A26:A28"/>
    <mergeCell ref="C26:C28"/>
    <mergeCell ref="D26:D28"/>
    <mergeCell ref="E26:E28"/>
    <mergeCell ref="G26:G28"/>
    <mergeCell ref="I26:I28"/>
    <mergeCell ref="J26:J28"/>
    <mergeCell ref="A30:A31"/>
    <mergeCell ref="B30:B31"/>
    <mergeCell ref="K30:K31"/>
    <mergeCell ref="C30:C31"/>
    <mergeCell ref="G30:G31"/>
    <mergeCell ref="I30:I31"/>
    <mergeCell ref="A23:A24"/>
    <mergeCell ref="B23:B24"/>
    <mergeCell ref="C23:C24"/>
    <mergeCell ref="D23:D24"/>
    <mergeCell ref="E23:E24"/>
    <mergeCell ref="G23:G24"/>
    <mergeCell ref="I23:I24"/>
    <mergeCell ref="J23:J24"/>
    <mergeCell ref="K23:K24"/>
    <mergeCell ref="A12:A14"/>
    <mergeCell ref="J15:J16"/>
    <mergeCell ref="B12:B14"/>
    <mergeCell ref="C12:C14"/>
    <mergeCell ref="D12:D14"/>
    <mergeCell ref="E12:E14"/>
    <mergeCell ref="A15:A16"/>
    <mergeCell ref="B15:B16"/>
    <mergeCell ref="C15:C16"/>
    <mergeCell ref="D15:D16"/>
    <mergeCell ref="E15:E16"/>
    <mergeCell ref="G15:G16"/>
    <mergeCell ref="I15:I16"/>
    <mergeCell ref="B2:B5"/>
    <mergeCell ref="C2:C5"/>
    <mergeCell ref="A2:A5"/>
    <mergeCell ref="A6:A8"/>
    <mergeCell ref="B6:B8"/>
    <mergeCell ref="G6:G8"/>
    <mergeCell ref="C6:C8"/>
    <mergeCell ref="D6:D8"/>
    <mergeCell ref="E6:E8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R18:R19"/>
    <mergeCell ref="J18:J19"/>
    <mergeCell ref="S6:S8"/>
    <mergeCell ref="R6:R8"/>
    <mergeCell ref="L12:L14"/>
    <mergeCell ref="M12:M14"/>
    <mergeCell ref="R12:R14"/>
    <mergeCell ref="G12:G14"/>
    <mergeCell ref="I12:I14"/>
    <mergeCell ref="J12:J14"/>
    <mergeCell ref="K12:K14"/>
    <mergeCell ref="I18:I19"/>
    <mergeCell ref="L18:L19"/>
    <mergeCell ref="I6:I8"/>
    <mergeCell ref="J6:J8"/>
    <mergeCell ref="K6:K8"/>
    <mergeCell ref="L6:L8"/>
    <mergeCell ref="M6:M8"/>
    <mergeCell ref="M18:M19"/>
    <mergeCell ref="K15:K16"/>
    <mergeCell ref="L15:L16"/>
    <mergeCell ref="M15:M16"/>
    <mergeCell ref="A20:A22"/>
    <mergeCell ref="E20:E22"/>
    <mergeCell ref="D20:D22"/>
    <mergeCell ref="G20:G22"/>
    <mergeCell ref="L20:L22"/>
    <mergeCell ref="M20:M22"/>
    <mergeCell ref="I20:I22"/>
    <mergeCell ref="J20:J22"/>
    <mergeCell ref="K20:K22"/>
    <mergeCell ref="S23:S24"/>
    <mergeCell ref="L30:L31"/>
    <mergeCell ref="M30:M31"/>
    <mergeCell ref="D30:D31"/>
    <mergeCell ref="E30:E31"/>
    <mergeCell ref="J30:J31"/>
    <mergeCell ref="M26:M27"/>
    <mergeCell ref="L26:L27"/>
    <mergeCell ref="K26:K27"/>
    <mergeCell ref="R23:R24"/>
    <mergeCell ref="L23:L24"/>
    <mergeCell ref="M23:M24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4"/>
  <sheetViews>
    <sheetView topLeftCell="C1" zoomScale="115" zoomScaleNormal="115" workbookViewId="0">
      <pane ySplit="1" topLeftCell="A102" activePane="bottomLeft" state="frozen"/>
      <selection pane="bottomLeft" activeCell="J110" sqref="J110"/>
    </sheetView>
  </sheetViews>
  <sheetFormatPr baseColWidth="10" defaultColWidth="11.375" defaultRowHeight="20.05" customHeight="1" x14ac:dyDescent="0.25"/>
  <cols>
    <col min="1" max="1" width="13.75" style="387" customWidth="1"/>
    <col min="2" max="2" width="24" style="430" customWidth="1"/>
    <col min="3" max="3" width="22.875" style="430" customWidth="1"/>
    <col min="4" max="4" width="10.875" style="809" hidden="1" customWidth="1"/>
    <col min="5" max="5" width="15.375" style="2" hidden="1" customWidth="1"/>
    <col min="6" max="6" width="12.375" style="2" customWidth="1"/>
    <col min="7" max="7" width="12" style="2" customWidth="1"/>
    <col min="8" max="8" width="13.75" style="2" customWidth="1"/>
    <col min="9" max="9" width="6.75" style="2" customWidth="1"/>
    <col min="10" max="10" width="6.625" style="2" customWidth="1"/>
    <col min="11" max="11" width="18.875" style="2" hidden="1" customWidth="1"/>
    <col min="12" max="12" width="28.625" style="2" hidden="1" customWidth="1"/>
    <col min="13" max="13" width="20.625" style="2" customWidth="1"/>
    <col min="14" max="14" width="20.875" style="19" customWidth="1"/>
    <col min="15" max="15" width="23.375" style="19" customWidth="1"/>
    <col min="16" max="16384" width="11.375" style="19"/>
  </cols>
  <sheetData>
    <row r="1" spans="1:15" ht="20.05" customHeight="1" thickBot="1" x14ac:dyDescent="0.3">
      <c r="A1" s="187" t="s">
        <v>12</v>
      </c>
      <c r="B1" s="614" t="s">
        <v>27</v>
      </c>
      <c r="C1" s="403" t="s">
        <v>11</v>
      </c>
      <c r="D1" s="779" t="s">
        <v>1401</v>
      </c>
      <c r="E1" s="188" t="s">
        <v>607</v>
      </c>
      <c r="F1" s="189" t="s">
        <v>1</v>
      </c>
      <c r="G1" s="189" t="s">
        <v>2</v>
      </c>
      <c r="H1" s="188" t="s">
        <v>28</v>
      </c>
      <c r="I1" s="188" t="s">
        <v>13</v>
      </c>
      <c r="J1" s="188" t="s">
        <v>30</v>
      </c>
      <c r="K1" s="188" t="s">
        <v>0</v>
      </c>
      <c r="L1" s="188" t="s">
        <v>238</v>
      </c>
      <c r="M1" s="188" t="s">
        <v>29</v>
      </c>
      <c r="N1" s="188" t="s">
        <v>3</v>
      </c>
      <c r="O1" s="188" t="s">
        <v>654</v>
      </c>
    </row>
    <row r="2" spans="1:15" ht="20.05" customHeight="1" thickBot="1" x14ac:dyDescent="0.3">
      <c r="A2" s="1058" t="s">
        <v>9</v>
      </c>
      <c r="B2" s="418" t="s">
        <v>31</v>
      </c>
      <c r="C2" s="405" t="s">
        <v>32</v>
      </c>
      <c r="D2" s="785"/>
      <c r="E2" s="22" t="s">
        <v>605</v>
      </c>
      <c r="F2" s="573">
        <v>43502</v>
      </c>
      <c r="G2" s="573">
        <v>43524</v>
      </c>
      <c r="H2" s="574" t="s">
        <v>33</v>
      </c>
      <c r="I2" s="574">
        <v>12</v>
      </c>
      <c r="J2" s="574" t="s">
        <v>4</v>
      </c>
      <c r="K2" s="22">
        <v>3116680252</v>
      </c>
      <c r="L2" s="135" t="s">
        <v>273</v>
      </c>
      <c r="M2" s="25" t="s">
        <v>7</v>
      </c>
      <c r="N2" s="24"/>
      <c r="O2" s="26"/>
    </row>
    <row r="3" spans="1:15" ht="18" customHeight="1" thickBot="1" x14ac:dyDescent="0.3">
      <c r="A3" s="1058"/>
      <c r="B3" s="406" t="s">
        <v>37</v>
      </c>
      <c r="C3" s="407" t="s">
        <v>38</v>
      </c>
      <c r="D3" s="786"/>
      <c r="E3" s="23" t="s">
        <v>632</v>
      </c>
      <c r="F3" s="573">
        <v>43502</v>
      </c>
      <c r="G3" s="573">
        <v>43524</v>
      </c>
      <c r="H3" s="574" t="s">
        <v>33</v>
      </c>
      <c r="I3" s="574">
        <v>12</v>
      </c>
      <c r="J3" s="574" t="s">
        <v>4</v>
      </c>
      <c r="K3" s="23">
        <v>3015457772</v>
      </c>
      <c r="L3" s="133" t="s">
        <v>276</v>
      </c>
      <c r="M3" s="28" t="s">
        <v>1007</v>
      </c>
      <c r="N3" s="30"/>
      <c r="O3" s="29"/>
    </row>
    <row r="4" spans="1:15" ht="18" customHeight="1" thickBot="1" x14ac:dyDescent="0.3">
      <c r="A4" s="1058"/>
      <c r="B4" s="406" t="s">
        <v>1038</v>
      </c>
      <c r="C4" s="407" t="s">
        <v>103</v>
      </c>
      <c r="D4" s="786"/>
      <c r="E4" s="330" t="s">
        <v>1039</v>
      </c>
      <c r="F4" s="495"/>
      <c r="G4" s="495"/>
      <c r="H4" s="496"/>
      <c r="I4" s="496"/>
      <c r="J4" s="496"/>
      <c r="K4" s="330">
        <v>3205465544</v>
      </c>
      <c r="L4" s="331" t="s">
        <v>1040</v>
      </c>
      <c r="M4" s="331" t="s">
        <v>1007</v>
      </c>
      <c r="N4" s="30"/>
      <c r="O4" s="107"/>
    </row>
    <row r="5" spans="1:15" ht="18" customHeight="1" thickBot="1" x14ac:dyDescent="0.3">
      <c r="A5" s="1058"/>
      <c r="B5" s="406" t="s">
        <v>941</v>
      </c>
      <c r="C5" s="407" t="s">
        <v>942</v>
      </c>
      <c r="D5" s="786"/>
      <c r="E5" s="266" t="s">
        <v>652</v>
      </c>
      <c r="F5" s="543"/>
      <c r="G5" s="543"/>
      <c r="H5" s="20"/>
      <c r="I5" s="20"/>
      <c r="J5" s="20"/>
      <c r="K5" s="266"/>
      <c r="L5" s="269"/>
      <c r="M5" s="269" t="s">
        <v>1007</v>
      </c>
      <c r="N5" s="30"/>
      <c r="O5" s="107"/>
    </row>
    <row r="6" spans="1:15" ht="20.05" customHeight="1" thickBot="1" x14ac:dyDescent="0.3">
      <c r="A6" s="1058"/>
      <c r="B6" s="406" t="s">
        <v>39</v>
      </c>
      <c r="C6" s="407" t="s">
        <v>40</v>
      </c>
      <c r="D6" s="786"/>
      <c r="E6" s="16" t="s">
        <v>633</v>
      </c>
      <c r="F6" s="575">
        <v>43502</v>
      </c>
      <c r="G6" s="575">
        <v>43524</v>
      </c>
      <c r="H6" s="581" t="s">
        <v>33</v>
      </c>
      <c r="I6" s="581">
        <v>12</v>
      </c>
      <c r="J6" s="581" t="s">
        <v>4</v>
      </c>
      <c r="K6" s="23">
        <v>3215292829</v>
      </c>
      <c r="L6" s="133" t="s">
        <v>272</v>
      </c>
      <c r="M6" s="28" t="s">
        <v>7</v>
      </c>
      <c r="N6" s="27"/>
      <c r="O6" s="29"/>
    </row>
    <row r="7" spans="1:15" ht="20.05" customHeight="1" thickBot="1" x14ac:dyDescent="0.3">
      <c r="A7" s="1058"/>
      <c r="B7" s="406" t="s">
        <v>1107</v>
      </c>
      <c r="C7" s="407" t="s">
        <v>1106</v>
      </c>
      <c r="D7" s="786"/>
      <c r="E7" s="381" t="s">
        <v>591</v>
      </c>
      <c r="F7" s="495"/>
      <c r="G7" s="495"/>
      <c r="H7" s="496"/>
      <c r="I7" s="496"/>
      <c r="J7" s="496"/>
      <c r="K7" s="378">
        <v>3022796452</v>
      </c>
      <c r="L7" s="346" t="s">
        <v>1108</v>
      </c>
      <c r="M7" s="380" t="s">
        <v>7</v>
      </c>
      <c r="N7" s="27"/>
      <c r="O7" s="107"/>
    </row>
    <row r="8" spans="1:15" ht="20.05" customHeight="1" thickBot="1" x14ac:dyDescent="0.3">
      <c r="A8" s="1058"/>
      <c r="B8" s="406" t="s">
        <v>41</v>
      </c>
      <c r="C8" s="407" t="s">
        <v>42</v>
      </c>
      <c r="D8" s="786"/>
      <c r="E8" s="23" t="s">
        <v>634</v>
      </c>
      <c r="F8" s="575">
        <v>43502</v>
      </c>
      <c r="G8" s="575">
        <v>43524</v>
      </c>
      <c r="H8" s="581" t="s">
        <v>33</v>
      </c>
      <c r="I8" s="581">
        <v>12</v>
      </c>
      <c r="J8" s="581" t="s">
        <v>4</v>
      </c>
      <c r="K8" s="23">
        <v>3207658456</v>
      </c>
      <c r="L8" s="133" t="s">
        <v>277</v>
      </c>
      <c r="M8" s="28" t="s">
        <v>1007</v>
      </c>
      <c r="N8" s="27"/>
      <c r="O8" s="29"/>
    </row>
    <row r="9" spans="1:15" ht="20.05" customHeight="1" thickBot="1" x14ac:dyDescent="0.3">
      <c r="A9" s="1058"/>
      <c r="B9" s="975" t="s">
        <v>43</v>
      </c>
      <c r="C9" s="978" t="s">
        <v>44</v>
      </c>
      <c r="D9" s="783"/>
      <c r="E9" s="958" t="s">
        <v>593</v>
      </c>
      <c r="F9" s="575">
        <v>43502</v>
      </c>
      <c r="G9" s="575">
        <v>43524</v>
      </c>
      <c r="H9" s="581" t="s">
        <v>33</v>
      </c>
      <c r="I9" s="581">
        <v>12</v>
      </c>
      <c r="J9" s="581" t="s">
        <v>4</v>
      </c>
      <c r="K9" s="958">
        <v>3017683908</v>
      </c>
      <c r="L9" s="958" t="s">
        <v>254</v>
      </c>
      <c r="M9" s="28" t="s">
        <v>1007</v>
      </c>
      <c r="N9" s="27"/>
      <c r="O9" s="29"/>
    </row>
    <row r="10" spans="1:15" ht="20.05" customHeight="1" thickBot="1" x14ac:dyDescent="0.3">
      <c r="A10" s="1058"/>
      <c r="B10" s="976"/>
      <c r="C10" s="979"/>
      <c r="D10" s="787"/>
      <c r="E10" s="959"/>
      <c r="F10" s="954">
        <v>43502</v>
      </c>
      <c r="G10" s="954">
        <v>43524</v>
      </c>
      <c r="H10" s="955" t="s">
        <v>900</v>
      </c>
      <c r="I10" s="574">
        <v>8</v>
      </c>
      <c r="J10" s="574" t="s">
        <v>4</v>
      </c>
      <c r="K10" s="959"/>
      <c r="L10" s="959"/>
      <c r="M10" s="28" t="s">
        <v>1007</v>
      </c>
      <c r="N10" s="27"/>
      <c r="O10" s="29"/>
    </row>
    <row r="11" spans="1:15" ht="20.05" customHeight="1" thickBot="1" x14ac:dyDescent="0.3">
      <c r="A11" s="1058"/>
      <c r="B11" s="976"/>
      <c r="C11" s="979"/>
      <c r="D11" s="787"/>
      <c r="E11" s="959"/>
      <c r="F11" s="954"/>
      <c r="G11" s="954"/>
      <c r="H11" s="955"/>
      <c r="I11" s="574">
        <v>20</v>
      </c>
      <c r="J11" s="574" t="s">
        <v>231</v>
      </c>
      <c r="K11" s="959"/>
      <c r="L11" s="959"/>
      <c r="M11" s="331" t="s">
        <v>45</v>
      </c>
      <c r="N11" s="27"/>
      <c r="O11" s="107"/>
    </row>
    <row r="12" spans="1:15" ht="20.05" customHeight="1" thickBot="1" x14ac:dyDescent="0.3">
      <c r="A12" s="1058"/>
      <c r="B12" s="977"/>
      <c r="C12" s="980"/>
      <c r="D12" s="784"/>
      <c r="E12" s="960"/>
      <c r="F12" s="579"/>
      <c r="G12" s="579"/>
      <c r="H12" s="580"/>
      <c r="I12" s="20"/>
      <c r="J12" s="20"/>
      <c r="K12" s="960"/>
      <c r="L12" s="960"/>
      <c r="M12" s="28" t="s">
        <v>229</v>
      </c>
      <c r="N12" s="27"/>
      <c r="O12" s="107"/>
    </row>
    <row r="13" spans="1:15" ht="20.05" customHeight="1" thickBot="1" x14ac:dyDescent="0.3">
      <c r="A13" s="1058"/>
      <c r="B13" s="404" t="s">
        <v>98</v>
      </c>
      <c r="C13" s="405" t="s">
        <v>763</v>
      </c>
      <c r="D13" s="785"/>
      <c r="E13" s="16" t="s">
        <v>748</v>
      </c>
      <c r="F13" s="495"/>
      <c r="G13" s="495"/>
      <c r="H13" s="20"/>
      <c r="I13" s="20"/>
      <c r="J13" s="20"/>
      <c r="K13" s="90">
        <v>2786537</v>
      </c>
      <c r="L13" s="130" t="s">
        <v>764</v>
      </c>
      <c r="M13" s="91" t="s">
        <v>1007</v>
      </c>
      <c r="N13" s="27"/>
      <c r="O13" s="92"/>
    </row>
    <row r="14" spans="1:15" ht="20.05" customHeight="1" thickBot="1" x14ac:dyDescent="0.3">
      <c r="A14" s="1058"/>
      <c r="B14" s="602" t="s">
        <v>713</v>
      </c>
      <c r="C14" s="482" t="s">
        <v>714</v>
      </c>
      <c r="D14" s="788"/>
      <c r="E14" s="481" t="s">
        <v>715</v>
      </c>
      <c r="F14" s="495"/>
      <c r="G14" s="495"/>
      <c r="H14" s="20"/>
      <c r="I14" s="20"/>
      <c r="J14" s="20"/>
      <c r="K14" s="481">
        <v>3145486334</v>
      </c>
      <c r="L14" s="481" t="s">
        <v>716</v>
      </c>
      <c r="M14" s="391" t="s">
        <v>987</v>
      </c>
      <c r="N14" s="32"/>
      <c r="O14" s="107"/>
    </row>
    <row r="15" spans="1:15" ht="20.05" customHeight="1" thickBot="1" x14ac:dyDescent="0.3">
      <c r="A15" s="1058"/>
      <c r="B15" s="1070" t="s">
        <v>298</v>
      </c>
      <c r="C15" s="1066" t="s">
        <v>297</v>
      </c>
      <c r="D15" s="789"/>
      <c r="E15" s="966" t="s">
        <v>637</v>
      </c>
      <c r="F15" s="961"/>
      <c r="G15" s="972"/>
      <c r="H15" s="972"/>
      <c r="I15" s="20"/>
      <c r="J15" s="20"/>
      <c r="K15" s="966">
        <v>3217848880</v>
      </c>
      <c r="L15" s="966" t="s">
        <v>299</v>
      </c>
      <c r="M15" s="127" t="s">
        <v>7</v>
      </c>
      <c r="N15" s="992" t="s">
        <v>939</v>
      </c>
      <c r="O15" s="993"/>
    </row>
    <row r="16" spans="1:15" ht="20.05" customHeight="1" thickBot="1" x14ac:dyDescent="0.3">
      <c r="A16" s="1058"/>
      <c r="B16" s="1071"/>
      <c r="C16" s="1067"/>
      <c r="D16" s="790"/>
      <c r="E16" s="967"/>
      <c r="F16" s="962"/>
      <c r="G16" s="974"/>
      <c r="H16" s="974"/>
      <c r="I16" s="20"/>
      <c r="J16" s="20"/>
      <c r="K16" s="967"/>
      <c r="L16" s="967"/>
      <c r="M16" s="127" t="s">
        <v>229</v>
      </c>
      <c r="N16" s="994"/>
      <c r="O16" s="995"/>
    </row>
    <row r="17" spans="1:15" ht="20.05" customHeight="1" thickBot="1" x14ac:dyDescent="0.3">
      <c r="A17" s="1058"/>
      <c r="B17" s="975" t="s">
        <v>211</v>
      </c>
      <c r="C17" s="1068" t="s">
        <v>212</v>
      </c>
      <c r="D17" s="788"/>
      <c r="E17" s="1025" t="s">
        <v>593</v>
      </c>
      <c r="F17" s="575">
        <v>43502</v>
      </c>
      <c r="G17" s="575">
        <v>43524</v>
      </c>
      <c r="H17" s="581" t="s">
        <v>33</v>
      </c>
      <c r="I17" s="581">
        <v>12</v>
      </c>
      <c r="J17" s="581" t="s">
        <v>4</v>
      </c>
      <c r="K17" s="958">
        <v>3106165564</v>
      </c>
      <c r="L17" s="958" t="s">
        <v>274</v>
      </c>
      <c r="M17" s="31" t="s">
        <v>1007</v>
      </c>
      <c r="N17" s="27"/>
      <c r="O17" s="29"/>
    </row>
    <row r="18" spans="1:15" ht="20.05" customHeight="1" thickBot="1" x14ac:dyDescent="0.3">
      <c r="A18" s="1058"/>
      <c r="B18" s="977"/>
      <c r="C18" s="1023"/>
      <c r="D18" s="785"/>
      <c r="E18" s="1025"/>
      <c r="F18" s="495"/>
      <c r="G18" s="495"/>
      <c r="H18" s="496"/>
      <c r="I18" s="496"/>
      <c r="J18" s="496"/>
      <c r="K18" s="960"/>
      <c r="L18" s="960"/>
      <c r="M18" s="31" t="s">
        <v>45</v>
      </c>
      <c r="N18" s="27"/>
      <c r="O18" s="29"/>
    </row>
    <row r="19" spans="1:15" ht="20.05" customHeight="1" thickBot="1" x14ac:dyDescent="0.3">
      <c r="A19" s="1058"/>
      <c r="B19" s="406" t="s">
        <v>745</v>
      </c>
      <c r="C19" s="408" t="s">
        <v>746</v>
      </c>
      <c r="D19" s="791"/>
      <c r="E19" s="16" t="s">
        <v>606</v>
      </c>
      <c r="F19" s="575">
        <v>43502</v>
      </c>
      <c r="G19" s="575">
        <v>43524</v>
      </c>
      <c r="H19" s="581" t="s">
        <v>33</v>
      </c>
      <c r="I19" s="581">
        <v>12</v>
      </c>
      <c r="J19" s="581" t="s">
        <v>4</v>
      </c>
      <c r="K19" s="84">
        <v>3107271568</v>
      </c>
      <c r="L19" s="132" t="s">
        <v>747</v>
      </c>
      <c r="M19" s="84" t="s">
        <v>1007</v>
      </c>
      <c r="N19" s="27"/>
      <c r="O19" s="85"/>
    </row>
    <row r="20" spans="1:15" ht="20.05" customHeight="1" thickBot="1" x14ac:dyDescent="0.3">
      <c r="A20" s="1058"/>
      <c r="B20" s="406" t="s">
        <v>742</v>
      </c>
      <c r="C20" s="408" t="s">
        <v>743</v>
      </c>
      <c r="D20" s="791"/>
      <c r="E20" s="84" t="s">
        <v>593</v>
      </c>
      <c r="F20" s="495"/>
      <c r="G20" s="495"/>
      <c r="H20" s="20"/>
      <c r="I20" s="20"/>
      <c r="J20" s="20"/>
      <c r="K20" s="84">
        <v>-3126400798</v>
      </c>
      <c r="L20" s="139" t="s">
        <v>744</v>
      </c>
      <c r="M20" s="84" t="s">
        <v>10</v>
      </c>
      <c r="N20" s="27"/>
      <c r="O20" s="85"/>
    </row>
    <row r="21" spans="1:15" ht="20.05" customHeight="1" thickBot="1" x14ac:dyDescent="0.3">
      <c r="A21" s="1058"/>
      <c r="B21" s="975" t="s">
        <v>213</v>
      </c>
      <c r="C21" s="1068" t="s">
        <v>214</v>
      </c>
      <c r="D21" s="788"/>
      <c r="E21" s="1025" t="s">
        <v>605</v>
      </c>
      <c r="F21" s="575">
        <v>43502</v>
      </c>
      <c r="G21" s="575">
        <v>43524</v>
      </c>
      <c r="H21" s="581" t="s">
        <v>900</v>
      </c>
      <c r="I21" s="581">
        <v>12</v>
      </c>
      <c r="J21" s="581" t="s">
        <v>4</v>
      </c>
      <c r="K21" s="958">
        <v>3168676337</v>
      </c>
      <c r="L21" s="958" t="s">
        <v>275</v>
      </c>
      <c r="M21" s="31" t="s">
        <v>1007</v>
      </c>
      <c r="N21" s="1000"/>
      <c r="O21" s="29"/>
    </row>
    <row r="22" spans="1:15" ht="20.05" customHeight="1" thickBot="1" x14ac:dyDescent="0.3">
      <c r="A22" s="1058"/>
      <c r="B22" s="976"/>
      <c r="C22" s="1069"/>
      <c r="D22" s="792"/>
      <c r="E22" s="1025"/>
      <c r="F22" s="495"/>
      <c r="G22" s="495"/>
      <c r="H22" s="547"/>
      <c r="I22" s="547"/>
      <c r="J22" s="547"/>
      <c r="K22" s="959"/>
      <c r="L22" s="959"/>
      <c r="M22" s="355" t="s">
        <v>229</v>
      </c>
      <c r="N22" s="1001"/>
      <c r="O22" s="107"/>
    </row>
    <row r="23" spans="1:15" ht="20.05" customHeight="1" thickBot="1" x14ac:dyDescent="0.3">
      <c r="A23" s="1058"/>
      <c r="B23" s="977"/>
      <c r="C23" s="1023"/>
      <c r="D23" s="785"/>
      <c r="E23" s="1025"/>
      <c r="F23" s="495"/>
      <c r="G23" s="495"/>
      <c r="H23" s="496"/>
      <c r="I23" s="496"/>
      <c r="J23" s="496"/>
      <c r="K23" s="960"/>
      <c r="L23" s="960"/>
      <c r="M23" s="31" t="s">
        <v>45</v>
      </c>
      <c r="N23" s="1002"/>
      <c r="O23" s="29"/>
    </row>
    <row r="24" spans="1:15" ht="20.05" customHeight="1" thickBot="1" x14ac:dyDescent="0.3">
      <c r="A24" s="1058"/>
      <c r="B24" s="603" t="s">
        <v>1206</v>
      </c>
      <c r="C24" s="492" t="s">
        <v>1207</v>
      </c>
      <c r="D24" s="792"/>
      <c r="E24" s="488" t="s">
        <v>586</v>
      </c>
      <c r="F24" s="541">
        <v>43494</v>
      </c>
      <c r="G24" s="541">
        <v>43502</v>
      </c>
      <c r="H24" s="542" t="s">
        <v>1208</v>
      </c>
      <c r="I24" s="514">
        <v>24</v>
      </c>
      <c r="J24" s="514" t="s">
        <v>5</v>
      </c>
      <c r="K24" s="489">
        <v>3126603678</v>
      </c>
      <c r="L24" s="489" t="s">
        <v>1209</v>
      </c>
      <c r="M24" s="391" t="s">
        <v>7</v>
      </c>
      <c r="N24" s="494"/>
      <c r="O24" s="107"/>
    </row>
    <row r="25" spans="1:15" ht="20.05" customHeight="1" thickBot="1" x14ac:dyDescent="0.3">
      <c r="A25" s="1058"/>
      <c r="B25" s="975" t="s">
        <v>215</v>
      </c>
      <c r="C25" s="978" t="s">
        <v>216</v>
      </c>
      <c r="D25" s="783"/>
      <c r="E25" s="1012" t="s">
        <v>610</v>
      </c>
      <c r="F25" s="495"/>
      <c r="G25" s="495"/>
      <c r="H25" s="496"/>
      <c r="I25" s="496"/>
      <c r="J25" s="496"/>
      <c r="K25" s="958" t="s">
        <v>270</v>
      </c>
      <c r="L25" s="958" t="s">
        <v>271</v>
      </c>
      <c r="M25" s="31" t="s">
        <v>1007</v>
      </c>
      <c r="N25" s="32"/>
      <c r="O25" s="107"/>
    </row>
    <row r="26" spans="1:15" ht="20.05" customHeight="1" thickBot="1" x14ac:dyDescent="0.3">
      <c r="A26" s="1058"/>
      <c r="B26" s="977"/>
      <c r="C26" s="980"/>
      <c r="D26" s="784"/>
      <c r="E26" s="1013"/>
      <c r="F26" s="543"/>
      <c r="G26" s="543"/>
      <c r="H26" s="544"/>
      <c r="I26" s="544">
        <f>SUM(I2:I25)</f>
        <v>148</v>
      </c>
      <c r="J26" s="544"/>
      <c r="K26" s="960"/>
      <c r="L26" s="960"/>
      <c r="M26" s="21" t="s">
        <v>857</v>
      </c>
      <c r="N26" s="32"/>
      <c r="O26" s="29"/>
    </row>
    <row r="27" spans="1:15" ht="18" customHeight="1" thickBot="1" x14ac:dyDescent="0.3">
      <c r="A27" s="1081" t="s">
        <v>101</v>
      </c>
      <c r="B27" s="411" t="s">
        <v>102</v>
      </c>
      <c r="C27" s="412" t="s">
        <v>103</v>
      </c>
      <c r="D27" s="793"/>
      <c r="E27" s="45" t="s">
        <v>625</v>
      </c>
      <c r="F27" s="575">
        <v>43502</v>
      </c>
      <c r="G27" s="575">
        <v>43524</v>
      </c>
      <c r="H27" s="581" t="s">
        <v>33</v>
      </c>
      <c r="I27" s="581">
        <v>12</v>
      </c>
      <c r="J27" s="581" t="s">
        <v>4</v>
      </c>
      <c r="K27" s="46">
        <v>3125614051</v>
      </c>
      <c r="L27" s="46" t="s">
        <v>278</v>
      </c>
      <c r="M27" s="47" t="s">
        <v>36</v>
      </c>
      <c r="N27" s="984" t="s">
        <v>222</v>
      </c>
      <c r="O27" s="48"/>
    </row>
    <row r="28" spans="1:15" ht="20.05" customHeight="1" thickBot="1" x14ac:dyDescent="0.3">
      <c r="A28" s="1081"/>
      <c r="B28" s="413" t="s">
        <v>34</v>
      </c>
      <c r="C28" s="414" t="s">
        <v>35</v>
      </c>
      <c r="D28" s="780"/>
      <c r="E28" s="49" t="s">
        <v>606</v>
      </c>
      <c r="F28" s="575">
        <v>43502</v>
      </c>
      <c r="G28" s="575">
        <v>43524</v>
      </c>
      <c r="H28" s="581" t="s">
        <v>33</v>
      </c>
      <c r="I28" s="581">
        <v>12</v>
      </c>
      <c r="J28" s="581" t="s">
        <v>4</v>
      </c>
      <c r="K28" s="50">
        <v>3205316814</v>
      </c>
      <c r="L28" s="51" t="s">
        <v>279</v>
      </c>
      <c r="M28" s="50" t="s">
        <v>36</v>
      </c>
      <c r="N28" s="985"/>
      <c r="O28" s="48"/>
    </row>
    <row r="29" spans="1:15" ht="20.05" customHeight="1" thickBot="1" x14ac:dyDescent="0.3">
      <c r="A29" s="1081"/>
      <c r="B29" s="1093" t="s">
        <v>1448</v>
      </c>
      <c r="C29" s="998" t="s">
        <v>1449</v>
      </c>
      <c r="D29" s="1096">
        <v>26188481</v>
      </c>
      <c r="E29" s="1099" t="s">
        <v>652</v>
      </c>
      <c r="F29" s="968">
        <v>43504</v>
      </c>
      <c r="G29" s="968">
        <v>43524</v>
      </c>
      <c r="H29" s="1100" t="s">
        <v>66</v>
      </c>
      <c r="I29" s="581">
        <v>20</v>
      </c>
      <c r="J29" s="581" t="s">
        <v>231</v>
      </c>
      <c r="K29" s="998" t="s">
        <v>1451</v>
      </c>
      <c r="L29" s="998" t="s">
        <v>1450</v>
      </c>
      <c r="M29" s="843" t="s">
        <v>45</v>
      </c>
      <c r="N29" s="844"/>
      <c r="O29" s="48"/>
    </row>
    <row r="30" spans="1:15" ht="20.05" customHeight="1" thickBot="1" x14ac:dyDescent="0.3">
      <c r="A30" s="1081"/>
      <c r="B30" s="1094"/>
      <c r="C30" s="1008"/>
      <c r="D30" s="1097"/>
      <c r="E30" s="1048"/>
      <c r="F30" s="969"/>
      <c r="G30" s="969"/>
      <c r="H30" s="1101"/>
      <c r="I30" s="581">
        <v>20</v>
      </c>
      <c r="J30" s="581" t="s">
        <v>4</v>
      </c>
      <c r="K30" s="1008"/>
      <c r="L30" s="1008"/>
      <c r="M30" s="843" t="s">
        <v>1007</v>
      </c>
      <c r="N30" s="844"/>
      <c r="O30" s="48"/>
    </row>
    <row r="31" spans="1:15" ht="20.05" customHeight="1" thickBot="1" x14ac:dyDescent="0.3">
      <c r="A31" s="1081"/>
      <c r="B31" s="1095"/>
      <c r="C31" s="999"/>
      <c r="D31" s="1098"/>
      <c r="E31" s="1049"/>
      <c r="F31" s="970"/>
      <c r="G31" s="970"/>
      <c r="H31" s="1102"/>
      <c r="I31" s="581">
        <v>20</v>
      </c>
      <c r="J31" s="581" t="s">
        <v>5</v>
      </c>
      <c r="K31" s="999"/>
      <c r="L31" s="999"/>
      <c r="M31" s="843" t="s">
        <v>1007</v>
      </c>
      <c r="N31" s="844"/>
      <c r="O31" s="48"/>
    </row>
    <row r="32" spans="1:15" ht="20.05" customHeight="1" thickBot="1" x14ac:dyDescent="0.3">
      <c r="A32" s="1081"/>
      <c r="B32" s="1104" t="s">
        <v>104</v>
      </c>
      <c r="C32" s="1046" t="s">
        <v>105</v>
      </c>
      <c r="D32" s="780"/>
      <c r="E32" s="1010" t="s">
        <v>604</v>
      </c>
      <c r="F32" s="575">
        <v>43502</v>
      </c>
      <c r="G32" s="575">
        <v>43524</v>
      </c>
      <c r="H32" s="581" t="s">
        <v>33</v>
      </c>
      <c r="I32" s="581">
        <v>12</v>
      </c>
      <c r="J32" s="581" t="s">
        <v>4</v>
      </c>
      <c r="K32" s="1044" t="s">
        <v>281</v>
      </c>
      <c r="L32" s="998" t="s">
        <v>261</v>
      </c>
      <c r="M32" s="509" t="s">
        <v>1007</v>
      </c>
      <c r="N32" s="507"/>
      <c r="O32" s="48"/>
    </row>
    <row r="33" spans="1:15" ht="20.05" customHeight="1" thickBot="1" x14ac:dyDescent="0.3">
      <c r="A33" s="1081"/>
      <c r="B33" s="1105"/>
      <c r="C33" s="1103"/>
      <c r="D33" s="781"/>
      <c r="E33" s="1010"/>
      <c r="F33" s="968">
        <v>43502</v>
      </c>
      <c r="G33" s="968">
        <v>43524</v>
      </c>
      <c r="H33" s="887" t="s">
        <v>900</v>
      </c>
      <c r="I33" s="574">
        <v>20</v>
      </c>
      <c r="J33" s="574" t="s">
        <v>8</v>
      </c>
      <c r="K33" s="1107"/>
      <c r="L33" s="1008"/>
      <c r="M33" s="399" t="s">
        <v>229</v>
      </c>
      <c r="N33" s="400"/>
      <c r="O33" s="48"/>
    </row>
    <row r="34" spans="1:15" ht="19.55" customHeight="1" thickBot="1" x14ac:dyDescent="0.3">
      <c r="A34" s="1081"/>
      <c r="B34" s="1106"/>
      <c r="C34" s="1047"/>
      <c r="D34" s="782"/>
      <c r="E34" s="1010"/>
      <c r="F34" s="970"/>
      <c r="G34" s="970"/>
      <c r="H34" s="888"/>
      <c r="I34" s="574">
        <v>20</v>
      </c>
      <c r="J34" s="574" t="s">
        <v>231</v>
      </c>
      <c r="K34" s="1045"/>
      <c r="L34" s="999"/>
      <c r="M34" s="50" t="s">
        <v>45</v>
      </c>
      <c r="N34" s="53"/>
      <c r="O34" s="48"/>
    </row>
    <row r="35" spans="1:15" ht="19.55" customHeight="1" thickBot="1" x14ac:dyDescent="0.4">
      <c r="A35" s="1081"/>
      <c r="B35" s="604" t="s">
        <v>733</v>
      </c>
      <c r="C35" s="415" t="s">
        <v>734</v>
      </c>
      <c r="D35" s="794"/>
      <c r="E35" s="362" t="s">
        <v>735</v>
      </c>
      <c r="F35" s="539"/>
      <c r="G35" s="539"/>
      <c r="H35" s="540"/>
      <c r="I35" s="20"/>
      <c r="J35" s="20"/>
      <c r="K35" s="347">
        <v>3116797960</v>
      </c>
      <c r="L35" s="347" t="s">
        <v>736</v>
      </c>
      <c r="M35" s="347" t="s">
        <v>1084</v>
      </c>
      <c r="N35" s="986" t="s">
        <v>1194</v>
      </c>
      <c r="O35" s="987"/>
    </row>
    <row r="36" spans="1:15" ht="20.05" customHeight="1" thickBot="1" x14ac:dyDescent="0.3">
      <c r="A36" s="1081"/>
      <c r="B36" s="416" t="s">
        <v>106</v>
      </c>
      <c r="C36" s="417" t="s">
        <v>107</v>
      </c>
      <c r="D36" s="795"/>
      <c r="E36" s="357" t="s">
        <v>595</v>
      </c>
      <c r="F36" s="575">
        <v>43502</v>
      </c>
      <c r="G36" s="575">
        <v>43524</v>
      </c>
      <c r="H36" s="581" t="s">
        <v>33</v>
      </c>
      <c r="I36" s="581">
        <v>12</v>
      </c>
      <c r="J36" s="581" t="s">
        <v>4</v>
      </c>
      <c r="K36" s="55">
        <v>3218701120</v>
      </c>
      <c r="L36" s="140" t="s">
        <v>280</v>
      </c>
      <c r="M36" s="56" t="s">
        <v>36</v>
      </c>
      <c r="N36" s="64"/>
      <c r="O36" s="48"/>
    </row>
    <row r="37" spans="1:15" ht="20.05" customHeight="1" thickBot="1" x14ac:dyDescent="0.3">
      <c r="A37" s="1058" t="s">
        <v>249</v>
      </c>
      <c r="B37" s="406" t="s">
        <v>730</v>
      </c>
      <c r="C37" s="407" t="s">
        <v>731</v>
      </c>
      <c r="D37" s="785"/>
      <c r="E37" s="80" t="s">
        <v>605</v>
      </c>
      <c r="F37" s="495"/>
      <c r="G37" s="495"/>
      <c r="H37" s="546"/>
      <c r="I37" s="546"/>
      <c r="J37" s="546"/>
      <c r="K37" s="80">
        <v>3014746332</v>
      </c>
      <c r="L37" s="135" t="s">
        <v>732</v>
      </c>
      <c r="M37" s="28" t="s">
        <v>49</v>
      </c>
      <c r="N37" s="39"/>
      <c r="O37" s="40"/>
    </row>
    <row r="38" spans="1:15" ht="20.05" customHeight="1" thickBot="1" x14ac:dyDescent="0.3">
      <c r="A38" s="1058"/>
      <c r="B38" s="406" t="s">
        <v>741</v>
      </c>
      <c r="C38" s="407" t="s">
        <v>48</v>
      </c>
      <c r="D38" s="786"/>
      <c r="E38" s="23" t="s">
        <v>605</v>
      </c>
      <c r="F38" s="575">
        <v>43502</v>
      </c>
      <c r="G38" s="575">
        <v>43524</v>
      </c>
      <c r="H38" s="581" t="s">
        <v>33</v>
      </c>
      <c r="I38" s="581">
        <v>12</v>
      </c>
      <c r="J38" s="581" t="s">
        <v>4</v>
      </c>
      <c r="K38" s="23">
        <v>3106029445</v>
      </c>
      <c r="L38" s="133" t="s">
        <v>290</v>
      </c>
      <c r="M38" s="28" t="s">
        <v>49</v>
      </c>
      <c r="N38" s="35"/>
      <c r="O38" s="40"/>
    </row>
    <row r="39" spans="1:15" ht="20.05" customHeight="1" thickBot="1" x14ac:dyDescent="0.3">
      <c r="A39" s="1058"/>
      <c r="B39" s="1059" t="s">
        <v>50</v>
      </c>
      <c r="C39" s="981" t="s">
        <v>51</v>
      </c>
      <c r="D39" s="788"/>
      <c r="E39" s="958" t="s">
        <v>616</v>
      </c>
      <c r="F39" s="575">
        <v>43502</v>
      </c>
      <c r="G39" s="575">
        <v>43524</v>
      </c>
      <c r="H39" s="581" t="s">
        <v>33</v>
      </c>
      <c r="I39" s="581">
        <v>12</v>
      </c>
      <c r="J39" s="581" t="s">
        <v>4</v>
      </c>
      <c r="K39" s="23">
        <v>3012274296</v>
      </c>
      <c r="L39" s="133" t="s">
        <v>287</v>
      </c>
      <c r="M39" s="28" t="s">
        <v>47</v>
      </c>
      <c r="N39" s="35"/>
      <c r="O39" s="40"/>
    </row>
    <row r="40" spans="1:15" ht="20.05" customHeight="1" thickBot="1" x14ac:dyDescent="0.3">
      <c r="A40" s="1058"/>
      <c r="B40" s="1059"/>
      <c r="C40" s="981"/>
      <c r="D40" s="785"/>
      <c r="E40" s="960"/>
      <c r="F40" s="543"/>
      <c r="G40" s="543"/>
      <c r="H40" s="20"/>
      <c r="I40" s="20"/>
      <c r="J40" s="20"/>
      <c r="K40" s="23">
        <v>3012274296</v>
      </c>
      <c r="L40" s="132" t="s">
        <v>253</v>
      </c>
      <c r="M40" s="23" t="s">
        <v>137</v>
      </c>
      <c r="N40" s="35"/>
      <c r="O40" s="40"/>
    </row>
    <row r="41" spans="1:15" ht="20.05" customHeight="1" thickBot="1" x14ac:dyDescent="0.3">
      <c r="A41" s="1058"/>
      <c r="B41" s="1059" t="s">
        <v>52</v>
      </c>
      <c r="C41" s="981" t="s">
        <v>53</v>
      </c>
      <c r="D41" s="788"/>
      <c r="E41" s="958" t="s">
        <v>792</v>
      </c>
      <c r="F41" s="573">
        <v>43502</v>
      </c>
      <c r="G41" s="573">
        <v>43524</v>
      </c>
      <c r="H41" s="574" t="s">
        <v>900</v>
      </c>
      <c r="I41" s="574">
        <v>12</v>
      </c>
      <c r="J41" s="574" t="s">
        <v>231</v>
      </c>
      <c r="K41" s="23">
        <v>7778385</v>
      </c>
      <c r="L41" s="132" t="s">
        <v>288</v>
      </c>
      <c r="M41" s="23" t="s">
        <v>137</v>
      </c>
      <c r="N41" s="35"/>
      <c r="O41" s="40"/>
    </row>
    <row r="42" spans="1:15" ht="20.05" customHeight="1" thickBot="1" x14ac:dyDescent="0.3">
      <c r="A42" s="1058"/>
      <c r="B42" s="1059"/>
      <c r="C42" s="981"/>
      <c r="D42" s="785"/>
      <c r="E42" s="960"/>
      <c r="F42" s="575">
        <v>43502</v>
      </c>
      <c r="G42" s="575">
        <v>43524</v>
      </c>
      <c r="H42" s="581" t="s">
        <v>33</v>
      </c>
      <c r="I42" s="581">
        <v>12</v>
      </c>
      <c r="J42" s="581" t="s">
        <v>4</v>
      </c>
      <c r="K42" s="23">
        <v>7778385</v>
      </c>
      <c r="L42" s="132" t="s">
        <v>252</v>
      </c>
      <c r="M42" s="23" t="s">
        <v>49</v>
      </c>
      <c r="N42" s="35"/>
      <c r="O42" s="40"/>
    </row>
    <row r="43" spans="1:15" ht="20.05" customHeight="1" thickBot="1" x14ac:dyDescent="0.3">
      <c r="A43" s="1058"/>
      <c r="B43" s="406" t="s">
        <v>1059</v>
      </c>
      <c r="C43" s="407" t="s">
        <v>1060</v>
      </c>
      <c r="D43" s="785"/>
      <c r="E43" s="337" t="s">
        <v>652</v>
      </c>
      <c r="F43" s="495"/>
      <c r="G43" s="495"/>
      <c r="H43" s="496"/>
      <c r="I43" s="496"/>
      <c r="J43" s="496"/>
      <c r="K43" s="336">
        <v>3002628025</v>
      </c>
      <c r="L43" s="361" t="s">
        <v>1088</v>
      </c>
      <c r="M43" s="339" t="s">
        <v>49</v>
      </c>
      <c r="N43" s="35"/>
      <c r="O43" s="40"/>
    </row>
    <row r="44" spans="1:15" ht="20.05" customHeight="1" thickBot="1" x14ac:dyDescent="0.3">
      <c r="A44" s="1058"/>
      <c r="B44" s="1059" t="s">
        <v>245</v>
      </c>
      <c r="C44" s="981" t="s">
        <v>246</v>
      </c>
      <c r="D44" s="786"/>
      <c r="E44" s="1025" t="s">
        <v>791</v>
      </c>
      <c r="F44" s="495"/>
      <c r="G44" s="495"/>
      <c r="H44" s="496"/>
      <c r="I44" s="496"/>
      <c r="J44" s="496"/>
      <c r="K44" s="958">
        <v>3006314857</v>
      </c>
      <c r="L44" s="958" t="s">
        <v>247</v>
      </c>
      <c r="M44" s="23" t="s">
        <v>137</v>
      </c>
      <c r="N44" s="35"/>
      <c r="O44" s="40"/>
    </row>
    <row r="45" spans="1:15" ht="20.05" customHeight="1" thickBot="1" x14ac:dyDescent="0.3">
      <c r="A45" s="1058"/>
      <c r="B45" s="1059"/>
      <c r="C45" s="981"/>
      <c r="D45" s="786"/>
      <c r="E45" s="1025"/>
      <c r="F45" s="543"/>
      <c r="G45" s="543"/>
      <c r="H45" s="20"/>
      <c r="I45" s="20"/>
      <c r="J45" s="20"/>
      <c r="K45" s="960"/>
      <c r="L45" s="960"/>
      <c r="M45" s="23" t="s">
        <v>49</v>
      </c>
      <c r="N45" s="35"/>
      <c r="O45" s="40"/>
    </row>
    <row r="46" spans="1:15" ht="20.05" customHeight="1" thickBot="1" x14ac:dyDescent="0.3">
      <c r="A46" s="1058"/>
      <c r="B46" s="406" t="s">
        <v>936</v>
      </c>
      <c r="C46" s="407" t="s">
        <v>937</v>
      </c>
      <c r="D46" s="786"/>
      <c r="E46" s="369" t="s">
        <v>938</v>
      </c>
      <c r="F46" s="543"/>
      <c r="G46" s="543"/>
      <c r="H46" s="20"/>
      <c r="I46" s="20"/>
      <c r="J46" s="20"/>
      <c r="K46" s="266">
        <v>3116830390</v>
      </c>
      <c r="L46" s="302" t="s">
        <v>985</v>
      </c>
      <c r="M46" s="266" t="s">
        <v>47</v>
      </c>
      <c r="N46" s="431"/>
      <c r="O46" s="431"/>
    </row>
    <row r="47" spans="1:15" ht="20.05" customHeight="1" thickBot="1" x14ac:dyDescent="0.3">
      <c r="A47" s="1058"/>
      <c r="B47" s="406" t="s">
        <v>757</v>
      </c>
      <c r="C47" s="407" t="s">
        <v>758</v>
      </c>
      <c r="D47" s="785"/>
      <c r="E47" s="265"/>
      <c r="F47" s="543"/>
      <c r="G47" s="543"/>
      <c r="H47" s="548"/>
      <c r="I47" s="548"/>
      <c r="J47" s="20"/>
      <c r="K47" s="268" t="s">
        <v>944</v>
      </c>
      <c r="L47" s="265" t="s">
        <v>943</v>
      </c>
      <c r="M47" s="265" t="s">
        <v>49</v>
      </c>
      <c r="N47" s="35"/>
      <c r="O47" s="40"/>
    </row>
    <row r="48" spans="1:15" ht="20.05" customHeight="1" thickBot="1" x14ac:dyDescent="0.3">
      <c r="A48" s="1058"/>
      <c r="B48" s="406" t="s">
        <v>557</v>
      </c>
      <c r="C48" s="407" t="s">
        <v>558</v>
      </c>
      <c r="D48" s="786"/>
      <c r="E48" s="23" t="s">
        <v>603</v>
      </c>
      <c r="F48" s="543"/>
      <c r="G48" s="543"/>
      <c r="H48" s="548"/>
      <c r="I48" s="548"/>
      <c r="J48" s="20"/>
      <c r="K48" s="22">
        <v>3012214454</v>
      </c>
      <c r="L48" s="130" t="s">
        <v>559</v>
      </c>
      <c r="M48" s="265" t="s">
        <v>47</v>
      </c>
      <c r="N48" s="35"/>
      <c r="O48" s="40"/>
    </row>
    <row r="49" spans="1:15" ht="20.05" customHeight="1" thickBot="1" x14ac:dyDescent="0.3">
      <c r="A49" s="1058"/>
      <c r="B49" s="406" t="s">
        <v>1109</v>
      </c>
      <c r="C49" s="407" t="s">
        <v>1110</v>
      </c>
      <c r="D49" s="788"/>
      <c r="E49" s="377" t="s">
        <v>751</v>
      </c>
      <c r="F49" s="495"/>
      <c r="G49" s="495"/>
      <c r="H49" s="546"/>
      <c r="I49" s="546"/>
      <c r="J49" s="496"/>
      <c r="K49" s="379" t="s">
        <v>1111</v>
      </c>
      <c r="L49" s="382" t="s">
        <v>1112</v>
      </c>
      <c r="M49" s="382" t="s">
        <v>49</v>
      </c>
      <c r="N49" s="35"/>
      <c r="O49" s="40"/>
    </row>
    <row r="50" spans="1:15" ht="20.05" customHeight="1" thickBot="1" x14ac:dyDescent="0.3">
      <c r="A50" s="1058"/>
      <c r="B50" s="1059" t="s">
        <v>54</v>
      </c>
      <c r="C50" s="981" t="s">
        <v>55</v>
      </c>
      <c r="D50" s="788"/>
      <c r="E50" s="1032" t="s">
        <v>610</v>
      </c>
      <c r="F50" s="573">
        <v>43502</v>
      </c>
      <c r="G50" s="573">
        <v>43524</v>
      </c>
      <c r="H50" s="574" t="s">
        <v>900</v>
      </c>
      <c r="I50" s="574">
        <v>20</v>
      </c>
      <c r="J50" s="574" t="s">
        <v>4</v>
      </c>
      <c r="K50" s="23">
        <v>3007858514</v>
      </c>
      <c r="L50" s="133" t="s">
        <v>250</v>
      </c>
      <c r="M50" s="28" t="s">
        <v>47</v>
      </c>
      <c r="N50" s="956" t="s">
        <v>1254</v>
      </c>
      <c r="O50" s="40"/>
    </row>
    <row r="51" spans="1:15" ht="20.05" customHeight="1" thickBot="1" x14ac:dyDescent="0.3">
      <c r="A51" s="1058"/>
      <c r="B51" s="1059"/>
      <c r="C51" s="981"/>
      <c r="D51" s="785"/>
      <c r="E51" s="1034"/>
      <c r="F51" s="575">
        <v>43502</v>
      </c>
      <c r="G51" s="575">
        <v>43524</v>
      </c>
      <c r="H51" s="581" t="s">
        <v>33</v>
      </c>
      <c r="I51" s="581">
        <v>12</v>
      </c>
      <c r="J51" s="581" t="s">
        <v>231</v>
      </c>
      <c r="K51" s="23">
        <v>3007858514</v>
      </c>
      <c r="L51" s="133" t="s">
        <v>282</v>
      </c>
      <c r="M51" s="28" t="s">
        <v>137</v>
      </c>
      <c r="N51" s="957"/>
      <c r="O51" s="40"/>
    </row>
    <row r="52" spans="1:15" ht="20.05" customHeight="1" thickBot="1" x14ac:dyDescent="0.3">
      <c r="A52" s="1058"/>
      <c r="B52" s="1059" t="s">
        <v>56</v>
      </c>
      <c r="C52" s="981" t="s">
        <v>57</v>
      </c>
      <c r="D52" s="788"/>
      <c r="E52" s="958" t="s">
        <v>611</v>
      </c>
      <c r="F52" s="573">
        <v>43502</v>
      </c>
      <c r="G52" s="573">
        <v>43524</v>
      </c>
      <c r="H52" s="574" t="s">
        <v>900</v>
      </c>
      <c r="I52" s="574">
        <v>12</v>
      </c>
      <c r="J52" s="574" t="s">
        <v>8</v>
      </c>
      <c r="K52" s="958">
        <v>3008054183</v>
      </c>
      <c r="L52" s="958" t="s">
        <v>255</v>
      </c>
      <c r="M52" s="28" t="s">
        <v>69</v>
      </c>
      <c r="N52" s="35"/>
      <c r="O52" s="40"/>
    </row>
    <row r="53" spans="1:15" ht="20.05" customHeight="1" thickBot="1" x14ac:dyDescent="0.3">
      <c r="A53" s="1058"/>
      <c r="B53" s="1059"/>
      <c r="C53" s="981"/>
      <c r="D53" s="785"/>
      <c r="E53" s="960"/>
      <c r="F53" s="575">
        <v>43502</v>
      </c>
      <c r="G53" s="575">
        <v>43524</v>
      </c>
      <c r="H53" s="581" t="s">
        <v>33</v>
      </c>
      <c r="I53" s="581">
        <v>12</v>
      </c>
      <c r="J53" s="581" t="s">
        <v>4</v>
      </c>
      <c r="K53" s="960"/>
      <c r="L53" s="960"/>
      <c r="M53" s="28" t="s">
        <v>47</v>
      </c>
      <c r="N53" s="35"/>
      <c r="O53" s="40"/>
    </row>
    <row r="54" spans="1:15" ht="20.05" customHeight="1" thickBot="1" x14ac:dyDescent="0.3">
      <c r="A54" s="1058"/>
      <c r="B54" s="1059" t="s">
        <v>1017</v>
      </c>
      <c r="C54" s="981" t="s">
        <v>1018</v>
      </c>
      <c r="D54" s="788"/>
      <c r="E54" s="958" t="s">
        <v>1019</v>
      </c>
      <c r="F54" s="1090"/>
      <c r="G54" s="1090"/>
      <c r="H54" s="958"/>
      <c r="I54" s="513"/>
      <c r="J54" s="513"/>
      <c r="K54" s="958">
        <v>3224911438</v>
      </c>
      <c r="L54" s="958" t="s">
        <v>1020</v>
      </c>
      <c r="M54" s="513" t="s">
        <v>69</v>
      </c>
      <c r="N54" s="948" t="s">
        <v>1193</v>
      </c>
      <c r="O54" s="565"/>
    </row>
    <row r="55" spans="1:15" ht="20.05" customHeight="1" thickBot="1" x14ac:dyDescent="0.3">
      <c r="A55" s="1058"/>
      <c r="B55" s="1059"/>
      <c r="C55" s="981"/>
      <c r="D55" s="792"/>
      <c r="E55" s="959"/>
      <c r="F55" s="1091"/>
      <c r="G55" s="1091"/>
      <c r="H55" s="959"/>
      <c r="I55" s="513"/>
      <c r="J55" s="513"/>
      <c r="K55" s="959"/>
      <c r="L55" s="959"/>
      <c r="M55" s="390" t="s">
        <v>137</v>
      </c>
      <c r="N55" s="949"/>
      <c r="O55" s="566"/>
    </row>
    <row r="56" spans="1:15" ht="20.05" customHeight="1" thickBot="1" x14ac:dyDescent="0.3">
      <c r="A56" s="1058"/>
      <c r="B56" s="1059"/>
      <c r="C56" s="981"/>
      <c r="D56" s="785"/>
      <c r="E56" s="960"/>
      <c r="F56" s="1092"/>
      <c r="G56" s="1092"/>
      <c r="H56" s="960"/>
      <c r="I56" s="513"/>
      <c r="J56" s="513"/>
      <c r="K56" s="960"/>
      <c r="L56" s="960"/>
      <c r="M56" s="513" t="s">
        <v>47</v>
      </c>
      <c r="N56" s="950"/>
      <c r="O56" s="567"/>
    </row>
    <row r="57" spans="1:15" ht="20.05" customHeight="1" thickBot="1" x14ac:dyDescent="0.3">
      <c r="A57" s="1058"/>
      <c r="B57" s="1059" t="s">
        <v>58</v>
      </c>
      <c r="C57" s="981" t="s">
        <v>59</v>
      </c>
      <c r="D57" s="788"/>
      <c r="E57" s="958" t="s">
        <v>605</v>
      </c>
      <c r="F57" s="575">
        <v>43502</v>
      </c>
      <c r="G57" s="575">
        <v>43524</v>
      </c>
      <c r="H57" s="572" t="s">
        <v>33</v>
      </c>
      <c r="I57" s="574">
        <v>12</v>
      </c>
      <c r="J57" s="574" t="s">
        <v>4</v>
      </c>
      <c r="K57" s="958">
        <v>3146017015</v>
      </c>
      <c r="L57" s="958" t="s">
        <v>283</v>
      </c>
      <c r="M57" s="154" t="s">
        <v>47</v>
      </c>
      <c r="N57" s="1004" t="s">
        <v>717</v>
      </c>
      <c r="O57" s="996"/>
    </row>
    <row r="58" spans="1:15" ht="20.05" customHeight="1" thickBot="1" x14ac:dyDescent="0.3">
      <c r="A58" s="1058"/>
      <c r="B58" s="1059"/>
      <c r="C58" s="981"/>
      <c r="D58" s="792"/>
      <c r="E58" s="959"/>
      <c r="F58" s="961"/>
      <c r="G58" s="961"/>
      <c r="H58" s="972"/>
      <c r="I58" s="20"/>
      <c r="J58" s="20"/>
      <c r="K58" s="959"/>
      <c r="L58" s="959"/>
      <c r="M58" s="150" t="s">
        <v>137</v>
      </c>
      <c r="N58" s="1005"/>
      <c r="O58" s="997"/>
    </row>
    <row r="59" spans="1:15" ht="20.05" customHeight="1" thickBot="1" x14ac:dyDescent="0.3">
      <c r="A59" s="1058"/>
      <c r="B59" s="1059"/>
      <c r="C59" s="981"/>
      <c r="D59" s="785"/>
      <c r="E59" s="960"/>
      <c r="F59" s="962"/>
      <c r="G59" s="962"/>
      <c r="H59" s="974"/>
      <c r="I59" s="20"/>
      <c r="J59" s="20"/>
      <c r="K59" s="960"/>
      <c r="L59" s="960"/>
      <c r="M59" s="150" t="s">
        <v>69</v>
      </c>
      <c r="N59" s="1006"/>
      <c r="O59" s="40"/>
    </row>
    <row r="60" spans="1:15" ht="20.05" customHeight="1" thickBot="1" x14ac:dyDescent="0.3">
      <c r="A60" s="1058"/>
      <c r="B60" s="975" t="s">
        <v>60</v>
      </c>
      <c r="C60" s="1068" t="s">
        <v>61</v>
      </c>
      <c r="D60" s="788"/>
      <c r="E60" s="958" t="s">
        <v>605</v>
      </c>
      <c r="F60" s="573">
        <v>43502</v>
      </c>
      <c r="G60" s="573">
        <v>43524</v>
      </c>
      <c r="H60" s="574" t="s">
        <v>900</v>
      </c>
      <c r="I60" s="574">
        <v>20</v>
      </c>
      <c r="J60" s="574" t="s">
        <v>4</v>
      </c>
      <c r="K60" s="958">
        <v>3013563598</v>
      </c>
      <c r="L60" s="958" t="s">
        <v>248</v>
      </c>
      <c r="M60" s="23" t="s">
        <v>47</v>
      </c>
      <c r="N60" s="35"/>
      <c r="O60" s="40"/>
    </row>
    <row r="61" spans="1:15" ht="20.25" customHeight="1" thickBot="1" x14ac:dyDescent="0.3">
      <c r="A61" s="1058"/>
      <c r="B61" s="977"/>
      <c r="C61" s="1023"/>
      <c r="D61" s="785"/>
      <c r="E61" s="960"/>
      <c r="F61" s="575">
        <v>43502</v>
      </c>
      <c r="G61" s="575">
        <v>43524</v>
      </c>
      <c r="H61" s="572" t="s">
        <v>33</v>
      </c>
      <c r="I61" s="574">
        <v>12</v>
      </c>
      <c r="J61" s="574" t="s">
        <v>231</v>
      </c>
      <c r="K61" s="960"/>
      <c r="L61" s="960"/>
      <c r="M61" s="31" t="s">
        <v>137</v>
      </c>
      <c r="N61" s="35"/>
      <c r="O61" s="40"/>
    </row>
    <row r="62" spans="1:15" ht="20.05" customHeight="1" thickBot="1" x14ac:dyDescent="0.3">
      <c r="A62" s="1058"/>
      <c r="B62" s="1064" t="s">
        <v>62</v>
      </c>
      <c r="C62" s="958" t="s">
        <v>63</v>
      </c>
      <c r="D62" s="788"/>
      <c r="E62" s="958" t="s">
        <v>602</v>
      </c>
      <c r="F62" s="573">
        <v>43502</v>
      </c>
      <c r="G62" s="573">
        <v>43524</v>
      </c>
      <c r="H62" s="574" t="s">
        <v>900</v>
      </c>
      <c r="I62" s="574">
        <v>20</v>
      </c>
      <c r="J62" s="574" t="s">
        <v>231</v>
      </c>
      <c r="K62" s="958">
        <v>3002101210</v>
      </c>
      <c r="L62" s="958" t="s">
        <v>242</v>
      </c>
      <c r="M62" s="23" t="s">
        <v>137</v>
      </c>
      <c r="N62" s="35"/>
      <c r="O62" s="40"/>
    </row>
    <row r="63" spans="1:15" ht="20.05" customHeight="1" thickBot="1" x14ac:dyDescent="0.3">
      <c r="A63" s="1058"/>
      <c r="B63" s="1065"/>
      <c r="C63" s="960"/>
      <c r="D63" s="792"/>
      <c r="E63" s="959"/>
      <c r="F63" s="575">
        <v>43502</v>
      </c>
      <c r="G63" s="575">
        <v>43524</v>
      </c>
      <c r="H63" s="572" t="s">
        <v>33</v>
      </c>
      <c r="I63" s="574">
        <v>12</v>
      </c>
      <c r="J63" s="574" t="s">
        <v>4</v>
      </c>
      <c r="K63" s="959"/>
      <c r="L63" s="959"/>
      <c r="M63" s="28" t="s">
        <v>47</v>
      </c>
      <c r="N63" s="35"/>
      <c r="O63" s="40"/>
    </row>
    <row r="64" spans="1:15" ht="20.05" customHeight="1" thickBot="1" x14ac:dyDescent="0.3">
      <c r="A64" s="1058"/>
      <c r="B64" s="975" t="s">
        <v>759</v>
      </c>
      <c r="C64" s="978" t="s">
        <v>760</v>
      </c>
      <c r="D64" s="783"/>
      <c r="E64" s="1012" t="s">
        <v>761</v>
      </c>
      <c r="F64" s="575">
        <v>43502</v>
      </c>
      <c r="G64" s="575">
        <v>43524</v>
      </c>
      <c r="H64" s="572" t="s">
        <v>33</v>
      </c>
      <c r="I64" s="574">
        <v>12</v>
      </c>
      <c r="J64" s="574" t="s">
        <v>4</v>
      </c>
      <c r="K64" s="353">
        <v>3187147033</v>
      </c>
      <c r="L64" s="356" t="s">
        <v>1253</v>
      </c>
      <c r="M64" s="354" t="s">
        <v>47</v>
      </c>
      <c r="N64" s="35"/>
      <c r="O64" s="40"/>
    </row>
    <row r="65" spans="1:15" ht="20.05" customHeight="1" thickBot="1" x14ac:dyDescent="0.3">
      <c r="A65" s="1058"/>
      <c r="B65" s="977"/>
      <c r="C65" s="980"/>
      <c r="D65" s="784"/>
      <c r="E65" s="1013"/>
      <c r="F65" s="495"/>
      <c r="G65" s="495"/>
      <c r="H65" s="20"/>
      <c r="I65" s="20"/>
      <c r="J65" s="20"/>
      <c r="K65" s="90">
        <v>3187147033</v>
      </c>
      <c r="L65" s="135" t="s">
        <v>762</v>
      </c>
      <c r="M65" s="28" t="s">
        <v>137</v>
      </c>
      <c r="N65" s="35"/>
      <c r="O65" s="40"/>
    </row>
    <row r="66" spans="1:15" ht="20.05" customHeight="1" thickBot="1" x14ac:dyDescent="0.3">
      <c r="A66" s="1058"/>
      <c r="B66" s="406" t="s">
        <v>1029</v>
      </c>
      <c r="C66" s="407" t="s">
        <v>1030</v>
      </c>
      <c r="D66" s="785"/>
      <c r="E66" s="317" t="s">
        <v>634</v>
      </c>
      <c r="F66" s="495"/>
      <c r="G66" s="495"/>
      <c r="H66" s="496"/>
      <c r="I66" s="496"/>
      <c r="J66" s="496"/>
      <c r="K66" s="315">
        <v>3126107679</v>
      </c>
      <c r="L66" s="321" t="s">
        <v>1031</v>
      </c>
      <c r="M66" s="320" t="s">
        <v>47</v>
      </c>
      <c r="N66" s="35"/>
      <c r="O66" s="40"/>
    </row>
    <row r="67" spans="1:15" ht="20.05" customHeight="1" thickBot="1" x14ac:dyDescent="0.3">
      <c r="A67" s="1058"/>
      <c r="B67" s="772" t="s">
        <v>1399</v>
      </c>
      <c r="C67" s="771" t="s">
        <v>1400</v>
      </c>
      <c r="D67" s="785">
        <v>6638689</v>
      </c>
      <c r="E67" s="773" t="s">
        <v>1402</v>
      </c>
      <c r="F67" s="774">
        <v>43516</v>
      </c>
      <c r="G67" s="774">
        <v>43524</v>
      </c>
      <c r="H67" s="769" t="s">
        <v>33</v>
      </c>
      <c r="I67" s="769">
        <v>12</v>
      </c>
      <c r="J67" s="769" t="s">
        <v>4</v>
      </c>
      <c r="K67" s="770">
        <v>3116632470</v>
      </c>
      <c r="L67" s="776" t="s">
        <v>1405</v>
      </c>
      <c r="M67" s="390" t="s">
        <v>47</v>
      </c>
      <c r="N67" s="35"/>
      <c r="O67" s="40"/>
    </row>
    <row r="68" spans="1:15" ht="20.05" customHeight="1" thickBot="1" x14ac:dyDescent="0.3">
      <c r="A68" s="1058"/>
      <c r="B68" s="406" t="s">
        <v>1249</v>
      </c>
      <c r="C68" s="511" t="s">
        <v>1250</v>
      </c>
      <c r="D68" s="785"/>
      <c r="E68" s="512" t="s">
        <v>1251</v>
      </c>
      <c r="F68" s="573">
        <v>43502</v>
      </c>
      <c r="G68" s="573">
        <v>43524</v>
      </c>
      <c r="H68" s="574" t="s">
        <v>33</v>
      </c>
      <c r="I68" s="574">
        <v>12</v>
      </c>
      <c r="J68" s="574" t="s">
        <v>4</v>
      </c>
      <c r="K68" s="510">
        <v>3168398130</v>
      </c>
      <c r="L68" s="382" t="s">
        <v>1252</v>
      </c>
      <c r="M68" s="390" t="s">
        <v>47</v>
      </c>
      <c r="N68" s="35"/>
      <c r="O68" s="40"/>
    </row>
    <row r="69" spans="1:15" ht="20.05" customHeight="1" thickBot="1" x14ac:dyDescent="0.3">
      <c r="A69" s="1058"/>
      <c r="B69" s="406" t="s">
        <v>893</v>
      </c>
      <c r="C69" s="407" t="s">
        <v>894</v>
      </c>
      <c r="D69" s="785"/>
      <c r="E69" s="152" t="s">
        <v>751</v>
      </c>
      <c r="F69" s="495"/>
      <c r="G69" s="495"/>
      <c r="H69" s="20"/>
      <c r="I69" s="20"/>
      <c r="J69" s="20"/>
      <c r="K69" s="149">
        <v>3107083190</v>
      </c>
      <c r="L69" s="151" t="s">
        <v>895</v>
      </c>
      <c r="M69" s="154" t="s">
        <v>47</v>
      </c>
      <c r="N69" s="35"/>
      <c r="O69" s="40"/>
    </row>
    <row r="70" spans="1:15" ht="20.05" customHeight="1" thickBot="1" x14ac:dyDescent="0.3">
      <c r="A70" s="1058"/>
      <c r="B70" s="406" t="s">
        <v>749</v>
      </c>
      <c r="C70" s="407" t="s">
        <v>750</v>
      </c>
      <c r="D70" s="785"/>
      <c r="E70" s="88" t="s">
        <v>751</v>
      </c>
      <c r="F70" s="495"/>
      <c r="G70" s="495"/>
      <c r="H70" s="20"/>
      <c r="I70" s="20"/>
      <c r="J70" s="20"/>
      <c r="K70" s="88">
        <v>3103611868</v>
      </c>
      <c r="L70" s="135" t="s">
        <v>752</v>
      </c>
      <c r="M70" s="28" t="s">
        <v>49</v>
      </c>
      <c r="N70" s="35"/>
      <c r="O70" s="40"/>
    </row>
    <row r="71" spans="1:15" ht="20.05" customHeight="1" thickBot="1" x14ac:dyDescent="0.3">
      <c r="A71" s="1058"/>
      <c r="B71" s="406" t="s">
        <v>266</v>
      </c>
      <c r="C71" s="407" t="s">
        <v>267</v>
      </c>
      <c r="D71" s="786"/>
      <c r="E71" s="325" t="s">
        <v>1033</v>
      </c>
      <c r="F71" s="573">
        <v>43502</v>
      </c>
      <c r="G71" s="573">
        <v>43524</v>
      </c>
      <c r="H71" s="574" t="s">
        <v>33</v>
      </c>
      <c r="I71" s="574">
        <v>12</v>
      </c>
      <c r="J71" s="574" t="s">
        <v>4</v>
      </c>
      <c r="K71" s="22">
        <v>3014761148</v>
      </c>
      <c r="L71" s="133" t="s">
        <v>268</v>
      </c>
      <c r="M71" s="28" t="s">
        <v>49</v>
      </c>
      <c r="N71" s="35"/>
      <c r="O71" s="40"/>
    </row>
    <row r="72" spans="1:15" ht="20.05" customHeight="1" thickBot="1" x14ac:dyDescent="0.3">
      <c r="A72" s="1058"/>
      <c r="B72" s="975" t="s">
        <v>64</v>
      </c>
      <c r="C72" s="1068" t="s">
        <v>65</v>
      </c>
      <c r="D72" s="788"/>
      <c r="E72" s="958" t="s">
        <v>652</v>
      </c>
      <c r="F72" s="961"/>
      <c r="G72" s="961"/>
      <c r="H72" s="972"/>
      <c r="I72" s="20"/>
      <c r="J72" s="20"/>
      <c r="K72" s="958">
        <v>3012411824</v>
      </c>
      <c r="L72" s="958" t="s">
        <v>804</v>
      </c>
      <c r="M72" s="354" t="s">
        <v>47</v>
      </c>
      <c r="N72" s="1003"/>
      <c r="O72" s="40"/>
    </row>
    <row r="73" spans="1:15" ht="20.05" customHeight="1" thickBot="1" x14ac:dyDescent="0.3">
      <c r="A73" s="1058"/>
      <c r="B73" s="976"/>
      <c r="C73" s="1069"/>
      <c r="D73" s="792"/>
      <c r="E73" s="959"/>
      <c r="F73" s="1011"/>
      <c r="G73" s="1011"/>
      <c r="H73" s="973"/>
      <c r="I73" s="20"/>
      <c r="J73" s="20"/>
      <c r="K73" s="959"/>
      <c r="L73" s="959"/>
      <c r="M73" s="354" t="s">
        <v>137</v>
      </c>
      <c r="N73" s="1003"/>
      <c r="O73" s="40"/>
    </row>
    <row r="74" spans="1:15" ht="20.05" customHeight="1" thickBot="1" x14ac:dyDescent="0.3">
      <c r="A74" s="1058"/>
      <c r="B74" s="977"/>
      <c r="C74" s="1023"/>
      <c r="D74" s="785"/>
      <c r="E74" s="960"/>
      <c r="F74" s="962"/>
      <c r="G74" s="962"/>
      <c r="H74" s="974"/>
      <c r="I74" s="20"/>
      <c r="J74" s="20"/>
      <c r="K74" s="960"/>
      <c r="L74" s="960"/>
      <c r="M74" s="354" t="s">
        <v>69</v>
      </c>
      <c r="N74" s="1003"/>
      <c r="O74" s="40"/>
    </row>
    <row r="75" spans="1:15" ht="20.05" customHeight="1" thickBot="1" x14ac:dyDescent="0.3">
      <c r="A75" s="1058"/>
      <c r="B75" s="404" t="s">
        <v>554</v>
      </c>
      <c r="C75" s="405" t="s">
        <v>555</v>
      </c>
      <c r="D75" s="785"/>
      <c r="E75" s="23" t="s">
        <v>593</v>
      </c>
      <c r="F75" s="495"/>
      <c r="G75" s="495"/>
      <c r="H75" s="20"/>
      <c r="I75" s="20"/>
      <c r="J75" s="20"/>
      <c r="K75" s="23">
        <v>3123045347</v>
      </c>
      <c r="L75" s="133" t="s">
        <v>556</v>
      </c>
      <c r="M75" s="28" t="s">
        <v>47</v>
      </c>
      <c r="N75" s="35"/>
      <c r="O75" s="40"/>
    </row>
    <row r="76" spans="1:15" ht="20.05" customHeight="1" thickBot="1" x14ac:dyDescent="0.3">
      <c r="A76" s="1058"/>
      <c r="B76" s="404" t="s">
        <v>1068</v>
      </c>
      <c r="C76" s="405" t="s">
        <v>1069</v>
      </c>
      <c r="D76" s="785"/>
      <c r="E76" s="339" t="s">
        <v>751</v>
      </c>
      <c r="F76" s="543"/>
      <c r="G76" s="543"/>
      <c r="H76" s="546"/>
      <c r="I76" s="549"/>
      <c r="J76" s="496"/>
      <c r="K76" s="339">
        <v>3135460801</v>
      </c>
      <c r="L76" s="340" t="s">
        <v>1070</v>
      </c>
      <c r="M76" s="340" t="s">
        <v>49</v>
      </c>
      <c r="N76" s="35"/>
      <c r="O76" s="40"/>
    </row>
    <row r="77" spans="1:15" ht="20.05" customHeight="1" thickBot="1" x14ac:dyDescent="0.3">
      <c r="A77" s="1058"/>
      <c r="B77" s="406" t="s">
        <v>67</v>
      </c>
      <c r="C77" s="407" t="s">
        <v>68</v>
      </c>
      <c r="D77" s="786"/>
      <c r="E77" s="23" t="s">
        <v>793</v>
      </c>
      <c r="F77" s="573">
        <v>43502</v>
      </c>
      <c r="G77" s="573">
        <v>43524</v>
      </c>
      <c r="H77" s="574" t="s">
        <v>33</v>
      </c>
      <c r="I77" s="574">
        <v>12</v>
      </c>
      <c r="J77" s="574" t="s">
        <v>8</v>
      </c>
      <c r="K77" s="23">
        <v>3107361726</v>
      </c>
      <c r="L77" s="133" t="s">
        <v>291</v>
      </c>
      <c r="M77" s="28" t="s">
        <v>69</v>
      </c>
      <c r="N77" s="35"/>
      <c r="O77" s="40"/>
    </row>
    <row r="78" spans="1:15" ht="20.05" customHeight="1" thickBot="1" x14ac:dyDescent="0.3">
      <c r="A78" s="1058"/>
      <c r="B78" s="975" t="s">
        <v>217</v>
      </c>
      <c r="C78" s="978" t="s">
        <v>218</v>
      </c>
      <c r="D78" s="783"/>
      <c r="E78" s="958" t="s">
        <v>605</v>
      </c>
      <c r="F78" s="495"/>
      <c r="G78" s="495"/>
      <c r="H78" s="496"/>
      <c r="I78" s="496"/>
      <c r="J78" s="496"/>
      <c r="K78" s="254"/>
      <c r="L78" s="256"/>
      <c r="M78" s="255" t="s">
        <v>49</v>
      </c>
      <c r="N78" s="35"/>
      <c r="O78" s="40"/>
    </row>
    <row r="79" spans="1:15" ht="20.05" customHeight="1" thickBot="1" x14ac:dyDescent="0.3">
      <c r="A79" s="1058"/>
      <c r="B79" s="976"/>
      <c r="C79" s="979"/>
      <c r="D79" s="787"/>
      <c r="E79" s="959"/>
      <c r="F79" s="968">
        <v>43502</v>
      </c>
      <c r="G79" s="968">
        <v>43524</v>
      </c>
      <c r="H79" s="887" t="s">
        <v>900</v>
      </c>
      <c r="I79" s="572">
        <v>12</v>
      </c>
      <c r="J79" s="572" t="s">
        <v>231</v>
      </c>
      <c r="K79" s="155"/>
      <c r="L79" s="157"/>
      <c r="M79" s="156" t="s">
        <v>137</v>
      </c>
      <c r="N79" s="35"/>
      <c r="O79" s="40"/>
    </row>
    <row r="80" spans="1:15" ht="20.05" customHeight="1" thickBot="1" x14ac:dyDescent="0.3">
      <c r="A80" s="1058"/>
      <c r="B80" s="977"/>
      <c r="C80" s="980"/>
      <c r="D80" s="784"/>
      <c r="E80" s="960"/>
      <c r="F80" s="970"/>
      <c r="G80" s="970"/>
      <c r="H80" s="888"/>
      <c r="I80" s="572">
        <v>12</v>
      </c>
      <c r="J80" s="572" t="s">
        <v>8</v>
      </c>
      <c r="K80" s="128">
        <v>3017673247</v>
      </c>
      <c r="L80" s="129" t="s">
        <v>284</v>
      </c>
      <c r="M80" s="28" t="s">
        <v>69</v>
      </c>
      <c r="N80" s="35"/>
      <c r="O80" s="40"/>
    </row>
    <row r="81" spans="1:15" ht="20.05" customHeight="1" thickBot="1" x14ac:dyDescent="0.3">
      <c r="A81" s="1058"/>
      <c r="B81" s="602" t="s">
        <v>70</v>
      </c>
      <c r="C81" s="410" t="s">
        <v>360</v>
      </c>
      <c r="D81" s="788">
        <v>28183374</v>
      </c>
      <c r="E81" s="89" t="s">
        <v>612</v>
      </c>
      <c r="F81" s="816">
        <v>43518</v>
      </c>
      <c r="G81" s="816">
        <v>43539</v>
      </c>
      <c r="H81" s="817" t="s">
        <v>900</v>
      </c>
      <c r="I81" s="838">
        <v>12</v>
      </c>
      <c r="J81" s="817" t="s">
        <v>4</v>
      </c>
      <c r="K81" s="83">
        <v>3012874416</v>
      </c>
      <c r="L81" s="133"/>
      <c r="M81" s="28" t="s">
        <v>47</v>
      </c>
      <c r="N81" s="77"/>
      <c r="O81" s="40"/>
    </row>
    <row r="82" spans="1:15" ht="20.05" customHeight="1" thickBot="1" x14ac:dyDescent="0.3">
      <c r="A82" s="1058"/>
      <c r="B82" s="975" t="s">
        <v>71</v>
      </c>
      <c r="C82" s="1068" t="s">
        <v>72</v>
      </c>
      <c r="D82" s="788"/>
      <c r="E82" s="958" t="s">
        <v>1220</v>
      </c>
      <c r="F82" s="968">
        <v>43515</v>
      </c>
      <c r="G82" s="968">
        <v>43524</v>
      </c>
      <c r="H82" s="887" t="s">
        <v>66</v>
      </c>
      <c r="I82" s="756">
        <v>16</v>
      </c>
      <c r="J82" s="755" t="s">
        <v>231</v>
      </c>
      <c r="K82" s="958">
        <v>3017000093</v>
      </c>
      <c r="L82" s="958" t="s">
        <v>286</v>
      </c>
      <c r="M82" s="300" t="s">
        <v>137</v>
      </c>
      <c r="N82" s="1003"/>
      <c r="O82" s="40"/>
    </row>
    <row r="83" spans="1:15" ht="20.05" customHeight="1" thickBot="1" x14ac:dyDescent="0.3">
      <c r="A83" s="1058"/>
      <c r="B83" s="976"/>
      <c r="C83" s="1069"/>
      <c r="D83" s="792"/>
      <c r="E83" s="959"/>
      <c r="F83" s="969"/>
      <c r="G83" s="969"/>
      <c r="H83" s="971"/>
      <c r="I83" s="756">
        <v>16</v>
      </c>
      <c r="J83" s="755" t="s">
        <v>8</v>
      </c>
      <c r="K83" s="959"/>
      <c r="L83" s="959"/>
      <c r="M83" s="300" t="s">
        <v>69</v>
      </c>
      <c r="N83" s="1003"/>
      <c r="O83" s="40"/>
    </row>
    <row r="84" spans="1:15" ht="20.05" customHeight="1" thickBot="1" x14ac:dyDescent="0.3">
      <c r="A84" s="1058"/>
      <c r="B84" s="977"/>
      <c r="C84" s="1023"/>
      <c r="D84" s="785"/>
      <c r="E84" s="960"/>
      <c r="F84" s="970"/>
      <c r="G84" s="970"/>
      <c r="H84" s="888"/>
      <c r="I84" s="756">
        <v>16</v>
      </c>
      <c r="J84" s="755" t="s">
        <v>4</v>
      </c>
      <c r="K84" s="960"/>
      <c r="L84" s="960"/>
      <c r="M84" s="36" t="s">
        <v>49</v>
      </c>
      <c r="N84" s="1003"/>
      <c r="O84" s="40"/>
    </row>
    <row r="85" spans="1:15" ht="20.05" customHeight="1" thickBot="1" x14ac:dyDescent="0.3">
      <c r="A85" s="1058"/>
      <c r="B85" s="975" t="s">
        <v>219</v>
      </c>
      <c r="C85" s="978" t="s">
        <v>220</v>
      </c>
      <c r="D85" s="783"/>
      <c r="E85" s="958" t="s">
        <v>644</v>
      </c>
      <c r="F85" s="545"/>
      <c r="G85" s="545"/>
      <c r="H85" s="546"/>
      <c r="I85" s="496"/>
      <c r="J85" s="496"/>
      <c r="K85" s="958">
        <v>3162225917</v>
      </c>
      <c r="L85" s="958" t="s">
        <v>289</v>
      </c>
      <c r="M85" s="106" t="s">
        <v>49</v>
      </c>
      <c r="N85" s="42"/>
      <c r="O85" s="40"/>
    </row>
    <row r="86" spans="1:15" ht="20.05" customHeight="1" thickBot="1" x14ac:dyDescent="0.3">
      <c r="A86" s="1058"/>
      <c r="B86" s="1055"/>
      <c r="C86" s="1057"/>
      <c r="D86" s="796"/>
      <c r="E86" s="965"/>
      <c r="F86" s="550"/>
      <c r="G86" s="550"/>
      <c r="H86" s="551"/>
      <c r="I86" s="551"/>
      <c r="J86" s="551"/>
      <c r="K86" s="965"/>
      <c r="L86" s="965"/>
      <c r="M86" s="37" t="s">
        <v>137</v>
      </c>
      <c r="N86" s="38"/>
      <c r="O86" s="40"/>
    </row>
    <row r="87" spans="1:15" ht="20.05" customHeight="1" thickBot="1" x14ac:dyDescent="0.3">
      <c r="A87" s="1083" t="s">
        <v>24</v>
      </c>
      <c r="B87" s="1051" t="s">
        <v>135</v>
      </c>
      <c r="C87" s="1027" t="s">
        <v>136</v>
      </c>
      <c r="D87" s="781"/>
      <c r="E87" s="1009" t="s">
        <v>593</v>
      </c>
      <c r="F87" s="573">
        <v>43502</v>
      </c>
      <c r="G87" s="573">
        <v>43524</v>
      </c>
      <c r="H87" s="574" t="s">
        <v>900</v>
      </c>
      <c r="I87" s="574">
        <v>12</v>
      </c>
      <c r="J87" s="574" t="s">
        <v>231</v>
      </c>
      <c r="K87" s="1008">
        <v>3215473774</v>
      </c>
      <c r="L87" s="1008" t="s">
        <v>265</v>
      </c>
      <c r="M87" s="58" t="s">
        <v>137</v>
      </c>
      <c r="N87" s="61"/>
      <c r="O87" s="48"/>
    </row>
    <row r="88" spans="1:15" ht="20.05" customHeight="1" thickBot="1" x14ac:dyDescent="0.3">
      <c r="A88" s="1083"/>
      <c r="B88" s="1035"/>
      <c r="C88" s="1036"/>
      <c r="D88" s="782"/>
      <c r="E88" s="999"/>
      <c r="F88" s="573">
        <v>43502</v>
      </c>
      <c r="G88" s="573">
        <v>43524</v>
      </c>
      <c r="H88" s="574" t="s">
        <v>33</v>
      </c>
      <c r="I88" s="574">
        <v>12</v>
      </c>
      <c r="J88" s="574" t="s">
        <v>4</v>
      </c>
      <c r="K88" s="999"/>
      <c r="L88" s="999"/>
      <c r="M88" s="50" t="s">
        <v>134</v>
      </c>
      <c r="N88" s="63"/>
      <c r="O88" s="48"/>
    </row>
    <row r="89" spans="1:15" ht="20.05" customHeight="1" thickBot="1" x14ac:dyDescent="0.3">
      <c r="A89" s="1083"/>
      <c r="B89" s="1037" t="s">
        <v>309</v>
      </c>
      <c r="C89" s="1039" t="s">
        <v>310</v>
      </c>
      <c r="D89" s="780"/>
      <c r="E89" s="1010" t="s">
        <v>593</v>
      </c>
      <c r="F89" s="968">
        <v>43502</v>
      </c>
      <c r="G89" s="968">
        <v>43524</v>
      </c>
      <c r="H89" s="887" t="s">
        <v>66</v>
      </c>
      <c r="I89" s="574">
        <v>24</v>
      </c>
      <c r="J89" s="574" t="s">
        <v>4</v>
      </c>
      <c r="K89" s="998">
        <v>3014889526</v>
      </c>
      <c r="L89" s="998" t="s">
        <v>311</v>
      </c>
      <c r="M89" s="50" t="s">
        <v>134</v>
      </c>
      <c r="N89" s="67"/>
      <c r="O89" s="48"/>
    </row>
    <row r="90" spans="1:15" ht="20.05" customHeight="1" thickBot="1" x14ac:dyDescent="0.3">
      <c r="A90" s="1083"/>
      <c r="B90" s="1051"/>
      <c r="C90" s="1027"/>
      <c r="D90" s="782"/>
      <c r="E90" s="1010"/>
      <c r="F90" s="970"/>
      <c r="G90" s="970"/>
      <c r="H90" s="888"/>
      <c r="I90" s="574">
        <v>24</v>
      </c>
      <c r="J90" s="574" t="s">
        <v>5</v>
      </c>
      <c r="K90" s="999"/>
      <c r="L90" s="999"/>
      <c r="M90" s="50" t="s">
        <v>134</v>
      </c>
      <c r="N90" s="67"/>
      <c r="O90" s="48"/>
    </row>
    <row r="91" spans="1:15" ht="20.05" customHeight="1" thickBot="1" x14ac:dyDescent="0.3">
      <c r="A91" s="1083"/>
      <c r="B91" s="1037" t="s">
        <v>223</v>
      </c>
      <c r="C91" s="1039" t="s">
        <v>681</v>
      </c>
      <c r="D91" s="780"/>
      <c r="E91" s="998"/>
      <c r="F91" s="575">
        <v>43502</v>
      </c>
      <c r="G91" s="575">
        <v>43524</v>
      </c>
      <c r="H91" s="574" t="s">
        <v>900</v>
      </c>
      <c r="I91" s="574">
        <v>12</v>
      </c>
      <c r="J91" s="574" t="s">
        <v>231</v>
      </c>
      <c r="K91" s="998">
        <v>3177537668</v>
      </c>
      <c r="L91" s="998" t="s">
        <v>308</v>
      </c>
      <c r="M91" s="52" t="s">
        <v>137</v>
      </c>
      <c r="N91" s="67"/>
      <c r="O91" s="48"/>
    </row>
    <row r="92" spans="1:15" ht="20.05" customHeight="1" thickBot="1" x14ac:dyDescent="0.3">
      <c r="A92" s="1083"/>
      <c r="B92" s="1060"/>
      <c r="C92" s="1026"/>
      <c r="D92" s="781"/>
      <c r="E92" s="1007"/>
      <c r="F92" s="573">
        <v>43502</v>
      </c>
      <c r="G92" s="573">
        <v>43524</v>
      </c>
      <c r="H92" s="574" t="s">
        <v>33</v>
      </c>
      <c r="I92" s="574">
        <v>12</v>
      </c>
      <c r="J92" s="574" t="s">
        <v>4</v>
      </c>
      <c r="K92" s="1007"/>
      <c r="L92" s="1007"/>
      <c r="M92" s="299" t="s">
        <v>134</v>
      </c>
      <c r="N92" s="65"/>
      <c r="O92" s="48"/>
    </row>
    <row r="93" spans="1:15" ht="20.05" customHeight="1" thickBot="1" x14ac:dyDescent="0.3">
      <c r="A93" s="1080" t="s">
        <v>22</v>
      </c>
      <c r="B93" s="418" t="s">
        <v>88</v>
      </c>
      <c r="C93" s="419" t="s">
        <v>89</v>
      </c>
      <c r="D93" s="784"/>
      <c r="E93" s="298" t="s">
        <v>637</v>
      </c>
      <c r="F93" s="573">
        <v>43502</v>
      </c>
      <c r="G93" s="573">
        <v>43524</v>
      </c>
      <c r="H93" s="574" t="s">
        <v>33</v>
      </c>
      <c r="I93" s="574">
        <v>12</v>
      </c>
      <c r="J93" s="574" t="s">
        <v>4</v>
      </c>
      <c r="K93" s="294">
        <v>3135237669</v>
      </c>
      <c r="L93" s="297" t="s">
        <v>303</v>
      </c>
      <c r="M93" s="297" t="s">
        <v>23</v>
      </c>
      <c r="N93" s="39"/>
      <c r="O93" s="40"/>
    </row>
    <row r="94" spans="1:15" ht="20.05" customHeight="1" thickBot="1" x14ac:dyDescent="0.3">
      <c r="A94" s="1080"/>
      <c r="B94" s="975" t="s">
        <v>90</v>
      </c>
      <c r="C94" s="978" t="s">
        <v>91</v>
      </c>
      <c r="D94" s="783"/>
      <c r="E94" s="958" t="s">
        <v>638</v>
      </c>
      <c r="F94" s="573">
        <v>43502</v>
      </c>
      <c r="G94" s="573">
        <v>43524</v>
      </c>
      <c r="H94" s="574" t="s">
        <v>33</v>
      </c>
      <c r="I94" s="574">
        <v>12</v>
      </c>
      <c r="J94" s="574" t="s">
        <v>4</v>
      </c>
      <c r="K94" s="958">
        <v>3114225165</v>
      </c>
      <c r="L94" s="958" t="s">
        <v>263</v>
      </c>
      <c r="M94" s="297" t="s">
        <v>23</v>
      </c>
      <c r="N94" s="39"/>
      <c r="O94" s="40"/>
    </row>
    <row r="95" spans="1:15" ht="20.05" customHeight="1" thickBot="1" x14ac:dyDescent="0.3">
      <c r="A95" s="1080"/>
      <c r="B95" s="977"/>
      <c r="C95" s="980"/>
      <c r="D95" s="784"/>
      <c r="E95" s="960"/>
      <c r="F95" s="543"/>
      <c r="G95" s="543"/>
      <c r="H95" s="20"/>
      <c r="I95" s="20"/>
      <c r="J95" s="20"/>
      <c r="K95" s="960"/>
      <c r="L95" s="960"/>
      <c r="M95" s="300" t="s">
        <v>257</v>
      </c>
      <c r="N95" s="35"/>
      <c r="O95" s="40"/>
    </row>
    <row r="96" spans="1:15" ht="20.05" customHeight="1" thickBot="1" x14ac:dyDescent="0.3">
      <c r="A96" s="1080"/>
      <c r="B96" s="1064" t="s">
        <v>1319</v>
      </c>
      <c r="C96" s="958" t="s">
        <v>1320</v>
      </c>
      <c r="D96" s="783"/>
      <c r="E96" s="958" t="s">
        <v>606</v>
      </c>
      <c r="F96" s="659">
        <v>43510</v>
      </c>
      <c r="G96" s="659">
        <v>43514</v>
      </c>
      <c r="H96" s="660" t="s">
        <v>33</v>
      </c>
      <c r="I96" s="660">
        <v>12</v>
      </c>
      <c r="J96" s="660" t="s">
        <v>4</v>
      </c>
      <c r="K96" s="958">
        <v>3126137243</v>
      </c>
      <c r="L96" s="958" t="s">
        <v>1318</v>
      </c>
      <c r="M96" s="390" t="s">
        <v>23</v>
      </c>
      <c r="N96" s="946" t="s">
        <v>1362</v>
      </c>
      <c r="O96" s="40"/>
    </row>
    <row r="97" spans="1:15" ht="20.05" customHeight="1" thickBot="1" x14ac:dyDescent="0.3">
      <c r="A97" s="1080"/>
      <c r="B97" s="1065"/>
      <c r="C97" s="960"/>
      <c r="D97" s="784"/>
      <c r="E97" s="960"/>
      <c r="F97" s="709">
        <v>43515</v>
      </c>
      <c r="G97" s="709">
        <v>43524</v>
      </c>
      <c r="H97" s="708" t="s">
        <v>900</v>
      </c>
      <c r="I97" s="708">
        <v>20</v>
      </c>
      <c r="J97" s="708" t="s">
        <v>4</v>
      </c>
      <c r="K97" s="960"/>
      <c r="L97" s="960"/>
      <c r="M97" s="390" t="s">
        <v>23</v>
      </c>
      <c r="N97" s="947"/>
      <c r="O97" s="40"/>
    </row>
    <row r="98" spans="1:15" ht="20.05" customHeight="1" thickBot="1" x14ac:dyDescent="0.3">
      <c r="A98" s="1080"/>
      <c r="B98" s="406" t="s">
        <v>92</v>
      </c>
      <c r="C98" s="408" t="s">
        <v>93</v>
      </c>
      <c r="D98" s="791"/>
      <c r="E98" s="89" t="s">
        <v>639</v>
      </c>
      <c r="F98" s="573">
        <v>43502</v>
      </c>
      <c r="G98" s="573">
        <v>43524</v>
      </c>
      <c r="H98" s="574" t="s">
        <v>33</v>
      </c>
      <c r="I98" s="574">
        <v>12</v>
      </c>
      <c r="J98" s="574" t="s">
        <v>4</v>
      </c>
      <c r="K98" s="295">
        <v>3106433323</v>
      </c>
      <c r="L98" s="300" t="s">
        <v>304</v>
      </c>
      <c r="M98" s="300" t="s">
        <v>23</v>
      </c>
      <c r="N98" s="41"/>
      <c r="O98" s="40"/>
    </row>
    <row r="99" spans="1:15" ht="20.05" customHeight="1" thickBot="1" x14ac:dyDescent="0.3">
      <c r="A99" s="1080"/>
      <c r="B99" s="1059" t="s">
        <v>99</v>
      </c>
      <c r="C99" s="1061" t="s">
        <v>100</v>
      </c>
      <c r="D99" s="791"/>
      <c r="E99" s="1025" t="s">
        <v>605</v>
      </c>
      <c r="F99" s="573">
        <v>43502</v>
      </c>
      <c r="G99" s="573">
        <v>43524</v>
      </c>
      <c r="H99" s="574" t="s">
        <v>900</v>
      </c>
      <c r="I99" s="574">
        <v>20</v>
      </c>
      <c r="J99" s="574" t="s">
        <v>231</v>
      </c>
      <c r="K99" s="958">
        <v>3124569870</v>
      </c>
      <c r="L99" s="958" t="s">
        <v>256</v>
      </c>
      <c r="M99" s="295" t="s">
        <v>257</v>
      </c>
      <c r="N99" s="35"/>
      <c r="O99" s="40"/>
    </row>
    <row r="100" spans="1:15" ht="20.05" customHeight="1" thickBot="1" x14ac:dyDescent="0.3">
      <c r="A100" s="1080"/>
      <c r="B100" s="1076"/>
      <c r="C100" s="1062"/>
      <c r="D100" s="797"/>
      <c r="E100" s="1063"/>
      <c r="F100" s="585">
        <v>43502</v>
      </c>
      <c r="G100" s="585">
        <v>43524</v>
      </c>
      <c r="H100" s="586" t="s">
        <v>33</v>
      </c>
      <c r="I100" s="586">
        <v>12</v>
      </c>
      <c r="J100" s="586" t="s">
        <v>4</v>
      </c>
      <c r="K100" s="965"/>
      <c r="L100" s="965"/>
      <c r="M100" s="296" t="s">
        <v>23</v>
      </c>
      <c r="N100" s="38"/>
      <c r="O100" s="40"/>
    </row>
    <row r="101" spans="1:15" ht="20.05" customHeight="1" thickBot="1" x14ac:dyDescent="0.3">
      <c r="A101" s="1086" t="s">
        <v>232</v>
      </c>
      <c r="B101" s="1060" t="s">
        <v>233</v>
      </c>
      <c r="C101" s="1026" t="s">
        <v>234</v>
      </c>
      <c r="D101" s="781"/>
      <c r="E101" s="1008" t="s">
        <v>638</v>
      </c>
      <c r="F101" s="969">
        <v>43502</v>
      </c>
      <c r="G101" s="969">
        <v>43524</v>
      </c>
      <c r="H101" s="971" t="s">
        <v>66</v>
      </c>
      <c r="I101" s="576">
        <v>24</v>
      </c>
      <c r="J101" s="576" t="s">
        <v>4</v>
      </c>
      <c r="K101" s="963">
        <v>3012840976</v>
      </c>
      <c r="L101" s="963" t="s">
        <v>232</v>
      </c>
      <c r="M101" s="963" t="s">
        <v>23</v>
      </c>
      <c r="N101" s="990" t="s">
        <v>1317</v>
      </c>
      <c r="O101" s="988"/>
    </row>
    <row r="102" spans="1:15" ht="20.05" customHeight="1" thickBot="1" x14ac:dyDescent="0.3">
      <c r="A102" s="1086"/>
      <c r="B102" s="1038"/>
      <c r="C102" s="1040"/>
      <c r="D102" s="798"/>
      <c r="E102" s="1007"/>
      <c r="F102" s="1016"/>
      <c r="G102" s="1016"/>
      <c r="H102" s="1018"/>
      <c r="I102" s="583">
        <v>24</v>
      </c>
      <c r="J102" s="584" t="s">
        <v>5</v>
      </c>
      <c r="K102" s="964"/>
      <c r="L102" s="964"/>
      <c r="M102" s="964"/>
      <c r="N102" s="991"/>
      <c r="O102" s="989"/>
    </row>
    <row r="103" spans="1:15" ht="20.05" customHeight="1" thickBot="1" x14ac:dyDescent="0.3">
      <c r="A103" s="1079" t="s">
        <v>21</v>
      </c>
      <c r="B103" s="1054" t="s">
        <v>46</v>
      </c>
      <c r="C103" s="1069" t="s">
        <v>73</v>
      </c>
      <c r="D103" s="792"/>
      <c r="E103" s="1014"/>
      <c r="F103" s="1015">
        <v>43502</v>
      </c>
      <c r="G103" s="1015">
        <v>43524</v>
      </c>
      <c r="H103" s="1017" t="s">
        <v>900</v>
      </c>
      <c r="I103" s="574">
        <v>12</v>
      </c>
      <c r="J103" s="574" t="s">
        <v>8</v>
      </c>
      <c r="K103" s="1014">
        <v>3005070309</v>
      </c>
      <c r="L103" s="959" t="s">
        <v>260</v>
      </c>
      <c r="M103" s="33" t="s">
        <v>237</v>
      </c>
      <c r="N103" s="34"/>
      <c r="O103" s="40"/>
    </row>
    <row r="104" spans="1:15" ht="20.05" customHeight="1" thickBot="1" x14ac:dyDescent="0.3">
      <c r="A104" s="1079"/>
      <c r="B104" s="976"/>
      <c r="C104" s="1069"/>
      <c r="D104" s="792"/>
      <c r="E104" s="959"/>
      <c r="F104" s="970"/>
      <c r="G104" s="970"/>
      <c r="H104" s="888"/>
      <c r="I104" s="572">
        <v>12</v>
      </c>
      <c r="J104" s="572" t="s">
        <v>231</v>
      </c>
      <c r="K104" s="959"/>
      <c r="L104" s="959"/>
      <c r="M104" s="257" t="s">
        <v>221</v>
      </c>
      <c r="N104" s="39"/>
      <c r="O104" s="40"/>
    </row>
    <row r="105" spans="1:15" ht="20.05" customHeight="1" thickBot="1" x14ac:dyDescent="0.3">
      <c r="A105" s="1079"/>
      <c r="B105" s="976"/>
      <c r="C105" s="1069"/>
      <c r="D105" s="792"/>
      <c r="E105" s="959"/>
      <c r="F105" s="968">
        <v>43502</v>
      </c>
      <c r="G105" s="968">
        <v>43524</v>
      </c>
      <c r="H105" s="887" t="s">
        <v>33</v>
      </c>
      <c r="I105" s="574">
        <v>11</v>
      </c>
      <c r="J105" s="574" t="s">
        <v>4</v>
      </c>
      <c r="K105" s="959"/>
      <c r="L105" s="959"/>
      <c r="M105" s="158" t="s">
        <v>670</v>
      </c>
      <c r="N105" s="39"/>
      <c r="O105" s="40"/>
    </row>
    <row r="106" spans="1:15" ht="18" customHeight="1" thickBot="1" x14ac:dyDescent="0.3">
      <c r="A106" s="1079"/>
      <c r="B106" s="976"/>
      <c r="C106" s="1069"/>
      <c r="D106" s="792"/>
      <c r="E106" s="960"/>
      <c r="F106" s="970"/>
      <c r="G106" s="970"/>
      <c r="H106" s="888"/>
      <c r="I106" s="572">
        <v>2</v>
      </c>
      <c r="J106" s="572" t="s">
        <v>230</v>
      </c>
      <c r="K106" s="959"/>
      <c r="L106" s="959"/>
      <c r="M106" s="25" t="s">
        <v>1257</v>
      </c>
      <c r="N106" s="39"/>
      <c r="O106" s="40"/>
    </row>
    <row r="107" spans="1:15" ht="20.05" customHeight="1" thickBot="1" x14ac:dyDescent="0.3">
      <c r="A107" s="1079"/>
      <c r="B107" s="975" t="s">
        <v>74</v>
      </c>
      <c r="C107" s="978" t="s">
        <v>75</v>
      </c>
      <c r="D107" s="783"/>
      <c r="E107" s="1032" t="s">
        <v>790</v>
      </c>
      <c r="F107" s="506">
        <v>43469</v>
      </c>
      <c r="G107" s="506">
        <v>43495</v>
      </c>
      <c r="H107" s="504" t="s">
        <v>33</v>
      </c>
      <c r="I107" s="663">
        <v>12</v>
      </c>
      <c r="J107" s="504" t="s">
        <v>231</v>
      </c>
      <c r="K107" s="958">
        <v>3163811202</v>
      </c>
      <c r="L107" s="958" t="s">
        <v>239</v>
      </c>
      <c r="M107" s="28" t="s">
        <v>221</v>
      </c>
      <c r="N107" s="951" t="s">
        <v>1258</v>
      </c>
      <c r="O107" s="40"/>
    </row>
    <row r="108" spans="1:15" ht="20.05" customHeight="1" thickBot="1" x14ac:dyDescent="0.3">
      <c r="A108" s="1079"/>
      <c r="B108" s="976"/>
      <c r="C108" s="979"/>
      <c r="D108" s="787"/>
      <c r="E108" s="1033"/>
      <c r="F108" s="1030">
        <v>43474</v>
      </c>
      <c r="G108" s="1030">
        <v>43495</v>
      </c>
      <c r="H108" s="1028" t="s">
        <v>900</v>
      </c>
      <c r="I108" s="663">
        <v>20</v>
      </c>
      <c r="J108" s="504" t="s">
        <v>4</v>
      </c>
      <c r="K108" s="959"/>
      <c r="L108" s="959"/>
      <c r="M108" s="28" t="s">
        <v>361</v>
      </c>
      <c r="N108" s="952"/>
      <c r="O108" s="40"/>
    </row>
    <row r="109" spans="1:15" ht="20.05" customHeight="1" thickBot="1" x14ac:dyDescent="0.3">
      <c r="A109" s="1079"/>
      <c r="B109" s="977"/>
      <c r="C109" s="980"/>
      <c r="D109" s="784"/>
      <c r="E109" s="1034"/>
      <c r="F109" s="1031"/>
      <c r="G109" s="1031"/>
      <c r="H109" s="1029"/>
      <c r="I109" s="664">
        <v>20</v>
      </c>
      <c r="J109" s="505" t="s">
        <v>8</v>
      </c>
      <c r="K109" s="105"/>
      <c r="L109" s="36"/>
      <c r="M109" s="28" t="s">
        <v>237</v>
      </c>
      <c r="N109" s="953"/>
      <c r="O109" s="40"/>
    </row>
    <row r="110" spans="1:15" ht="20.05" customHeight="1" thickBot="1" x14ac:dyDescent="0.3">
      <c r="A110" s="1079"/>
      <c r="B110" s="406" t="s">
        <v>76</v>
      </c>
      <c r="C110" s="407" t="s">
        <v>77</v>
      </c>
      <c r="D110" s="786"/>
      <c r="E110" s="23"/>
      <c r="F110" s="573">
        <v>43502</v>
      </c>
      <c r="G110" s="573">
        <v>43524</v>
      </c>
      <c r="H110" s="574" t="s">
        <v>33</v>
      </c>
      <c r="I110" s="574">
        <v>12</v>
      </c>
      <c r="J110" s="574" t="s">
        <v>4</v>
      </c>
      <c r="K110" s="23">
        <v>3205946501</v>
      </c>
      <c r="L110" s="133" t="s">
        <v>294</v>
      </c>
      <c r="M110" s="28" t="s">
        <v>670</v>
      </c>
      <c r="N110" s="35"/>
      <c r="O110" s="40"/>
    </row>
    <row r="111" spans="1:15" ht="20.05" customHeight="1" thickBot="1" x14ac:dyDescent="0.3">
      <c r="A111" s="1079"/>
      <c r="B111" s="406" t="s">
        <v>1052</v>
      </c>
      <c r="C111" s="407" t="s">
        <v>1053</v>
      </c>
      <c r="D111" s="786"/>
      <c r="E111" s="341" t="s">
        <v>611</v>
      </c>
      <c r="F111" s="495"/>
      <c r="G111" s="495"/>
      <c r="H111" s="496"/>
      <c r="I111" s="496"/>
      <c r="J111" s="496"/>
      <c r="K111" s="341" t="s">
        <v>1150</v>
      </c>
      <c r="L111" s="346" t="s">
        <v>1054</v>
      </c>
      <c r="M111" s="340" t="s">
        <v>670</v>
      </c>
      <c r="N111" s="35"/>
      <c r="O111" s="40"/>
    </row>
    <row r="112" spans="1:15" ht="20.05" customHeight="1" thickBot="1" x14ac:dyDescent="0.3">
      <c r="A112" s="1079"/>
      <c r="B112" s="406" t="s">
        <v>1245</v>
      </c>
      <c r="C112" s="511" t="s">
        <v>1246</v>
      </c>
      <c r="D112" s="786"/>
      <c r="E112" s="381" t="s">
        <v>1247</v>
      </c>
      <c r="F112" s="573">
        <v>43502</v>
      </c>
      <c r="G112" s="573">
        <v>43524</v>
      </c>
      <c r="H112" s="574" t="s">
        <v>33</v>
      </c>
      <c r="I112" s="574">
        <v>12</v>
      </c>
      <c r="J112" s="574" t="s">
        <v>4</v>
      </c>
      <c r="K112" s="381">
        <v>3205557237</v>
      </c>
      <c r="L112" s="346" t="s">
        <v>1248</v>
      </c>
      <c r="M112" s="390" t="s">
        <v>670</v>
      </c>
      <c r="N112" s="35"/>
      <c r="O112" s="40"/>
    </row>
    <row r="113" spans="1:15" ht="20.05" customHeight="1" thickBot="1" x14ac:dyDescent="0.3">
      <c r="A113" s="1079"/>
      <c r="B113" s="406" t="s">
        <v>1051</v>
      </c>
      <c r="C113" s="407" t="s">
        <v>739</v>
      </c>
      <c r="D113" s="786"/>
      <c r="E113" s="332" t="s">
        <v>652</v>
      </c>
      <c r="F113" s="495"/>
      <c r="G113" s="495"/>
      <c r="H113" s="496"/>
      <c r="I113" s="496"/>
      <c r="J113" s="496"/>
      <c r="K113" s="332">
        <v>3215043705</v>
      </c>
      <c r="L113" s="331" t="s">
        <v>296</v>
      </c>
      <c r="M113" s="331" t="s">
        <v>670</v>
      </c>
      <c r="N113" s="35"/>
      <c r="O113" s="40"/>
    </row>
    <row r="114" spans="1:15" ht="20.05" customHeight="1" thickBot="1" x14ac:dyDescent="0.3">
      <c r="A114" s="1079"/>
      <c r="B114" s="406" t="s">
        <v>171</v>
      </c>
      <c r="C114" s="407" t="s">
        <v>947</v>
      </c>
      <c r="D114" s="786"/>
      <c r="E114" s="139" t="s">
        <v>606</v>
      </c>
      <c r="F114" s="543"/>
      <c r="G114" s="543"/>
      <c r="H114" s="20"/>
      <c r="I114" s="20"/>
      <c r="J114" s="20"/>
      <c r="K114" s="267" t="s">
        <v>946</v>
      </c>
      <c r="L114" s="110" t="s">
        <v>945</v>
      </c>
      <c r="M114" s="269" t="s">
        <v>987</v>
      </c>
      <c r="N114" s="35"/>
      <c r="O114" s="40"/>
    </row>
    <row r="115" spans="1:15" ht="20.05" customHeight="1" thickBot="1" x14ac:dyDescent="0.3">
      <c r="A115" s="1079"/>
      <c r="B115" s="634" t="s">
        <v>1290</v>
      </c>
      <c r="C115" s="633" t="s">
        <v>1291</v>
      </c>
      <c r="D115" s="786"/>
      <c r="E115" s="139" t="s">
        <v>606</v>
      </c>
      <c r="F115" s="635">
        <v>43504</v>
      </c>
      <c r="G115" s="635">
        <v>43524</v>
      </c>
      <c r="H115" s="636" t="s">
        <v>33</v>
      </c>
      <c r="I115" s="636">
        <v>12</v>
      </c>
      <c r="J115" s="636" t="s">
        <v>4</v>
      </c>
      <c r="K115" s="139">
        <v>3135092858</v>
      </c>
      <c r="L115" s="110" t="s">
        <v>1292</v>
      </c>
      <c r="M115" s="390" t="s">
        <v>361</v>
      </c>
      <c r="N115" s="35"/>
      <c r="O115" s="40"/>
    </row>
    <row r="116" spans="1:15" ht="20.05" customHeight="1" thickBot="1" x14ac:dyDescent="0.3">
      <c r="A116" s="1079"/>
      <c r="B116" s="406" t="s">
        <v>78</v>
      </c>
      <c r="C116" s="407" t="s">
        <v>79</v>
      </c>
      <c r="D116" s="786"/>
      <c r="E116" s="318" t="s">
        <v>606</v>
      </c>
      <c r="F116" s="573">
        <v>43502</v>
      </c>
      <c r="G116" s="573">
        <v>43524</v>
      </c>
      <c r="H116" s="574" t="s">
        <v>33</v>
      </c>
      <c r="I116" s="574">
        <v>12</v>
      </c>
      <c r="J116" s="574" t="s">
        <v>4</v>
      </c>
      <c r="K116" s="23"/>
      <c r="L116" s="133" t="s">
        <v>293</v>
      </c>
      <c r="M116" s="28" t="s">
        <v>670</v>
      </c>
      <c r="N116" s="35"/>
      <c r="O116" s="40"/>
    </row>
    <row r="117" spans="1:15" ht="42.8" customHeight="1" thickBot="1" x14ac:dyDescent="0.3">
      <c r="A117" s="1079"/>
      <c r="B117" s="406" t="s">
        <v>1201</v>
      </c>
      <c r="C117" s="490" t="s">
        <v>1202</v>
      </c>
      <c r="D117" s="786"/>
      <c r="E117" s="381" t="s">
        <v>1203</v>
      </c>
      <c r="F117" s="541">
        <v>43494</v>
      </c>
      <c r="G117" s="541">
        <v>43524</v>
      </c>
      <c r="H117" s="514" t="s">
        <v>66</v>
      </c>
      <c r="I117" s="514">
        <v>48</v>
      </c>
      <c r="J117" s="514"/>
      <c r="K117" s="491" t="s">
        <v>1204</v>
      </c>
      <c r="L117" s="390" t="s">
        <v>1205</v>
      </c>
      <c r="M117" s="390" t="s">
        <v>670</v>
      </c>
      <c r="N117" s="35" t="s">
        <v>1284</v>
      </c>
      <c r="O117" s="40"/>
    </row>
    <row r="118" spans="1:15" ht="20.05" customHeight="1" thickBot="1" x14ac:dyDescent="0.3">
      <c r="A118" s="1079"/>
      <c r="B118" s="406" t="s">
        <v>80</v>
      </c>
      <c r="C118" s="407" t="s">
        <v>81</v>
      </c>
      <c r="D118" s="786"/>
      <c r="E118" s="23"/>
      <c r="F118" s="573">
        <v>43502</v>
      </c>
      <c r="G118" s="573">
        <v>43524</v>
      </c>
      <c r="H118" s="574" t="s">
        <v>33</v>
      </c>
      <c r="I118" s="574">
        <v>12</v>
      </c>
      <c r="J118" s="574" t="s">
        <v>4</v>
      </c>
      <c r="K118" s="23">
        <v>3106591541</v>
      </c>
      <c r="L118" s="133" t="s">
        <v>680</v>
      </c>
      <c r="M118" s="28" t="s">
        <v>670</v>
      </c>
      <c r="N118" s="35"/>
      <c r="O118" s="40"/>
    </row>
    <row r="119" spans="1:15" ht="20.05" customHeight="1" thickBot="1" x14ac:dyDescent="0.3">
      <c r="A119" s="1079"/>
      <c r="B119" s="406" t="s">
        <v>82</v>
      </c>
      <c r="C119" s="407" t="s">
        <v>83</v>
      </c>
      <c r="D119" s="786"/>
      <c r="E119" s="23" t="s">
        <v>609</v>
      </c>
      <c r="F119" s="573">
        <v>43502</v>
      </c>
      <c r="G119" s="573">
        <v>43524</v>
      </c>
      <c r="H119" s="574" t="s">
        <v>33</v>
      </c>
      <c r="I119" s="574">
        <v>12</v>
      </c>
      <c r="J119" s="574" t="s">
        <v>4</v>
      </c>
      <c r="K119" s="23">
        <v>3107110014</v>
      </c>
      <c r="L119" s="133" t="s">
        <v>292</v>
      </c>
      <c r="M119" s="28" t="s">
        <v>361</v>
      </c>
      <c r="N119" s="35"/>
      <c r="O119" s="40"/>
    </row>
    <row r="120" spans="1:15" ht="20.05" customHeight="1" thickBot="1" x14ac:dyDescent="0.3">
      <c r="A120" s="1079"/>
      <c r="B120" s="605" t="s">
        <v>1119</v>
      </c>
      <c r="C120" s="410" t="s">
        <v>1120</v>
      </c>
      <c r="D120" s="788"/>
      <c r="E120" s="389" t="s">
        <v>751</v>
      </c>
      <c r="F120" s="495"/>
      <c r="G120" s="495"/>
      <c r="H120" s="496"/>
      <c r="I120" s="496"/>
      <c r="J120" s="496"/>
      <c r="K120" s="388" t="s">
        <v>1121</v>
      </c>
      <c r="L120" s="391" t="s">
        <v>1122</v>
      </c>
      <c r="M120" s="390" t="s">
        <v>670</v>
      </c>
      <c r="N120" s="35"/>
      <c r="O120" s="40"/>
    </row>
    <row r="121" spans="1:15" ht="20.05" customHeight="1" thickBot="1" x14ac:dyDescent="0.3">
      <c r="A121" s="1079"/>
      <c r="B121" s="602" t="s">
        <v>84</v>
      </c>
      <c r="C121" s="410" t="s">
        <v>85</v>
      </c>
      <c r="D121" s="788"/>
      <c r="E121" s="23" t="s">
        <v>1022</v>
      </c>
      <c r="F121" s="573">
        <v>43502</v>
      </c>
      <c r="G121" s="573">
        <v>43524</v>
      </c>
      <c r="H121" s="574" t="s">
        <v>33</v>
      </c>
      <c r="I121" s="574">
        <v>12</v>
      </c>
      <c r="J121" s="574" t="s">
        <v>4</v>
      </c>
      <c r="K121" s="21">
        <v>3216449883</v>
      </c>
      <c r="L121" s="129" t="s">
        <v>296</v>
      </c>
      <c r="M121" s="106" t="s">
        <v>670</v>
      </c>
      <c r="N121" s="35"/>
      <c r="O121" s="40"/>
    </row>
    <row r="122" spans="1:15" ht="20.05" customHeight="1" thickBot="1" x14ac:dyDescent="0.3">
      <c r="A122" s="1079"/>
      <c r="B122" s="606" t="s">
        <v>86</v>
      </c>
      <c r="C122" s="420" t="s">
        <v>87</v>
      </c>
      <c r="D122" s="797"/>
      <c r="E122" s="296"/>
      <c r="F122" s="573">
        <v>43502</v>
      </c>
      <c r="G122" s="573">
        <v>43524</v>
      </c>
      <c r="H122" s="574" t="s">
        <v>33</v>
      </c>
      <c r="I122" s="574">
        <v>12</v>
      </c>
      <c r="J122" s="574" t="s">
        <v>4</v>
      </c>
      <c r="K122" s="23">
        <v>3177443024</v>
      </c>
      <c r="L122" s="132" t="s">
        <v>295</v>
      </c>
      <c r="M122" s="23" t="s">
        <v>670</v>
      </c>
      <c r="N122" s="35"/>
      <c r="O122" s="40"/>
    </row>
    <row r="123" spans="1:15" ht="20.05" customHeight="1" thickBot="1" x14ac:dyDescent="0.3">
      <c r="A123" s="1087" t="s">
        <v>228</v>
      </c>
      <c r="B123" s="607" t="s">
        <v>723</v>
      </c>
      <c r="C123" s="421" t="s">
        <v>724</v>
      </c>
      <c r="D123" s="799"/>
      <c r="E123" s="57" t="s">
        <v>725</v>
      </c>
      <c r="F123" s="553"/>
      <c r="G123" s="553"/>
      <c r="H123" s="554"/>
      <c r="I123" s="554"/>
      <c r="J123" s="554"/>
      <c r="K123" s="301">
        <v>304653088</v>
      </c>
      <c r="L123" s="301" t="s">
        <v>726</v>
      </c>
      <c r="M123" s="301" t="s">
        <v>224</v>
      </c>
      <c r="N123" s="61"/>
      <c r="O123" s="48"/>
    </row>
    <row r="124" spans="1:15" ht="20.05" customHeight="1" thickBot="1" x14ac:dyDescent="0.3">
      <c r="A124" s="1087"/>
      <c r="B124" s="1035" t="s">
        <v>235</v>
      </c>
      <c r="C124" s="1073" t="s">
        <v>236</v>
      </c>
      <c r="D124" s="800"/>
      <c r="E124" s="1010" t="s">
        <v>606</v>
      </c>
      <c r="F124" s="954">
        <v>43502</v>
      </c>
      <c r="G124" s="954">
        <v>43524</v>
      </c>
      <c r="H124" s="955" t="s">
        <v>66</v>
      </c>
      <c r="I124" s="572">
        <v>24</v>
      </c>
      <c r="J124" s="572" t="s">
        <v>5</v>
      </c>
      <c r="K124" s="1010">
        <v>3225892504</v>
      </c>
      <c r="L124" s="1010"/>
      <c r="M124" s="50" t="s">
        <v>224</v>
      </c>
      <c r="N124" s="63"/>
      <c r="O124" s="48"/>
    </row>
    <row r="125" spans="1:15" ht="20.05" customHeight="1" thickBot="1" x14ac:dyDescent="0.3">
      <c r="A125" s="1087"/>
      <c r="B125" s="1072"/>
      <c r="C125" s="1074"/>
      <c r="D125" s="801"/>
      <c r="E125" s="1020"/>
      <c r="F125" s="1043"/>
      <c r="G125" s="1043"/>
      <c r="H125" s="1050"/>
      <c r="I125" s="586">
        <v>24</v>
      </c>
      <c r="J125" s="587" t="s">
        <v>4</v>
      </c>
      <c r="K125" s="1020"/>
      <c r="L125" s="1020"/>
      <c r="M125" s="54" t="s">
        <v>224</v>
      </c>
      <c r="N125" s="65"/>
      <c r="O125" s="48"/>
    </row>
    <row r="126" spans="1:15" ht="22.6" customHeight="1" thickBot="1" x14ac:dyDescent="0.3">
      <c r="A126" s="1084" t="s">
        <v>411</v>
      </c>
      <c r="B126" s="425" t="s">
        <v>786</v>
      </c>
      <c r="C126" s="423" t="s">
        <v>787</v>
      </c>
      <c r="D126" s="802"/>
      <c r="E126" s="319" t="s">
        <v>591</v>
      </c>
      <c r="F126" s="555"/>
      <c r="G126" s="555"/>
      <c r="H126" s="556"/>
      <c r="I126" s="556"/>
      <c r="J126" s="557"/>
      <c r="K126" s="319">
        <v>3113514404</v>
      </c>
      <c r="L126" s="319" t="s">
        <v>788</v>
      </c>
      <c r="M126" s="319" t="s">
        <v>224</v>
      </c>
      <c r="N126" s="326"/>
      <c r="O126" s="327"/>
    </row>
    <row r="127" spans="1:15" s="3" customFormat="1" ht="20.05" customHeight="1" thickBot="1" x14ac:dyDescent="0.3">
      <c r="A127" s="1084"/>
      <c r="B127" s="406" t="s">
        <v>177</v>
      </c>
      <c r="C127" s="408" t="s">
        <v>178</v>
      </c>
      <c r="D127" s="791"/>
      <c r="E127" s="316" t="s">
        <v>647</v>
      </c>
      <c r="F127" s="573">
        <v>43502</v>
      </c>
      <c r="G127" s="573">
        <v>43524</v>
      </c>
      <c r="H127" s="574" t="s">
        <v>33</v>
      </c>
      <c r="I127" s="574">
        <v>12</v>
      </c>
      <c r="J127" s="574" t="s">
        <v>4</v>
      </c>
      <c r="K127" s="316">
        <v>3204248994</v>
      </c>
      <c r="L127" s="316" t="s">
        <v>1023</v>
      </c>
      <c r="M127" s="316" t="s">
        <v>224</v>
      </c>
      <c r="N127" s="328"/>
      <c r="O127" s="328"/>
    </row>
    <row r="128" spans="1:15" ht="19.55" customHeight="1" thickBot="1" x14ac:dyDescent="0.3">
      <c r="A128" s="1082" t="s">
        <v>318</v>
      </c>
      <c r="B128" s="607" t="s">
        <v>96</v>
      </c>
      <c r="C128" s="424" t="s">
        <v>97</v>
      </c>
      <c r="D128" s="782"/>
      <c r="E128" s="58" t="s">
        <v>591</v>
      </c>
      <c r="F128" s="575">
        <v>43502</v>
      </c>
      <c r="G128" s="573">
        <v>43524</v>
      </c>
      <c r="H128" s="574" t="s">
        <v>33</v>
      </c>
      <c r="I128" s="574">
        <v>12</v>
      </c>
      <c r="J128" s="574" t="s">
        <v>4</v>
      </c>
      <c r="K128" s="58">
        <v>3225969858</v>
      </c>
      <c r="L128" s="141" t="s">
        <v>319</v>
      </c>
      <c r="M128" s="60" t="s">
        <v>356</v>
      </c>
      <c r="N128" s="62"/>
      <c r="O128" s="48"/>
    </row>
    <row r="129" spans="1:15" ht="21.75" customHeight="1" thickBot="1" x14ac:dyDescent="0.3">
      <c r="A129" s="1082"/>
      <c r="B129" s="608" t="s">
        <v>94</v>
      </c>
      <c r="C129" s="414" t="s">
        <v>95</v>
      </c>
      <c r="D129" s="780"/>
      <c r="E129" s="52" t="s">
        <v>642</v>
      </c>
      <c r="F129" s="588">
        <v>43502</v>
      </c>
      <c r="G129" s="585">
        <v>43524</v>
      </c>
      <c r="H129" s="589" t="s">
        <v>33</v>
      </c>
      <c r="I129" s="586">
        <v>12</v>
      </c>
      <c r="J129" s="586" t="s">
        <v>4</v>
      </c>
      <c r="K129" s="52">
        <v>3225612621</v>
      </c>
      <c r="L129" s="142" t="s">
        <v>320</v>
      </c>
      <c r="M129" s="66" t="s">
        <v>356</v>
      </c>
      <c r="N129" s="67"/>
      <c r="O129" s="48"/>
    </row>
    <row r="130" spans="1:15" ht="20.05" customHeight="1" thickBot="1" x14ac:dyDescent="0.3">
      <c r="A130" s="1084" t="s">
        <v>25</v>
      </c>
      <c r="B130" s="425" t="s">
        <v>108</v>
      </c>
      <c r="C130" s="422" t="s">
        <v>109</v>
      </c>
      <c r="D130" s="803"/>
      <c r="E130" s="342" t="s">
        <v>606</v>
      </c>
      <c r="F130" s="575">
        <v>43502</v>
      </c>
      <c r="G130" s="573">
        <v>43524</v>
      </c>
      <c r="H130" s="574" t="s">
        <v>33</v>
      </c>
      <c r="I130" s="574">
        <v>12</v>
      </c>
      <c r="J130" s="574" t="s">
        <v>4</v>
      </c>
      <c r="K130" s="33">
        <v>3005184535</v>
      </c>
      <c r="L130" s="33" t="s">
        <v>316</v>
      </c>
      <c r="M130" s="33" t="s">
        <v>26</v>
      </c>
      <c r="N130" s="109"/>
      <c r="O130" s="40"/>
    </row>
    <row r="131" spans="1:15" ht="20.05" customHeight="1" thickBot="1" x14ac:dyDescent="0.3">
      <c r="A131" s="1084"/>
      <c r="B131" s="406" t="s">
        <v>1061</v>
      </c>
      <c r="C131" s="408" t="s">
        <v>1062</v>
      </c>
      <c r="D131" s="791"/>
      <c r="E131" s="139" t="s">
        <v>676</v>
      </c>
      <c r="F131" s="495"/>
      <c r="G131" s="495"/>
      <c r="H131" s="496"/>
      <c r="I131" s="496"/>
      <c r="J131" s="496"/>
      <c r="K131" s="338">
        <v>3205021157</v>
      </c>
      <c r="L131" s="338" t="s">
        <v>1063</v>
      </c>
      <c r="M131" s="338" t="s">
        <v>26</v>
      </c>
      <c r="N131" s="190"/>
      <c r="O131" s="40"/>
    </row>
    <row r="132" spans="1:15" ht="19.55" customHeight="1" thickBot="1" x14ac:dyDescent="0.3">
      <c r="A132" s="1082" t="s">
        <v>110</v>
      </c>
      <c r="B132" s="607" t="s">
        <v>111</v>
      </c>
      <c r="C132" s="424" t="s">
        <v>112</v>
      </c>
      <c r="D132" s="782"/>
      <c r="E132" s="58" t="s">
        <v>602</v>
      </c>
      <c r="F132" s="575">
        <v>43502</v>
      </c>
      <c r="G132" s="575">
        <v>43524</v>
      </c>
      <c r="H132" s="572" t="s">
        <v>33</v>
      </c>
      <c r="I132" s="572">
        <v>12</v>
      </c>
      <c r="J132" s="572" t="s">
        <v>4</v>
      </c>
      <c r="K132" s="301">
        <v>3118363308</v>
      </c>
      <c r="L132" s="301" t="s">
        <v>313</v>
      </c>
      <c r="M132" s="301" t="s">
        <v>113</v>
      </c>
      <c r="N132" s="59"/>
      <c r="O132" s="64"/>
    </row>
    <row r="133" spans="1:15" ht="18.7" customHeight="1" thickBot="1" x14ac:dyDescent="0.3">
      <c r="A133" s="1082"/>
      <c r="B133" s="609" t="s">
        <v>888</v>
      </c>
      <c r="C133" s="426" t="s">
        <v>889</v>
      </c>
      <c r="D133" s="781"/>
      <c r="E133" s="153" t="s">
        <v>890</v>
      </c>
      <c r="F133" s="582"/>
      <c r="G133" s="582"/>
      <c r="H133" s="548"/>
      <c r="I133" s="548"/>
      <c r="J133" s="548"/>
      <c r="K133" s="251" t="s">
        <v>891</v>
      </c>
      <c r="L133" s="153" t="s">
        <v>892</v>
      </c>
      <c r="M133" s="153" t="s">
        <v>113</v>
      </c>
      <c r="N133" s="250"/>
      <c r="O133" s="81"/>
    </row>
    <row r="134" spans="1:15" ht="22.6" customHeight="1" thickBot="1" x14ac:dyDescent="0.3">
      <c r="A134" s="1082"/>
      <c r="B134" s="610" t="s">
        <v>114</v>
      </c>
      <c r="C134" s="427" t="s">
        <v>1028</v>
      </c>
      <c r="D134" s="804"/>
      <c r="E134" s="86" t="s">
        <v>620</v>
      </c>
      <c r="F134" s="588">
        <v>43502</v>
      </c>
      <c r="G134" s="585">
        <v>43524</v>
      </c>
      <c r="H134" s="589" t="s">
        <v>33</v>
      </c>
      <c r="I134" s="586">
        <v>12</v>
      </c>
      <c r="J134" s="586" t="s">
        <v>5</v>
      </c>
      <c r="K134" s="78">
        <v>3104369682</v>
      </c>
      <c r="L134" s="131" t="s">
        <v>312</v>
      </c>
      <c r="M134" s="78" t="s">
        <v>113</v>
      </c>
      <c r="N134" s="79"/>
      <c r="O134" s="81"/>
    </row>
    <row r="135" spans="1:15" ht="22.6" customHeight="1" thickBot="1" x14ac:dyDescent="0.3">
      <c r="A135" s="1084" t="s">
        <v>15</v>
      </c>
      <c r="B135" s="404" t="s">
        <v>727</v>
      </c>
      <c r="C135" s="409" t="s">
        <v>728</v>
      </c>
      <c r="D135" s="784"/>
      <c r="E135" s="87" t="s">
        <v>605</v>
      </c>
      <c r="F135" s="539"/>
      <c r="G135" s="539"/>
      <c r="H135" s="540"/>
      <c r="I135" s="540"/>
      <c r="J135" s="540"/>
      <c r="K135" s="87">
        <v>3186910386</v>
      </c>
      <c r="L135" s="104" t="s">
        <v>729</v>
      </c>
      <c r="M135" s="87" t="s">
        <v>16</v>
      </c>
      <c r="N135" s="34"/>
      <c r="O135" s="48"/>
    </row>
    <row r="136" spans="1:15" ht="22.6" customHeight="1" thickBot="1" x14ac:dyDescent="0.3">
      <c r="A136" s="1084"/>
      <c r="B136" s="603" t="s">
        <v>1140</v>
      </c>
      <c r="C136" s="428" t="s">
        <v>1141</v>
      </c>
      <c r="D136" s="787"/>
      <c r="E136" s="401" t="s">
        <v>1076</v>
      </c>
      <c r="F136" s="539"/>
      <c r="G136" s="558"/>
      <c r="H136" s="559"/>
      <c r="I136" s="560"/>
      <c r="J136" s="560"/>
      <c r="K136" s="401" t="s">
        <v>1143</v>
      </c>
      <c r="L136" s="401" t="s">
        <v>1142</v>
      </c>
      <c r="M136" s="401" t="s">
        <v>16</v>
      </c>
      <c r="N136" s="42"/>
      <c r="O136" s="402"/>
    </row>
    <row r="137" spans="1:15" ht="23.3" customHeight="1" thickBot="1" x14ac:dyDescent="0.3">
      <c r="A137" s="1084"/>
      <c r="B137" s="606" t="s">
        <v>115</v>
      </c>
      <c r="C137" s="420" t="s">
        <v>116</v>
      </c>
      <c r="D137" s="797"/>
      <c r="E137" s="43" t="s">
        <v>606</v>
      </c>
      <c r="F137" s="588">
        <v>43502</v>
      </c>
      <c r="G137" s="585">
        <v>43524</v>
      </c>
      <c r="H137" s="589" t="s">
        <v>33</v>
      </c>
      <c r="I137" s="586">
        <v>12</v>
      </c>
      <c r="J137" s="586" t="s">
        <v>4</v>
      </c>
      <c r="K137" s="82">
        <v>3107179869</v>
      </c>
      <c r="L137" s="134" t="s">
        <v>317</v>
      </c>
      <c r="M137" s="82" t="s">
        <v>16</v>
      </c>
      <c r="N137" s="77"/>
      <c r="O137" s="70"/>
    </row>
    <row r="138" spans="1:15" ht="23.3" customHeight="1" thickBot="1" x14ac:dyDescent="0.3">
      <c r="A138" s="617" t="s">
        <v>1082</v>
      </c>
      <c r="B138" s="609" t="s">
        <v>977</v>
      </c>
      <c r="C138" s="448" t="s">
        <v>978</v>
      </c>
      <c r="D138" s="781"/>
      <c r="E138" s="251" t="s">
        <v>979</v>
      </c>
      <c r="F138" s="545"/>
      <c r="G138" s="545"/>
      <c r="H138" s="561"/>
      <c r="I138" s="546"/>
      <c r="J138" s="546"/>
      <c r="K138" s="455" t="s">
        <v>980</v>
      </c>
      <c r="L138" s="463" t="s">
        <v>981</v>
      </c>
      <c r="M138" s="463" t="s">
        <v>1083</v>
      </c>
      <c r="N138" s="464"/>
      <c r="O138" s="464"/>
    </row>
    <row r="139" spans="1:15" ht="23.3" customHeight="1" thickBot="1" x14ac:dyDescent="0.3">
      <c r="A139" s="616" t="s">
        <v>737</v>
      </c>
      <c r="B139" s="611" t="s">
        <v>1168</v>
      </c>
      <c r="C139" s="429" t="s">
        <v>1169</v>
      </c>
      <c r="D139" s="805"/>
      <c r="E139" s="478" t="s">
        <v>1170</v>
      </c>
      <c r="F139" s="562">
        <v>43488</v>
      </c>
      <c r="G139" s="563">
        <v>43518</v>
      </c>
      <c r="H139" s="564" t="s">
        <v>900</v>
      </c>
      <c r="I139" s="564">
        <v>20</v>
      </c>
      <c r="J139" s="564" t="s">
        <v>4</v>
      </c>
      <c r="K139" s="108" t="s">
        <v>1171</v>
      </c>
      <c r="L139" s="108" t="s">
        <v>1172</v>
      </c>
      <c r="M139" s="108" t="s">
        <v>18</v>
      </c>
      <c r="N139" s="431"/>
      <c r="O139" s="431"/>
    </row>
    <row r="140" spans="1:15" ht="20.05" customHeight="1" thickBot="1" x14ac:dyDescent="0.3">
      <c r="A140" s="1082" t="s">
        <v>19</v>
      </c>
      <c r="B140" s="609" t="s">
        <v>119</v>
      </c>
      <c r="C140" s="448" t="s">
        <v>120</v>
      </c>
      <c r="D140" s="781"/>
      <c r="E140" s="450" t="s">
        <v>606</v>
      </c>
      <c r="F140" s="575">
        <v>43502</v>
      </c>
      <c r="G140" s="575">
        <v>43524</v>
      </c>
      <c r="H140" s="574" t="s">
        <v>33</v>
      </c>
      <c r="I140" s="574">
        <v>12</v>
      </c>
      <c r="J140" s="574" t="s">
        <v>4</v>
      </c>
      <c r="K140" s="455">
        <v>3125323589</v>
      </c>
      <c r="L140" s="463" t="s">
        <v>305</v>
      </c>
      <c r="M140" s="60" t="s">
        <v>18</v>
      </c>
      <c r="N140" s="62"/>
      <c r="O140" s="466"/>
    </row>
    <row r="141" spans="1:15" ht="20.05" customHeight="1" thickBot="1" x14ac:dyDescent="0.3">
      <c r="A141" s="1082"/>
      <c r="B141" s="608" t="s">
        <v>121</v>
      </c>
      <c r="C141" s="446" t="s">
        <v>122</v>
      </c>
      <c r="D141" s="780"/>
      <c r="E141" s="452" t="s">
        <v>616</v>
      </c>
      <c r="F141" s="575">
        <v>43502</v>
      </c>
      <c r="G141" s="575">
        <v>43524</v>
      </c>
      <c r="H141" s="574" t="s">
        <v>33</v>
      </c>
      <c r="I141" s="574">
        <v>12</v>
      </c>
      <c r="J141" s="574" t="s">
        <v>4</v>
      </c>
      <c r="K141" s="449"/>
      <c r="L141" s="66" t="s">
        <v>307</v>
      </c>
      <c r="M141" s="66" t="s">
        <v>18</v>
      </c>
      <c r="N141" s="63"/>
      <c r="O141" s="48"/>
    </row>
    <row r="142" spans="1:15" ht="20.05" customHeight="1" thickBot="1" x14ac:dyDescent="0.3">
      <c r="A142" s="1082"/>
      <c r="B142" s="610" t="s">
        <v>123</v>
      </c>
      <c r="C142" s="427" t="s">
        <v>124</v>
      </c>
      <c r="D142" s="804"/>
      <c r="E142" s="453" t="s">
        <v>617</v>
      </c>
      <c r="F142" s="575">
        <v>43502</v>
      </c>
      <c r="G142" s="575">
        <v>43524</v>
      </c>
      <c r="H142" s="574" t="s">
        <v>33</v>
      </c>
      <c r="I142" s="574">
        <v>12</v>
      </c>
      <c r="J142" s="574" t="s">
        <v>4</v>
      </c>
      <c r="K142" s="68">
        <v>3216053784</v>
      </c>
      <c r="L142" s="69" t="s">
        <v>306</v>
      </c>
      <c r="M142" s="66" t="s">
        <v>18</v>
      </c>
      <c r="N142" s="65"/>
      <c r="O142" s="48"/>
    </row>
    <row r="143" spans="1:15" ht="20.05" customHeight="1" thickBot="1" x14ac:dyDescent="0.3">
      <c r="A143" s="1084" t="s">
        <v>125</v>
      </c>
      <c r="B143" s="1054" t="s">
        <v>126</v>
      </c>
      <c r="C143" s="1022" t="s">
        <v>127</v>
      </c>
      <c r="D143" s="802"/>
      <c r="E143" s="1024" t="s">
        <v>593</v>
      </c>
      <c r="F143" s="575">
        <v>43502</v>
      </c>
      <c r="G143" s="575">
        <v>43524</v>
      </c>
      <c r="H143" s="574" t="s">
        <v>33</v>
      </c>
      <c r="I143" s="574">
        <v>12</v>
      </c>
      <c r="J143" s="574" t="s">
        <v>4</v>
      </c>
      <c r="K143" s="1014">
        <v>3015242924</v>
      </c>
      <c r="L143" s="1014" t="s">
        <v>314</v>
      </c>
      <c r="M143" s="467" t="s">
        <v>361</v>
      </c>
      <c r="N143" s="468"/>
      <c r="O143" s="40"/>
    </row>
    <row r="144" spans="1:15" ht="20.05" customHeight="1" thickBot="1" x14ac:dyDescent="0.3">
      <c r="A144" s="1084"/>
      <c r="B144" s="977"/>
      <c r="C144" s="1023"/>
      <c r="D144" s="785"/>
      <c r="E144" s="1025"/>
      <c r="F144" s="543"/>
      <c r="G144" s="543"/>
      <c r="H144" s="20"/>
      <c r="I144" s="20"/>
      <c r="J144" s="20"/>
      <c r="K144" s="960"/>
      <c r="L144" s="960"/>
      <c r="M144" s="467" t="s">
        <v>362</v>
      </c>
      <c r="N144" s="469"/>
      <c r="O144" s="40"/>
    </row>
    <row r="145" spans="1:15" ht="20.05" customHeight="1" thickBot="1" x14ac:dyDescent="0.3">
      <c r="A145" s="1084"/>
      <c r="B145" s="404" t="s">
        <v>1064</v>
      </c>
      <c r="C145" s="445" t="s">
        <v>1065</v>
      </c>
      <c r="D145" s="792"/>
      <c r="E145" s="442" t="s">
        <v>1066</v>
      </c>
      <c r="F145" s="543"/>
      <c r="G145" s="543"/>
      <c r="H145" s="496"/>
      <c r="I145" s="496"/>
      <c r="J145" s="496"/>
      <c r="K145" s="443">
        <v>3116831546</v>
      </c>
      <c r="L145" s="443" t="s">
        <v>1067</v>
      </c>
      <c r="M145" s="470" t="s">
        <v>361</v>
      </c>
      <c r="N145" s="469"/>
      <c r="O145" s="40"/>
    </row>
    <row r="146" spans="1:15" ht="20.05" customHeight="1" thickBot="1" x14ac:dyDescent="0.3">
      <c r="A146" s="1084"/>
      <c r="B146" s="406" t="s">
        <v>1034</v>
      </c>
      <c r="C146" s="841" t="s">
        <v>1035</v>
      </c>
      <c r="D146" s="791"/>
      <c r="E146" s="840" t="s">
        <v>715</v>
      </c>
      <c r="F146" s="575">
        <v>43502</v>
      </c>
      <c r="G146" s="575">
        <v>43524</v>
      </c>
      <c r="H146" s="574" t="s">
        <v>33</v>
      </c>
      <c r="I146" s="574">
        <v>12</v>
      </c>
      <c r="J146" s="574" t="s">
        <v>4</v>
      </c>
      <c r="K146" s="444">
        <v>3216580645</v>
      </c>
      <c r="L146" s="444" t="s">
        <v>1036</v>
      </c>
      <c r="M146" s="470" t="s">
        <v>361</v>
      </c>
      <c r="N146" s="469"/>
      <c r="O146" s="40"/>
    </row>
    <row r="147" spans="1:15" ht="20.05" customHeight="1" thickBot="1" x14ac:dyDescent="0.3">
      <c r="A147" s="1084"/>
      <c r="B147" s="603" t="s">
        <v>878</v>
      </c>
      <c r="C147" s="841" t="s">
        <v>877</v>
      </c>
      <c r="D147" s="791"/>
      <c r="E147" s="381" t="s">
        <v>879</v>
      </c>
      <c r="F147" s="495"/>
      <c r="G147" s="495"/>
      <c r="H147" s="496"/>
      <c r="I147" s="496"/>
      <c r="J147" s="496"/>
      <c r="K147" s="471">
        <v>3106766091</v>
      </c>
      <c r="L147" s="471" t="s">
        <v>880</v>
      </c>
      <c r="M147" s="470" t="s">
        <v>361</v>
      </c>
      <c r="N147" s="469"/>
      <c r="O147" s="40"/>
    </row>
    <row r="148" spans="1:15" ht="20.05" customHeight="1" thickBot="1" x14ac:dyDescent="0.3">
      <c r="A148" s="1084"/>
      <c r="B148" s="606" t="s">
        <v>128</v>
      </c>
      <c r="C148" s="841" t="s">
        <v>129</v>
      </c>
      <c r="D148" s="791"/>
      <c r="E148" s="381" t="s">
        <v>651</v>
      </c>
      <c r="F148" s="575">
        <v>43502</v>
      </c>
      <c r="G148" s="575">
        <v>43524</v>
      </c>
      <c r="H148" s="574" t="s">
        <v>33</v>
      </c>
      <c r="I148" s="574">
        <v>12</v>
      </c>
      <c r="J148" s="574" t="s">
        <v>4</v>
      </c>
      <c r="K148" s="44">
        <v>3145213283</v>
      </c>
      <c r="L148" s="44" t="s">
        <v>315</v>
      </c>
      <c r="M148" s="143" t="s">
        <v>361</v>
      </c>
      <c r="N148" s="472"/>
      <c r="O148" s="40"/>
    </row>
    <row r="149" spans="1:15" ht="20.05" customHeight="1" thickBot="1" x14ac:dyDescent="0.3">
      <c r="A149" s="1085" t="s">
        <v>20</v>
      </c>
      <c r="B149" s="1075" t="s">
        <v>130</v>
      </c>
      <c r="C149" s="1026" t="s">
        <v>131</v>
      </c>
      <c r="D149" s="781"/>
      <c r="E149" s="1048" t="s">
        <v>627</v>
      </c>
      <c r="F149" s="575">
        <v>43502</v>
      </c>
      <c r="G149" s="575">
        <v>43524</v>
      </c>
      <c r="H149" s="574" t="s">
        <v>33</v>
      </c>
      <c r="I149" s="574">
        <v>12</v>
      </c>
      <c r="J149" s="574" t="s">
        <v>4</v>
      </c>
      <c r="K149" s="1009">
        <v>3014095228</v>
      </c>
      <c r="L149" s="1009" t="s">
        <v>262</v>
      </c>
      <c r="M149" s="454" t="s">
        <v>6</v>
      </c>
      <c r="N149" s="473"/>
      <c r="O149" s="48"/>
    </row>
    <row r="150" spans="1:15" ht="20.05" customHeight="1" thickBot="1" x14ac:dyDescent="0.3">
      <c r="A150" s="1085"/>
      <c r="B150" s="1051"/>
      <c r="C150" s="1027"/>
      <c r="D150" s="782"/>
      <c r="E150" s="1049"/>
      <c r="F150" s="543"/>
      <c r="G150" s="543"/>
      <c r="H150" s="20"/>
      <c r="I150" s="20"/>
      <c r="J150" s="20"/>
      <c r="K150" s="999"/>
      <c r="L150" s="999"/>
      <c r="M150" s="452" t="s">
        <v>789</v>
      </c>
      <c r="N150" s="474"/>
      <c r="O150" s="48"/>
    </row>
    <row r="151" spans="1:15" ht="20.05" customHeight="1" thickBot="1" x14ac:dyDescent="0.3">
      <c r="A151" s="1085"/>
      <c r="B151" s="607" t="s">
        <v>1079</v>
      </c>
      <c r="C151" s="447" t="s">
        <v>1080</v>
      </c>
      <c r="D151" s="781">
        <v>26041111</v>
      </c>
      <c r="E151" s="475" t="s">
        <v>605</v>
      </c>
      <c r="F151" s="842">
        <v>43521</v>
      </c>
      <c r="G151" s="842">
        <v>43524</v>
      </c>
      <c r="H151" s="839" t="s">
        <v>33</v>
      </c>
      <c r="I151" s="839">
        <v>12</v>
      </c>
      <c r="J151" s="839" t="s">
        <v>4</v>
      </c>
      <c r="K151" s="455">
        <v>3017562505</v>
      </c>
      <c r="L151" s="455" t="s">
        <v>1081</v>
      </c>
      <c r="M151" s="452" t="s">
        <v>6</v>
      </c>
      <c r="N151" s="474"/>
      <c r="O151" s="48"/>
    </row>
    <row r="152" spans="1:15" ht="20.05" customHeight="1" thickBot="1" x14ac:dyDescent="0.3">
      <c r="A152" s="1085"/>
      <c r="B152" s="1035" t="s">
        <v>132</v>
      </c>
      <c r="C152" s="1036" t="s">
        <v>133</v>
      </c>
      <c r="D152" s="780"/>
      <c r="E152" s="1046" t="s">
        <v>593</v>
      </c>
      <c r="F152" s="575">
        <v>43502</v>
      </c>
      <c r="G152" s="575">
        <v>43524</v>
      </c>
      <c r="H152" s="574" t="s">
        <v>33</v>
      </c>
      <c r="I152" s="574">
        <v>12</v>
      </c>
      <c r="J152" s="574" t="s">
        <v>4</v>
      </c>
      <c r="K152" s="998">
        <v>3116851554</v>
      </c>
      <c r="L152" s="998" t="s">
        <v>251</v>
      </c>
      <c r="M152" s="452" t="s">
        <v>6</v>
      </c>
      <c r="N152" s="53" t="s">
        <v>660</v>
      </c>
      <c r="O152" s="48"/>
    </row>
    <row r="153" spans="1:15" ht="21.1" customHeight="1" thickBot="1" x14ac:dyDescent="0.3">
      <c r="A153" s="1085"/>
      <c r="B153" s="1035"/>
      <c r="C153" s="1036"/>
      <c r="D153" s="782"/>
      <c r="E153" s="1047"/>
      <c r="F153" s="543"/>
      <c r="G153" s="543"/>
      <c r="H153" s="20"/>
      <c r="I153" s="552"/>
      <c r="J153" s="20"/>
      <c r="K153" s="999"/>
      <c r="L153" s="999"/>
      <c r="M153" s="452" t="s">
        <v>789</v>
      </c>
      <c r="N153" s="474"/>
      <c r="O153" s="48"/>
    </row>
    <row r="154" spans="1:15" ht="21.1" customHeight="1" thickBot="1" x14ac:dyDescent="0.3">
      <c r="A154" s="1085"/>
      <c r="B154" s="1037" t="s">
        <v>738</v>
      </c>
      <c r="C154" s="1052" t="s">
        <v>739</v>
      </c>
      <c r="D154" s="807"/>
      <c r="E154" s="1044" t="s">
        <v>735</v>
      </c>
      <c r="F154" s="961"/>
      <c r="G154" s="961"/>
      <c r="H154" s="1041"/>
      <c r="I154" s="552"/>
      <c r="J154" s="20"/>
      <c r="K154" s="998">
        <v>3014290683</v>
      </c>
      <c r="L154" s="998" t="s">
        <v>740</v>
      </c>
      <c r="M154" s="998" t="s">
        <v>6</v>
      </c>
      <c r="N154" s="465"/>
      <c r="O154" s="465"/>
    </row>
    <row r="155" spans="1:15" ht="21.1" customHeight="1" thickBot="1" x14ac:dyDescent="0.3">
      <c r="A155" s="1085"/>
      <c r="B155" s="1051"/>
      <c r="C155" s="1053"/>
      <c r="D155" s="799"/>
      <c r="E155" s="1045"/>
      <c r="F155" s="962"/>
      <c r="G155" s="962"/>
      <c r="H155" s="1042"/>
      <c r="I155" s="552"/>
      <c r="J155" s="20"/>
      <c r="K155" s="999"/>
      <c r="L155" s="999"/>
      <c r="M155" s="999"/>
      <c r="N155" s="465"/>
      <c r="O155" s="465"/>
    </row>
    <row r="156" spans="1:15" ht="21.1" customHeight="1" thickBot="1" x14ac:dyDescent="0.3">
      <c r="A156" s="1085"/>
      <c r="B156" s="1037" t="s">
        <v>578</v>
      </c>
      <c r="C156" s="1052" t="s">
        <v>579</v>
      </c>
      <c r="D156" s="807"/>
      <c r="E156" s="998" t="s">
        <v>593</v>
      </c>
      <c r="F156" s="575">
        <v>43502</v>
      </c>
      <c r="G156" s="575">
        <v>43524</v>
      </c>
      <c r="H156" s="572" t="s">
        <v>900</v>
      </c>
      <c r="I156" s="578">
        <v>20</v>
      </c>
      <c r="J156" s="572" t="s">
        <v>231</v>
      </c>
      <c r="K156" s="1010">
        <v>3145875328</v>
      </c>
      <c r="L156" s="1019" t="s">
        <v>580</v>
      </c>
      <c r="M156" s="452" t="s">
        <v>789</v>
      </c>
      <c r="N156" s="476"/>
      <c r="O156" s="48"/>
    </row>
    <row r="157" spans="1:15" ht="21.1" customHeight="1" thickBot="1" x14ac:dyDescent="0.3">
      <c r="A157" s="1085"/>
      <c r="B157" s="1051"/>
      <c r="C157" s="1053"/>
      <c r="D157" s="799"/>
      <c r="E157" s="999"/>
      <c r="F157" s="543"/>
      <c r="G157" s="543"/>
      <c r="H157" s="20"/>
      <c r="I157" s="552"/>
      <c r="J157" s="20"/>
      <c r="K157" s="1010"/>
      <c r="L157" s="1019"/>
      <c r="M157" s="452" t="s">
        <v>6</v>
      </c>
      <c r="N157" s="476"/>
      <c r="O157" s="48"/>
    </row>
    <row r="158" spans="1:15" ht="21.1" customHeight="1" thickBot="1" x14ac:dyDescent="0.3">
      <c r="A158" s="1085"/>
      <c r="B158" s="608" t="s">
        <v>357</v>
      </c>
      <c r="C158" s="446" t="s">
        <v>358</v>
      </c>
      <c r="D158" s="780"/>
      <c r="E158" s="477" t="s">
        <v>592</v>
      </c>
      <c r="F158" s="575">
        <v>43502</v>
      </c>
      <c r="G158" s="575">
        <v>43524</v>
      </c>
      <c r="H158" s="574" t="s">
        <v>33</v>
      </c>
      <c r="I158" s="574">
        <v>12</v>
      </c>
      <c r="J158" s="574" t="s">
        <v>4</v>
      </c>
      <c r="K158" s="452">
        <v>3126292364</v>
      </c>
      <c r="L158" s="452" t="s">
        <v>359</v>
      </c>
      <c r="M158" s="452" t="s">
        <v>6</v>
      </c>
      <c r="N158" s="476"/>
      <c r="O158" s="48"/>
    </row>
    <row r="159" spans="1:15" ht="20.25" customHeight="1" thickBot="1" x14ac:dyDescent="0.3">
      <c r="A159" s="1085"/>
      <c r="B159" s="1037" t="s">
        <v>300</v>
      </c>
      <c r="C159" s="1039" t="s">
        <v>301</v>
      </c>
      <c r="D159" s="780"/>
      <c r="E159" s="1021" t="s">
        <v>628</v>
      </c>
      <c r="F159" s="575">
        <v>43502</v>
      </c>
      <c r="G159" s="575">
        <v>43524</v>
      </c>
      <c r="H159" s="572" t="s">
        <v>900</v>
      </c>
      <c r="I159" s="574">
        <v>20</v>
      </c>
      <c r="J159" s="574" t="s">
        <v>231</v>
      </c>
      <c r="K159" s="1010">
        <v>3126657933</v>
      </c>
      <c r="L159" s="1010" t="s">
        <v>302</v>
      </c>
      <c r="M159" s="449" t="s">
        <v>789</v>
      </c>
      <c r="N159" s="982"/>
      <c r="O159" s="48"/>
    </row>
    <row r="160" spans="1:15" ht="22.6" customHeight="1" thickBot="1" x14ac:dyDescent="0.3">
      <c r="A160" s="1085"/>
      <c r="B160" s="1038"/>
      <c r="C160" s="1040"/>
      <c r="D160" s="798"/>
      <c r="E160" s="1020"/>
      <c r="F160" s="575">
        <v>43502</v>
      </c>
      <c r="G160" s="575">
        <v>43524</v>
      </c>
      <c r="H160" s="574" t="s">
        <v>33</v>
      </c>
      <c r="I160" s="574">
        <v>12</v>
      </c>
      <c r="J160" s="574" t="s">
        <v>4</v>
      </c>
      <c r="K160" s="1020"/>
      <c r="L160" s="1020"/>
      <c r="M160" s="453" t="s">
        <v>6</v>
      </c>
      <c r="N160" s="983"/>
      <c r="O160" s="48"/>
    </row>
    <row r="161" spans="1:15" ht="20.05" customHeight="1" thickBot="1" x14ac:dyDescent="0.3">
      <c r="A161" s="1077" t="s">
        <v>434</v>
      </c>
      <c r="B161" s="1054" t="s">
        <v>569</v>
      </c>
      <c r="C161" s="1056" t="s">
        <v>570</v>
      </c>
      <c r="D161" s="803"/>
      <c r="E161" s="1014" t="s">
        <v>652</v>
      </c>
      <c r="F161" s="1015">
        <v>43502</v>
      </c>
      <c r="G161" s="1015">
        <v>43524</v>
      </c>
      <c r="H161" s="1017" t="s">
        <v>66</v>
      </c>
      <c r="I161" s="590">
        <v>24</v>
      </c>
      <c r="J161" s="590" t="s">
        <v>4</v>
      </c>
      <c r="K161" s="1014">
        <v>3105039232</v>
      </c>
      <c r="L161" s="1014" t="s">
        <v>571</v>
      </c>
      <c r="M161" s="33" t="s">
        <v>572</v>
      </c>
      <c r="N161" s="982"/>
      <c r="O161" s="40"/>
    </row>
    <row r="162" spans="1:15" ht="20.05" customHeight="1" thickBot="1" x14ac:dyDescent="0.3">
      <c r="A162" s="1078"/>
      <c r="B162" s="1055"/>
      <c r="C162" s="1057"/>
      <c r="D162" s="796"/>
      <c r="E162" s="965"/>
      <c r="F162" s="1016"/>
      <c r="G162" s="1016"/>
      <c r="H162" s="1018"/>
      <c r="I162" s="583">
        <v>24</v>
      </c>
      <c r="J162" s="583" t="s">
        <v>231</v>
      </c>
      <c r="K162" s="965"/>
      <c r="L162" s="965"/>
      <c r="M162" s="451" t="s">
        <v>940</v>
      </c>
      <c r="N162" s="983"/>
      <c r="O162" s="40"/>
    </row>
    <row r="163" spans="1:15" ht="27.7" customHeight="1" thickBot="1" x14ac:dyDescent="0.3">
      <c r="A163" s="617" t="s">
        <v>990</v>
      </c>
      <c r="B163" s="612" t="s">
        <v>991</v>
      </c>
      <c r="C163" s="480" t="s">
        <v>992</v>
      </c>
      <c r="D163" s="806"/>
      <c r="E163" s="479" t="s">
        <v>652</v>
      </c>
      <c r="F163" s="555"/>
      <c r="G163" s="555"/>
      <c r="H163" s="556"/>
      <c r="I163" s="556"/>
      <c r="J163" s="557"/>
      <c r="K163" s="479" t="s">
        <v>993</v>
      </c>
      <c r="L163" s="479" t="s">
        <v>994</v>
      </c>
      <c r="M163" s="479" t="s">
        <v>995</v>
      </c>
      <c r="N163" s="484"/>
      <c r="O163" s="485"/>
    </row>
    <row r="164" spans="1:15" ht="20.05" customHeight="1" thickBot="1" x14ac:dyDescent="0.35">
      <c r="A164" s="615" t="s">
        <v>1188</v>
      </c>
      <c r="B164" s="613" t="s">
        <v>1189</v>
      </c>
      <c r="C164" s="486" t="s">
        <v>1190</v>
      </c>
      <c r="D164" s="808"/>
      <c r="E164" s="487" t="s">
        <v>1191</v>
      </c>
      <c r="F164" s="563">
        <v>43497</v>
      </c>
      <c r="G164" s="563">
        <v>43524</v>
      </c>
      <c r="H164" s="564" t="s">
        <v>33</v>
      </c>
      <c r="I164" s="564">
        <v>12</v>
      </c>
      <c r="J164" s="564" t="s">
        <v>4</v>
      </c>
      <c r="K164" s="487">
        <v>3114143837</v>
      </c>
      <c r="L164" s="487" t="s">
        <v>1188</v>
      </c>
      <c r="M164" s="487" t="s">
        <v>1192</v>
      </c>
      <c r="N164" s="1088" t="s">
        <v>1200</v>
      </c>
      <c r="O164" s="1089"/>
    </row>
  </sheetData>
  <autoFilter ref="A1:O164"/>
  <mergeCells count="268">
    <mergeCell ref="C32:C34"/>
    <mergeCell ref="B32:B34"/>
    <mergeCell ref="E32:E34"/>
    <mergeCell ref="K32:K34"/>
    <mergeCell ref="L32:L34"/>
    <mergeCell ref="L52:L53"/>
    <mergeCell ref="K44:K45"/>
    <mergeCell ref="L44:L45"/>
    <mergeCell ref="G33:G34"/>
    <mergeCell ref="H33:H34"/>
    <mergeCell ref="K52:K53"/>
    <mergeCell ref="B29:B31"/>
    <mergeCell ref="C29:C31"/>
    <mergeCell ref="D29:D31"/>
    <mergeCell ref="E29:E31"/>
    <mergeCell ref="F29:F31"/>
    <mergeCell ref="L29:L31"/>
    <mergeCell ref="G29:G31"/>
    <mergeCell ref="H29:H31"/>
    <mergeCell ref="K29:K31"/>
    <mergeCell ref="N161:N162"/>
    <mergeCell ref="N164:O164"/>
    <mergeCell ref="E39:E40"/>
    <mergeCell ref="C44:C45"/>
    <mergeCell ref="B52:B53"/>
    <mergeCell ref="C82:C84"/>
    <mergeCell ref="C72:C74"/>
    <mergeCell ref="B41:B42"/>
    <mergeCell ref="E52:E53"/>
    <mergeCell ref="B54:B56"/>
    <mergeCell ref="C54:C56"/>
    <mergeCell ref="K54:K56"/>
    <mergeCell ref="L54:L56"/>
    <mergeCell ref="F54:F56"/>
    <mergeCell ref="G54:G56"/>
    <mergeCell ref="H54:H56"/>
    <mergeCell ref="E44:E45"/>
    <mergeCell ref="E72:E74"/>
    <mergeCell ref="C41:C42"/>
    <mergeCell ref="C89:C90"/>
    <mergeCell ref="C91:C92"/>
    <mergeCell ref="E41:E42"/>
    <mergeCell ref="B44:B45"/>
    <mergeCell ref="B50:B51"/>
    <mergeCell ref="A161:A162"/>
    <mergeCell ref="A103:A122"/>
    <mergeCell ref="A93:A100"/>
    <mergeCell ref="A27:A36"/>
    <mergeCell ref="A132:A134"/>
    <mergeCell ref="A140:A142"/>
    <mergeCell ref="A87:A92"/>
    <mergeCell ref="A143:A148"/>
    <mergeCell ref="A149:A160"/>
    <mergeCell ref="A101:A102"/>
    <mergeCell ref="A135:A137"/>
    <mergeCell ref="A130:A131"/>
    <mergeCell ref="A37:A86"/>
    <mergeCell ref="A123:A125"/>
    <mergeCell ref="A128:A129"/>
    <mergeCell ref="A126:A127"/>
    <mergeCell ref="B124:B125"/>
    <mergeCell ref="C124:C125"/>
    <mergeCell ref="B154:B155"/>
    <mergeCell ref="B149:B150"/>
    <mergeCell ref="C50:C51"/>
    <mergeCell ref="E50:E51"/>
    <mergeCell ref="B60:B61"/>
    <mergeCell ref="C87:C88"/>
    <mergeCell ref="B82:B84"/>
    <mergeCell ref="B107:B109"/>
    <mergeCell ref="B143:B144"/>
    <mergeCell ref="C154:C155"/>
    <mergeCell ref="B85:B86"/>
    <mergeCell ref="B99:B100"/>
    <mergeCell ref="B72:B74"/>
    <mergeCell ref="C107:C109"/>
    <mergeCell ref="C85:C86"/>
    <mergeCell ref="C60:C61"/>
    <mergeCell ref="E54:E56"/>
    <mergeCell ref="C57:C59"/>
    <mergeCell ref="B64:B65"/>
    <mergeCell ref="B103:B106"/>
    <mergeCell ref="C103:C106"/>
    <mergeCell ref="B62:B63"/>
    <mergeCell ref="B25:B26"/>
    <mergeCell ref="K17:K18"/>
    <mergeCell ref="L17:L18"/>
    <mergeCell ref="B21:B23"/>
    <mergeCell ref="G15:G16"/>
    <mergeCell ref="H15:H16"/>
    <mergeCell ref="K15:K16"/>
    <mergeCell ref="E17:E18"/>
    <mergeCell ref="C15:C16"/>
    <mergeCell ref="E15:E16"/>
    <mergeCell ref="F15:F16"/>
    <mergeCell ref="C21:C23"/>
    <mergeCell ref="K21:K23"/>
    <mergeCell ref="L21:L23"/>
    <mergeCell ref="E21:E23"/>
    <mergeCell ref="B15:B16"/>
    <mergeCell ref="L25:L26"/>
    <mergeCell ref="C17:C18"/>
    <mergeCell ref="C25:C26"/>
    <mergeCell ref="E25:E26"/>
    <mergeCell ref="B94:B95"/>
    <mergeCell ref="C94:C95"/>
    <mergeCell ref="C99:C100"/>
    <mergeCell ref="E94:E95"/>
    <mergeCell ref="F101:F102"/>
    <mergeCell ref="E99:E100"/>
    <mergeCell ref="H103:H104"/>
    <mergeCell ref="C101:C102"/>
    <mergeCell ref="B96:B97"/>
    <mergeCell ref="C96:C97"/>
    <mergeCell ref="E96:E97"/>
    <mergeCell ref="B101:B102"/>
    <mergeCell ref="A2:A26"/>
    <mergeCell ref="B57:B59"/>
    <mergeCell ref="B39:B40"/>
    <mergeCell ref="B78:B80"/>
    <mergeCell ref="K103:K106"/>
    <mergeCell ref="K89:K90"/>
    <mergeCell ref="E91:E92"/>
    <mergeCell ref="E101:E102"/>
    <mergeCell ref="H58:H59"/>
    <mergeCell ref="G58:G59"/>
    <mergeCell ref="B87:B88"/>
    <mergeCell ref="G101:G102"/>
    <mergeCell ref="H101:H102"/>
    <mergeCell ref="G105:G106"/>
    <mergeCell ref="H105:H106"/>
    <mergeCell ref="B89:B90"/>
    <mergeCell ref="B91:B92"/>
    <mergeCell ref="C52:C53"/>
    <mergeCell ref="E9:E12"/>
    <mergeCell ref="K9:K12"/>
    <mergeCell ref="F89:F90"/>
    <mergeCell ref="E103:E106"/>
    <mergeCell ref="K25:K26"/>
    <mergeCell ref="B17:B18"/>
    <mergeCell ref="E161:E162"/>
    <mergeCell ref="B152:B153"/>
    <mergeCell ref="C152:C153"/>
    <mergeCell ref="B159:B160"/>
    <mergeCell ref="C159:C160"/>
    <mergeCell ref="E156:E157"/>
    <mergeCell ref="K101:K102"/>
    <mergeCell ref="K99:K100"/>
    <mergeCell ref="K154:K155"/>
    <mergeCell ref="K161:K162"/>
    <mergeCell ref="H154:H155"/>
    <mergeCell ref="E124:E125"/>
    <mergeCell ref="F124:F125"/>
    <mergeCell ref="G124:G125"/>
    <mergeCell ref="F154:F155"/>
    <mergeCell ref="E154:E155"/>
    <mergeCell ref="G154:G155"/>
    <mergeCell ref="E152:E153"/>
    <mergeCell ref="E149:E150"/>
    <mergeCell ref="H124:H125"/>
    <mergeCell ref="B156:B157"/>
    <mergeCell ref="C156:C157"/>
    <mergeCell ref="B161:B162"/>
    <mergeCell ref="C161:C162"/>
    <mergeCell ref="E159:E160"/>
    <mergeCell ref="C143:C144"/>
    <mergeCell ref="E143:E144"/>
    <mergeCell ref="C149:C150"/>
    <mergeCell ref="L103:L106"/>
    <mergeCell ref="L143:L144"/>
    <mergeCell ref="L124:L125"/>
    <mergeCell ref="L152:L153"/>
    <mergeCell ref="K152:K153"/>
    <mergeCell ref="K143:K144"/>
    <mergeCell ref="K149:K150"/>
    <mergeCell ref="K124:K125"/>
    <mergeCell ref="K107:K108"/>
    <mergeCell ref="L107:L108"/>
    <mergeCell ref="H108:H109"/>
    <mergeCell ref="F108:F109"/>
    <mergeCell ref="G108:G109"/>
    <mergeCell ref="G103:G104"/>
    <mergeCell ref="E107:E109"/>
    <mergeCell ref="F105:F106"/>
    <mergeCell ref="F103:F104"/>
    <mergeCell ref="L161:L162"/>
    <mergeCell ref="F161:F162"/>
    <mergeCell ref="G161:G162"/>
    <mergeCell ref="H161:H162"/>
    <mergeCell ref="L149:L150"/>
    <mergeCell ref="K156:K157"/>
    <mergeCell ref="L156:L157"/>
    <mergeCell ref="L154:L155"/>
    <mergeCell ref="K159:K160"/>
    <mergeCell ref="L159:L160"/>
    <mergeCell ref="L60:L61"/>
    <mergeCell ref="L85:L86"/>
    <mergeCell ref="L82:L84"/>
    <mergeCell ref="K72:K74"/>
    <mergeCell ref="G82:G84"/>
    <mergeCell ref="G72:G74"/>
    <mergeCell ref="C78:C80"/>
    <mergeCell ref="E82:E84"/>
    <mergeCell ref="E85:E86"/>
    <mergeCell ref="K85:K86"/>
    <mergeCell ref="F72:F74"/>
    <mergeCell ref="F79:F80"/>
    <mergeCell ref="E64:E65"/>
    <mergeCell ref="C62:C63"/>
    <mergeCell ref="H79:H80"/>
    <mergeCell ref="C64:C65"/>
    <mergeCell ref="H89:H90"/>
    <mergeCell ref="L91:L92"/>
    <mergeCell ref="K91:K92"/>
    <mergeCell ref="K87:K88"/>
    <mergeCell ref="L87:L88"/>
    <mergeCell ref="E78:E80"/>
    <mergeCell ref="K62:K63"/>
    <mergeCell ref="E87:E88"/>
    <mergeCell ref="E89:E90"/>
    <mergeCell ref="L96:L97"/>
    <mergeCell ref="B9:B12"/>
    <mergeCell ref="C9:C12"/>
    <mergeCell ref="E62:E63"/>
    <mergeCell ref="E60:E61"/>
    <mergeCell ref="E57:E59"/>
    <mergeCell ref="C39:C40"/>
    <mergeCell ref="F33:F34"/>
    <mergeCell ref="N159:N160"/>
    <mergeCell ref="N27:N28"/>
    <mergeCell ref="G79:G80"/>
    <mergeCell ref="N35:O35"/>
    <mergeCell ref="O101:O102"/>
    <mergeCell ref="N101:N102"/>
    <mergeCell ref="N15:O16"/>
    <mergeCell ref="O57:O58"/>
    <mergeCell ref="L89:L90"/>
    <mergeCell ref="N21:N23"/>
    <mergeCell ref="N72:N74"/>
    <mergeCell ref="N82:N84"/>
    <mergeCell ref="M154:M155"/>
    <mergeCell ref="M101:M102"/>
    <mergeCell ref="N57:N59"/>
    <mergeCell ref="G89:G90"/>
    <mergeCell ref="N96:N97"/>
    <mergeCell ref="N54:N56"/>
    <mergeCell ref="N107:N109"/>
    <mergeCell ref="F10:F11"/>
    <mergeCell ref="G10:G11"/>
    <mergeCell ref="H10:H11"/>
    <mergeCell ref="N50:N51"/>
    <mergeCell ref="L9:L12"/>
    <mergeCell ref="K60:K61"/>
    <mergeCell ref="F58:F59"/>
    <mergeCell ref="L72:L74"/>
    <mergeCell ref="L101:L102"/>
    <mergeCell ref="L99:L100"/>
    <mergeCell ref="K94:K95"/>
    <mergeCell ref="L15:L16"/>
    <mergeCell ref="L94:L95"/>
    <mergeCell ref="L57:L59"/>
    <mergeCell ref="K57:K59"/>
    <mergeCell ref="L62:L63"/>
    <mergeCell ref="F82:F84"/>
    <mergeCell ref="K82:K84"/>
    <mergeCell ref="H82:H84"/>
    <mergeCell ref="H72:H74"/>
    <mergeCell ref="K96:K97"/>
  </mergeCells>
  <pageMargins left="0.23622047244094491" right="0.23622047244094491" top="0.35433070866141736" bottom="0.35433070866141736" header="0.31496062992125984" footer="0.31496062992125984"/>
  <pageSetup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27"/>
  <sheetViews>
    <sheetView tabSelected="1" zoomScale="130" zoomScaleNormal="130" workbookViewId="0">
      <pane ySplit="1" topLeftCell="A53" activePane="bottomLeft" state="frozen"/>
      <selection pane="bottomLeft" activeCell="E57" sqref="E57:E59"/>
    </sheetView>
  </sheetViews>
  <sheetFormatPr baseColWidth="10" defaultColWidth="11.375" defaultRowHeight="20.05" customHeight="1" x14ac:dyDescent="0.25"/>
  <cols>
    <col min="1" max="1" width="11.125" style="3" customWidth="1"/>
    <col min="2" max="2" width="23.25" style="3" customWidth="1"/>
    <col min="3" max="3" width="23.625" style="5" customWidth="1"/>
    <col min="4" max="4" width="17.875" style="19" customWidth="1"/>
    <col min="5" max="5" width="22.125" style="2" customWidth="1"/>
    <col min="6" max="6" width="12.625" style="569" customWidth="1"/>
    <col min="7" max="7" width="12.375" style="569" customWidth="1"/>
    <col min="8" max="8" width="12.625" style="210" customWidth="1"/>
    <col min="9" max="9" width="6.25" style="2" customWidth="1"/>
    <col min="10" max="10" width="6.125" style="2" customWidth="1"/>
    <col min="11" max="11" width="14.875" style="2" customWidth="1"/>
    <col min="12" max="12" width="25.375" style="2" customWidth="1"/>
    <col min="13" max="13" width="23.25" style="2" customWidth="1"/>
    <col min="14" max="14" width="23" style="3" customWidth="1"/>
    <col min="15" max="16384" width="11.375" style="3"/>
  </cols>
  <sheetData>
    <row r="1" spans="1:14" s="2" customFormat="1" ht="20.05" customHeight="1" x14ac:dyDescent="0.25">
      <c r="A1" s="191" t="s">
        <v>12</v>
      </c>
      <c r="B1" s="191" t="s">
        <v>27</v>
      </c>
      <c r="C1" s="191" t="s">
        <v>11</v>
      </c>
      <c r="D1" s="191" t="s">
        <v>1401</v>
      </c>
      <c r="E1" s="191" t="s">
        <v>576</v>
      </c>
      <c r="F1" s="568" t="s">
        <v>1</v>
      </c>
      <c r="G1" s="568" t="s">
        <v>2</v>
      </c>
      <c r="H1" s="191" t="s">
        <v>28</v>
      </c>
      <c r="I1" s="191" t="s">
        <v>13</v>
      </c>
      <c r="J1" s="192" t="s">
        <v>240</v>
      </c>
      <c r="K1" s="191" t="s">
        <v>0</v>
      </c>
      <c r="L1" s="191" t="s">
        <v>238</v>
      </c>
      <c r="M1" s="191" t="s">
        <v>3</v>
      </c>
      <c r="N1" s="191" t="s">
        <v>654</v>
      </c>
    </row>
    <row r="2" spans="1:14" ht="20.05" customHeight="1" x14ac:dyDescent="0.25">
      <c r="A2" s="1150" t="s">
        <v>14</v>
      </c>
      <c r="B2" s="193" t="s">
        <v>138</v>
      </c>
      <c r="C2" s="193" t="s">
        <v>139</v>
      </c>
      <c r="D2" s="196"/>
      <c r="E2" s="859" t="s">
        <v>588</v>
      </c>
      <c r="F2" s="570">
        <v>43502</v>
      </c>
      <c r="G2" s="570">
        <v>43524</v>
      </c>
      <c r="H2" s="577" t="s">
        <v>33</v>
      </c>
      <c r="I2" s="572">
        <v>12</v>
      </c>
      <c r="J2" s="572" t="s">
        <v>4</v>
      </c>
      <c r="K2" s="194" t="s">
        <v>349</v>
      </c>
      <c r="L2" s="194" t="s">
        <v>350</v>
      </c>
      <c r="M2" s="194"/>
      <c r="N2" s="195"/>
    </row>
    <row r="3" spans="1:14" ht="20.05" customHeight="1" x14ac:dyDescent="0.25">
      <c r="A3" s="1150"/>
      <c r="B3" s="1138" t="s">
        <v>140</v>
      </c>
      <c r="C3" s="1138" t="s">
        <v>141</v>
      </c>
      <c r="D3" s="852"/>
      <c r="E3" s="1112" t="s">
        <v>601</v>
      </c>
      <c r="F3" s="570">
        <v>43502</v>
      </c>
      <c r="G3" s="570">
        <v>43524</v>
      </c>
      <c r="H3" s="577" t="s">
        <v>33</v>
      </c>
      <c r="I3" s="572">
        <v>12</v>
      </c>
      <c r="J3" s="572" t="s">
        <v>4</v>
      </c>
      <c r="K3" s="1112">
        <v>3146272862</v>
      </c>
      <c r="L3" s="1112" t="s">
        <v>264</v>
      </c>
      <c r="M3" s="194"/>
      <c r="N3" s="195"/>
    </row>
    <row r="4" spans="1:14" ht="20.05" customHeight="1" x14ac:dyDescent="0.25">
      <c r="A4" s="1150"/>
      <c r="B4" s="1151"/>
      <c r="C4" s="1151"/>
      <c r="D4" s="853"/>
      <c r="E4" s="1116"/>
      <c r="F4" s="1134">
        <v>43502</v>
      </c>
      <c r="G4" s="1134">
        <v>43524</v>
      </c>
      <c r="H4" s="1136" t="s">
        <v>900</v>
      </c>
      <c r="I4" s="572">
        <v>8</v>
      </c>
      <c r="J4" s="572" t="s">
        <v>4</v>
      </c>
      <c r="K4" s="1116"/>
      <c r="L4" s="1116"/>
      <c r="M4" s="370"/>
      <c r="N4" s="195"/>
    </row>
    <row r="5" spans="1:14" ht="20.05" customHeight="1" x14ac:dyDescent="0.25">
      <c r="A5" s="1150"/>
      <c r="B5" s="1133"/>
      <c r="C5" s="1133"/>
      <c r="D5" s="854"/>
      <c r="E5" s="1113"/>
      <c r="F5" s="1135"/>
      <c r="G5" s="1135"/>
      <c r="H5" s="1137"/>
      <c r="I5" s="572">
        <v>20</v>
      </c>
      <c r="J5" s="572" t="s">
        <v>8</v>
      </c>
      <c r="K5" s="1113"/>
      <c r="L5" s="1113"/>
      <c r="M5" s="194"/>
      <c r="N5" s="195"/>
    </row>
    <row r="6" spans="1:14" ht="20.05" customHeight="1" x14ac:dyDescent="0.25">
      <c r="A6" s="1150"/>
      <c r="B6" s="1132" t="s">
        <v>17</v>
      </c>
      <c r="C6" s="1132" t="s">
        <v>142</v>
      </c>
      <c r="D6" s="852"/>
      <c r="E6" s="1112" t="s">
        <v>601</v>
      </c>
      <c r="F6" s="570">
        <v>43502</v>
      </c>
      <c r="G6" s="570">
        <v>43524</v>
      </c>
      <c r="H6" s="577" t="s">
        <v>900</v>
      </c>
      <c r="I6" s="572">
        <v>8</v>
      </c>
      <c r="J6" s="572" t="s">
        <v>4</v>
      </c>
      <c r="K6" s="1119" t="s">
        <v>340</v>
      </c>
      <c r="L6" s="1119" t="s">
        <v>341</v>
      </c>
      <c r="M6" s="194"/>
      <c r="N6" s="195"/>
    </row>
    <row r="7" spans="1:14" ht="20.05" customHeight="1" x14ac:dyDescent="0.25">
      <c r="A7" s="1150"/>
      <c r="B7" s="1132"/>
      <c r="C7" s="1132"/>
      <c r="D7" s="854"/>
      <c r="E7" s="1113"/>
      <c r="F7" s="570">
        <v>43502</v>
      </c>
      <c r="G7" s="570">
        <v>43524</v>
      </c>
      <c r="H7" s="577" t="s">
        <v>33</v>
      </c>
      <c r="I7" s="572">
        <v>12</v>
      </c>
      <c r="J7" s="572" t="s">
        <v>4</v>
      </c>
      <c r="K7" s="1119"/>
      <c r="L7" s="1119"/>
      <c r="M7" s="194"/>
      <c r="N7" s="195"/>
    </row>
    <row r="8" spans="1:14" ht="20.05" customHeight="1" x14ac:dyDescent="0.25">
      <c r="A8" s="1150"/>
      <c r="B8" s="384" t="s">
        <v>1103</v>
      </c>
      <c r="C8" s="384" t="s">
        <v>1102</v>
      </c>
      <c r="D8" s="854"/>
      <c r="E8" s="854" t="s">
        <v>588</v>
      </c>
      <c r="F8" s="518"/>
      <c r="G8" s="518"/>
      <c r="H8" s="271"/>
      <c r="I8" s="497"/>
      <c r="J8" s="497"/>
      <c r="K8" s="200" t="s">
        <v>1104</v>
      </c>
      <c r="L8" s="383" t="s">
        <v>1105</v>
      </c>
      <c r="M8" s="383"/>
      <c r="N8" s="195"/>
    </row>
    <row r="9" spans="1:14" ht="20.05" customHeight="1" x14ac:dyDescent="0.25">
      <c r="A9" s="1150"/>
      <c r="B9" s="393" t="s">
        <v>1117</v>
      </c>
      <c r="C9" s="393" t="s">
        <v>1118</v>
      </c>
      <c r="D9" s="854"/>
      <c r="E9" s="854" t="s">
        <v>602</v>
      </c>
      <c r="F9" s="518"/>
      <c r="G9" s="518"/>
      <c r="H9" s="271"/>
      <c r="I9" s="497"/>
      <c r="J9" s="497"/>
      <c r="K9" s="200"/>
      <c r="L9" s="392"/>
      <c r="M9" s="392"/>
      <c r="N9" s="195"/>
    </row>
    <row r="10" spans="1:14" ht="20.05" customHeight="1" x14ac:dyDescent="0.25">
      <c r="A10" s="1150"/>
      <c r="B10" s="384" t="s">
        <v>1113</v>
      </c>
      <c r="C10" s="384" t="s">
        <v>1114</v>
      </c>
      <c r="D10" s="854"/>
      <c r="E10" s="860" t="s">
        <v>1115</v>
      </c>
      <c r="F10" s="537">
        <v>43115</v>
      </c>
      <c r="G10" s="537">
        <v>43510</v>
      </c>
      <c r="H10" s="538" t="s">
        <v>900</v>
      </c>
      <c r="I10" s="270">
        <v>20</v>
      </c>
      <c r="J10" s="270" t="s">
        <v>4</v>
      </c>
      <c r="K10" s="200">
        <v>3137775629</v>
      </c>
      <c r="L10" s="383" t="s">
        <v>1116</v>
      </c>
      <c r="M10" s="866"/>
      <c r="N10" s="865"/>
    </row>
    <row r="11" spans="1:14" ht="20.05" customHeight="1" x14ac:dyDescent="0.25">
      <c r="A11" s="1150"/>
      <c r="B11" s="193" t="s">
        <v>143</v>
      </c>
      <c r="C11" s="193" t="s">
        <v>144</v>
      </c>
      <c r="D11" s="196"/>
      <c r="E11" s="859" t="s">
        <v>644</v>
      </c>
      <c r="F11" s="570">
        <v>43502</v>
      </c>
      <c r="G11" s="570">
        <v>43524</v>
      </c>
      <c r="H11" s="577" t="s">
        <v>33</v>
      </c>
      <c r="I11" s="572">
        <v>12</v>
      </c>
      <c r="J11" s="572" t="s">
        <v>4</v>
      </c>
      <c r="K11" s="194">
        <v>3114049087</v>
      </c>
      <c r="L11" s="194" t="s">
        <v>342</v>
      </c>
      <c r="M11" s="194"/>
      <c r="N11" s="195"/>
    </row>
    <row r="12" spans="1:14" s="19" customFormat="1" ht="20.05" customHeight="1" x14ac:dyDescent="0.25">
      <c r="A12" s="1150"/>
      <c r="B12" s="1112" t="s">
        <v>783</v>
      </c>
      <c r="C12" s="1112" t="s">
        <v>784</v>
      </c>
      <c r="D12" s="852"/>
      <c r="E12" s="1112" t="s">
        <v>652</v>
      </c>
      <c r="F12" s="1134">
        <v>43511</v>
      </c>
      <c r="G12" s="1134">
        <v>43530</v>
      </c>
      <c r="H12" s="1152" t="s">
        <v>66</v>
      </c>
      <c r="I12" s="737">
        <v>20</v>
      </c>
      <c r="J12" s="737" t="s">
        <v>5</v>
      </c>
      <c r="K12" s="1112">
        <v>3103861782</v>
      </c>
      <c r="L12" s="1112" t="s">
        <v>785</v>
      </c>
      <c r="M12" s="867"/>
      <c r="N12" s="866"/>
    </row>
    <row r="13" spans="1:14" s="19" customFormat="1" ht="20.05" customHeight="1" x14ac:dyDescent="0.25">
      <c r="A13" s="1150"/>
      <c r="B13" s="1116"/>
      <c r="C13" s="1116"/>
      <c r="D13" s="853"/>
      <c r="E13" s="1116"/>
      <c r="F13" s="1139"/>
      <c r="G13" s="1139"/>
      <c r="H13" s="1153"/>
      <c r="I13" s="737">
        <v>20</v>
      </c>
      <c r="J13" s="737" t="s">
        <v>4</v>
      </c>
      <c r="K13" s="1116"/>
      <c r="L13" s="1116"/>
      <c r="M13" s="867"/>
      <c r="N13" s="866"/>
    </row>
    <row r="14" spans="1:14" s="19" customFormat="1" ht="20.05" customHeight="1" x14ac:dyDescent="0.25">
      <c r="A14" s="1150"/>
      <c r="B14" s="1116"/>
      <c r="C14" s="1116"/>
      <c r="D14" s="853"/>
      <c r="E14" s="1116"/>
      <c r="F14" s="1139"/>
      <c r="G14" s="1139"/>
      <c r="H14" s="1153"/>
      <c r="I14" s="737">
        <v>20</v>
      </c>
      <c r="J14" s="737" t="s">
        <v>231</v>
      </c>
      <c r="K14" s="1116"/>
      <c r="L14" s="1116"/>
      <c r="M14" s="867"/>
      <c r="N14" s="196"/>
    </row>
    <row r="15" spans="1:14" s="19" customFormat="1" ht="20.05" customHeight="1" x14ac:dyDescent="0.25">
      <c r="A15" s="1150"/>
      <c r="B15" s="1113"/>
      <c r="C15" s="1113"/>
      <c r="D15" s="854"/>
      <c r="E15" s="1113"/>
      <c r="F15" s="1135"/>
      <c r="G15" s="1135"/>
      <c r="H15" s="1154"/>
      <c r="I15" s="737">
        <v>1</v>
      </c>
      <c r="J15" s="737" t="s">
        <v>230</v>
      </c>
      <c r="K15" s="1113"/>
      <c r="L15" s="1113"/>
      <c r="M15" s="867"/>
      <c r="N15" s="196"/>
    </row>
    <row r="16" spans="1:14" ht="20.05" customHeight="1" x14ac:dyDescent="0.25">
      <c r="A16" s="1150"/>
      <c r="B16" s="1138" t="s">
        <v>145</v>
      </c>
      <c r="C16" s="1138" t="s">
        <v>146</v>
      </c>
      <c r="D16" s="852"/>
      <c r="E16" s="1112" t="s">
        <v>641</v>
      </c>
      <c r="F16" s="570">
        <v>43502</v>
      </c>
      <c r="G16" s="570">
        <v>43524</v>
      </c>
      <c r="H16" s="577" t="s">
        <v>33</v>
      </c>
      <c r="I16" s="572">
        <v>12</v>
      </c>
      <c r="J16" s="572" t="s">
        <v>4</v>
      </c>
      <c r="K16" s="1112">
        <v>3014477872</v>
      </c>
      <c r="L16" s="1112" t="s">
        <v>243</v>
      </c>
      <c r="M16" s="194"/>
      <c r="N16" s="195"/>
    </row>
    <row r="17" spans="1:14" ht="20.05" customHeight="1" x14ac:dyDescent="0.25">
      <c r="A17" s="1150"/>
      <c r="B17" s="1151"/>
      <c r="C17" s="1151"/>
      <c r="D17" s="853"/>
      <c r="E17" s="1116"/>
      <c r="F17" s="1134">
        <v>43502</v>
      </c>
      <c r="G17" s="1134">
        <v>43524</v>
      </c>
      <c r="H17" s="1136" t="s">
        <v>900</v>
      </c>
      <c r="I17" s="572">
        <v>20</v>
      </c>
      <c r="J17" s="572" t="s">
        <v>231</v>
      </c>
      <c r="K17" s="1116"/>
      <c r="L17" s="1116"/>
      <c r="M17" s="194"/>
      <c r="N17" s="195"/>
    </row>
    <row r="18" spans="1:14" ht="20.05" customHeight="1" x14ac:dyDescent="0.25">
      <c r="A18" s="1150"/>
      <c r="B18" s="1116"/>
      <c r="C18" s="1116"/>
      <c r="D18" s="853"/>
      <c r="E18" s="1113"/>
      <c r="F18" s="1135"/>
      <c r="G18" s="1135"/>
      <c r="H18" s="1137"/>
      <c r="I18" s="572">
        <v>12</v>
      </c>
      <c r="J18" s="572" t="s">
        <v>8</v>
      </c>
      <c r="K18" s="1116"/>
      <c r="L18" s="1116"/>
      <c r="M18" s="194"/>
      <c r="N18" s="195"/>
    </row>
    <row r="19" spans="1:14" ht="20.05" customHeight="1" x14ac:dyDescent="0.25">
      <c r="A19" s="1150"/>
      <c r="B19" s="193" t="s">
        <v>147</v>
      </c>
      <c r="C19" s="193" t="s">
        <v>148</v>
      </c>
      <c r="D19" s="196"/>
      <c r="E19" s="859" t="s">
        <v>642</v>
      </c>
      <c r="F19" s="570">
        <v>43502</v>
      </c>
      <c r="G19" s="570">
        <v>43524</v>
      </c>
      <c r="H19" s="577" t="s">
        <v>33</v>
      </c>
      <c r="I19" s="572">
        <v>12</v>
      </c>
      <c r="J19" s="572" t="s">
        <v>4</v>
      </c>
      <c r="K19" s="194">
        <v>3193390022</v>
      </c>
      <c r="L19" s="194" t="s">
        <v>327</v>
      </c>
      <c r="M19" s="194"/>
      <c r="N19" s="195"/>
    </row>
    <row r="20" spans="1:14" ht="20.05" customHeight="1" x14ac:dyDescent="0.25">
      <c r="A20" s="1150"/>
      <c r="B20" s="193" t="s">
        <v>1367</v>
      </c>
      <c r="C20" s="193" t="s">
        <v>1368</v>
      </c>
      <c r="D20" s="196"/>
      <c r="E20" s="859" t="s">
        <v>1369</v>
      </c>
      <c r="F20" s="570">
        <v>43512</v>
      </c>
      <c r="G20" s="570">
        <v>43524</v>
      </c>
      <c r="H20" s="577" t="s">
        <v>33</v>
      </c>
      <c r="I20" s="744">
        <v>12</v>
      </c>
      <c r="J20" s="744" t="s">
        <v>4</v>
      </c>
      <c r="K20" s="745" t="s">
        <v>1370</v>
      </c>
      <c r="L20" s="200" t="s">
        <v>1371</v>
      </c>
      <c r="M20" s="745"/>
      <c r="N20" s="195"/>
    </row>
    <row r="21" spans="1:14" ht="20.05" customHeight="1" x14ac:dyDescent="0.25">
      <c r="A21" s="1150"/>
      <c r="B21" s="193" t="s">
        <v>149</v>
      </c>
      <c r="C21" s="193" t="s">
        <v>150</v>
      </c>
      <c r="D21" s="196"/>
      <c r="E21" s="859" t="s">
        <v>593</v>
      </c>
      <c r="F21" s="570">
        <v>43502</v>
      </c>
      <c r="G21" s="570">
        <v>43524</v>
      </c>
      <c r="H21" s="577" t="s">
        <v>33</v>
      </c>
      <c r="I21" s="572">
        <v>12</v>
      </c>
      <c r="J21" s="572" t="s">
        <v>4</v>
      </c>
      <c r="K21" s="194">
        <v>3135290652</v>
      </c>
      <c r="L21" s="194" t="s">
        <v>325</v>
      </c>
      <c r="M21" s="194"/>
      <c r="N21" s="195"/>
    </row>
    <row r="22" spans="1:14" ht="20.05" customHeight="1" x14ac:dyDescent="0.25">
      <c r="A22" s="1150"/>
      <c r="B22" s="1112" t="s">
        <v>151</v>
      </c>
      <c r="C22" s="1112" t="s">
        <v>152</v>
      </c>
      <c r="D22" s="852"/>
      <c r="E22" s="1112" t="s">
        <v>591</v>
      </c>
      <c r="F22" s="537">
        <v>43468</v>
      </c>
      <c r="G22" s="537">
        <v>43495</v>
      </c>
      <c r="H22" s="538" t="s">
        <v>33</v>
      </c>
      <c r="I22" s="270">
        <v>12</v>
      </c>
      <c r="J22" s="270" t="s">
        <v>4</v>
      </c>
      <c r="K22" s="1112">
        <v>7888227</v>
      </c>
      <c r="L22" s="1112" t="s">
        <v>258</v>
      </c>
      <c r="M22" s="887" t="s">
        <v>1255</v>
      </c>
      <c r="N22" s="195"/>
    </row>
    <row r="23" spans="1:14" ht="20.05" customHeight="1" x14ac:dyDescent="0.25">
      <c r="A23" s="1150"/>
      <c r="B23" s="1116"/>
      <c r="C23" s="1116"/>
      <c r="D23" s="853"/>
      <c r="E23" s="1116"/>
      <c r="F23" s="1127">
        <v>43473</v>
      </c>
      <c r="G23" s="1127">
        <v>43495</v>
      </c>
      <c r="H23" s="1129" t="s">
        <v>900</v>
      </c>
      <c r="I23" s="270">
        <v>20</v>
      </c>
      <c r="J23" s="270" t="s">
        <v>8</v>
      </c>
      <c r="K23" s="1116"/>
      <c r="L23" s="1116"/>
      <c r="M23" s="971"/>
      <c r="N23" s="195"/>
    </row>
    <row r="24" spans="1:14" ht="20.05" customHeight="1" x14ac:dyDescent="0.25">
      <c r="A24" s="1150"/>
      <c r="B24" s="1151"/>
      <c r="C24" s="1151"/>
      <c r="D24" s="853"/>
      <c r="E24" s="1116"/>
      <c r="F24" s="1128"/>
      <c r="G24" s="1128"/>
      <c r="H24" s="1130"/>
      <c r="I24" s="270">
        <v>8</v>
      </c>
      <c r="J24" s="270" t="s">
        <v>4</v>
      </c>
      <c r="K24" s="1116"/>
      <c r="L24" s="1116"/>
      <c r="M24" s="971"/>
      <c r="N24" s="195"/>
    </row>
    <row r="25" spans="1:14" ht="20.05" customHeight="1" x14ac:dyDescent="0.25">
      <c r="A25" s="1150"/>
      <c r="B25" s="1113"/>
      <c r="C25" s="1113"/>
      <c r="D25" s="854"/>
      <c r="E25" s="854"/>
      <c r="F25" s="1162"/>
      <c r="G25" s="1162"/>
      <c r="H25" s="1131"/>
      <c r="I25" s="270">
        <v>20</v>
      </c>
      <c r="J25" s="270" t="s">
        <v>231</v>
      </c>
      <c r="K25" s="1113"/>
      <c r="L25" s="1113"/>
      <c r="M25" s="888"/>
      <c r="N25" s="195"/>
    </row>
    <row r="26" spans="1:14" ht="20.05" customHeight="1" x14ac:dyDescent="0.25">
      <c r="A26" s="1150"/>
      <c r="B26" s="193" t="s">
        <v>153</v>
      </c>
      <c r="C26" s="193" t="s">
        <v>154</v>
      </c>
      <c r="D26" s="196"/>
      <c r="E26" s="859" t="s">
        <v>643</v>
      </c>
      <c r="F26" s="570">
        <v>43502</v>
      </c>
      <c r="G26" s="570">
        <v>43524</v>
      </c>
      <c r="H26" s="577" t="s">
        <v>33</v>
      </c>
      <c r="I26" s="572">
        <v>12</v>
      </c>
      <c r="J26" s="572" t="s">
        <v>4</v>
      </c>
      <c r="K26" s="194">
        <v>3126696508</v>
      </c>
      <c r="L26" s="194" t="s">
        <v>343</v>
      </c>
      <c r="M26" s="194"/>
      <c r="N26" s="195"/>
    </row>
    <row r="27" spans="1:14" ht="20.05" customHeight="1" x14ac:dyDescent="0.25">
      <c r="A27" s="1150"/>
      <c r="B27" s="193" t="s">
        <v>982</v>
      </c>
      <c r="C27" s="193" t="s">
        <v>983</v>
      </c>
      <c r="D27" s="196"/>
      <c r="E27" s="859" t="s">
        <v>605</v>
      </c>
      <c r="F27" s="517"/>
      <c r="G27" s="517"/>
      <c r="H27" s="498"/>
      <c r="I27" s="497"/>
      <c r="J27" s="497"/>
      <c r="K27" s="252" t="s">
        <v>984</v>
      </c>
      <c r="L27" s="252" t="s">
        <v>986</v>
      </c>
      <c r="M27" s="386"/>
      <c r="N27" s="386"/>
    </row>
    <row r="28" spans="1:14" ht="20.05" customHeight="1" x14ac:dyDescent="0.25">
      <c r="A28" s="1150"/>
      <c r="B28" s="193" t="s">
        <v>1295</v>
      </c>
      <c r="C28" s="193" t="s">
        <v>1296</v>
      </c>
      <c r="D28" s="196"/>
      <c r="E28" s="859" t="s">
        <v>588</v>
      </c>
      <c r="F28" s="645">
        <v>43505</v>
      </c>
      <c r="G28" s="645">
        <v>43524</v>
      </c>
      <c r="H28" s="646" t="s">
        <v>33</v>
      </c>
      <c r="I28" s="643">
        <v>12</v>
      </c>
      <c r="J28" s="643" t="s">
        <v>4</v>
      </c>
      <c r="K28" s="644">
        <v>3002051508</v>
      </c>
      <c r="L28" s="644" t="s">
        <v>1297</v>
      </c>
      <c r="M28" s="386"/>
      <c r="N28" s="386"/>
    </row>
    <row r="29" spans="1:14" ht="20.05" customHeight="1" x14ac:dyDescent="0.25">
      <c r="A29" s="1150"/>
      <c r="B29" s="193" t="s">
        <v>1453</v>
      </c>
      <c r="C29" s="193" t="s">
        <v>1454</v>
      </c>
      <c r="D29" s="196">
        <v>1067886220</v>
      </c>
      <c r="E29" s="859" t="s">
        <v>591</v>
      </c>
      <c r="F29" s="848">
        <v>43522</v>
      </c>
      <c r="G29" s="848">
        <v>43539</v>
      </c>
      <c r="H29" s="849" t="s">
        <v>33</v>
      </c>
      <c r="I29" s="846">
        <v>7</v>
      </c>
      <c r="J29" s="846" t="s">
        <v>4</v>
      </c>
      <c r="K29" s="847">
        <v>3205942354</v>
      </c>
      <c r="L29" s="850" t="s">
        <v>1455</v>
      </c>
      <c r="M29" s="1108" t="s">
        <v>1456</v>
      </c>
      <c r="N29" s="1109"/>
    </row>
    <row r="30" spans="1:14" ht="20.05" customHeight="1" x14ac:dyDescent="0.25">
      <c r="A30" s="1150"/>
      <c r="B30" s="1138" t="s">
        <v>1443</v>
      </c>
      <c r="C30" s="1138" t="s">
        <v>1444</v>
      </c>
      <c r="D30" s="868">
        <v>23062587</v>
      </c>
      <c r="E30" s="1112" t="s">
        <v>1445</v>
      </c>
      <c r="F30" s="857">
        <v>43522</v>
      </c>
      <c r="G30" s="857">
        <v>43539</v>
      </c>
      <c r="H30" s="858" t="s">
        <v>900</v>
      </c>
      <c r="I30" s="851">
        <v>8</v>
      </c>
      <c r="J30" s="851" t="s">
        <v>4</v>
      </c>
      <c r="K30" s="1112" t="s">
        <v>1446</v>
      </c>
      <c r="L30" s="1112" t="s">
        <v>1447</v>
      </c>
      <c r="M30" s="1108" t="s">
        <v>1456</v>
      </c>
      <c r="N30" s="1109"/>
    </row>
    <row r="31" spans="1:14" ht="20.05" customHeight="1" x14ac:dyDescent="0.25">
      <c r="A31" s="1150"/>
      <c r="B31" s="1133"/>
      <c r="C31" s="1133"/>
      <c r="D31" s="869"/>
      <c r="E31" s="1113"/>
      <c r="F31" s="836">
        <v>43523</v>
      </c>
      <c r="G31" s="836">
        <v>43551</v>
      </c>
      <c r="H31" s="837" t="s">
        <v>33</v>
      </c>
      <c r="I31" s="835">
        <v>12</v>
      </c>
      <c r="J31" s="835" t="s">
        <v>231</v>
      </c>
      <c r="K31" s="1113"/>
      <c r="L31" s="1113"/>
      <c r="M31" s="1108" t="s">
        <v>1456</v>
      </c>
      <c r="N31" s="1109"/>
    </row>
    <row r="32" spans="1:14" ht="20.05" customHeight="1" x14ac:dyDescent="0.25">
      <c r="A32" s="1150"/>
      <c r="B32" s="193" t="s">
        <v>155</v>
      </c>
      <c r="C32" s="193" t="s">
        <v>156</v>
      </c>
      <c r="D32" s="196"/>
      <c r="E32" s="859" t="s">
        <v>593</v>
      </c>
      <c r="F32" s="570">
        <v>43502</v>
      </c>
      <c r="G32" s="570">
        <v>43524</v>
      </c>
      <c r="H32" s="577" t="s">
        <v>33</v>
      </c>
      <c r="I32" s="572">
        <v>12</v>
      </c>
      <c r="J32" s="572" t="s">
        <v>4</v>
      </c>
      <c r="K32" s="483" t="s">
        <v>333</v>
      </c>
      <c r="L32" s="483" t="s">
        <v>334</v>
      </c>
      <c r="M32" s="200"/>
      <c r="N32" s="386"/>
    </row>
    <row r="33" spans="1:14" ht="20.05" customHeight="1" x14ac:dyDescent="0.25">
      <c r="A33" s="1150"/>
      <c r="B33" s="845" t="s">
        <v>157</v>
      </c>
      <c r="C33" s="845" t="s">
        <v>158</v>
      </c>
      <c r="D33" s="870"/>
      <c r="E33" s="626" t="s">
        <v>605</v>
      </c>
      <c r="F33" s="716">
        <v>43502</v>
      </c>
      <c r="G33" s="716">
        <v>43524</v>
      </c>
      <c r="H33" s="600" t="s">
        <v>33</v>
      </c>
      <c r="I33" s="626">
        <v>12</v>
      </c>
      <c r="J33" s="626" t="s">
        <v>4</v>
      </c>
      <c r="K33" s="626">
        <v>3165012169</v>
      </c>
      <c r="L33" s="626" t="s">
        <v>335</v>
      </c>
      <c r="M33" s="1110" t="s">
        <v>1442</v>
      </c>
      <c r="N33" s="1111"/>
    </row>
    <row r="34" spans="1:14" ht="20.05" customHeight="1" x14ac:dyDescent="0.25">
      <c r="A34" s="1150"/>
      <c r="B34" s="193" t="s">
        <v>159</v>
      </c>
      <c r="C34" s="193" t="s">
        <v>160</v>
      </c>
      <c r="D34" s="196"/>
      <c r="E34" s="859" t="s">
        <v>591</v>
      </c>
      <c r="F34" s="570">
        <v>43502</v>
      </c>
      <c r="G34" s="570">
        <v>43524</v>
      </c>
      <c r="H34" s="577" t="s">
        <v>33</v>
      </c>
      <c r="I34" s="572">
        <v>12</v>
      </c>
      <c r="J34" s="572" t="s">
        <v>4</v>
      </c>
      <c r="K34" s="200" t="s">
        <v>919</v>
      </c>
      <c r="L34" s="194" t="s">
        <v>331</v>
      </c>
      <c r="M34" s="194"/>
      <c r="N34" s="195"/>
    </row>
    <row r="35" spans="1:14" ht="20.05" customHeight="1" x14ac:dyDescent="0.25">
      <c r="A35" s="1150"/>
      <c r="B35" s="193" t="s">
        <v>161</v>
      </c>
      <c r="C35" s="193" t="s">
        <v>162</v>
      </c>
      <c r="D35" s="196"/>
      <c r="E35" s="859" t="s">
        <v>645</v>
      </c>
      <c r="F35" s="570">
        <v>43502</v>
      </c>
      <c r="G35" s="570">
        <v>43524</v>
      </c>
      <c r="H35" s="577" t="s">
        <v>33</v>
      </c>
      <c r="I35" s="572">
        <v>12</v>
      </c>
      <c r="J35" s="572" t="s">
        <v>4</v>
      </c>
      <c r="K35" s="194">
        <v>3113502791</v>
      </c>
      <c r="L35" s="194" t="s">
        <v>269</v>
      </c>
      <c r="M35" s="194"/>
      <c r="N35" s="195"/>
    </row>
    <row r="36" spans="1:14" ht="20.05" customHeight="1" x14ac:dyDescent="0.25">
      <c r="A36" s="1150"/>
      <c r="B36" s="193" t="s">
        <v>753</v>
      </c>
      <c r="C36" s="193" t="s">
        <v>754</v>
      </c>
      <c r="D36" s="196"/>
      <c r="E36" s="859" t="s">
        <v>755</v>
      </c>
      <c r="F36" s="518"/>
      <c r="G36" s="518"/>
      <c r="H36" s="271"/>
      <c r="I36" s="497"/>
      <c r="J36" s="497"/>
      <c r="K36" s="194" t="s">
        <v>765</v>
      </c>
      <c r="L36" s="194" t="s">
        <v>756</v>
      </c>
      <c r="M36" s="194"/>
      <c r="N36" s="195"/>
    </row>
    <row r="37" spans="1:14" ht="20.05" customHeight="1" x14ac:dyDescent="0.25">
      <c r="A37" s="1150"/>
      <c r="B37" s="195" t="s">
        <v>163</v>
      </c>
      <c r="C37" s="193" t="s">
        <v>164</v>
      </c>
      <c r="D37" s="196"/>
      <c r="E37" s="859"/>
      <c r="F37" s="570">
        <v>43502</v>
      </c>
      <c r="G37" s="570">
        <v>43524</v>
      </c>
      <c r="H37" s="571" t="s">
        <v>33</v>
      </c>
      <c r="I37" s="572">
        <v>12</v>
      </c>
      <c r="J37" s="572" t="s">
        <v>231</v>
      </c>
      <c r="K37" s="194">
        <v>3003771604</v>
      </c>
      <c r="L37" s="194" t="s">
        <v>353</v>
      </c>
      <c r="M37" s="194"/>
      <c r="N37" s="195"/>
    </row>
    <row r="38" spans="1:14" ht="20.05" customHeight="1" x14ac:dyDescent="0.25">
      <c r="A38" s="1150"/>
      <c r="B38" s="193" t="s">
        <v>165</v>
      </c>
      <c r="C38" s="193" t="s">
        <v>166</v>
      </c>
      <c r="D38" s="196"/>
      <c r="E38" s="859" t="s">
        <v>715</v>
      </c>
      <c r="F38" s="570">
        <v>43502</v>
      </c>
      <c r="G38" s="570">
        <v>43524</v>
      </c>
      <c r="H38" s="577" t="s">
        <v>33</v>
      </c>
      <c r="I38" s="572">
        <v>12</v>
      </c>
      <c r="J38" s="572" t="s">
        <v>4</v>
      </c>
      <c r="K38" s="194">
        <v>3116890608</v>
      </c>
      <c r="L38" s="194" t="s">
        <v>351</v>
      </c>
      <c r="M38" s="194"/>
      <c r="N38" s="195"/>
    </row>
    <row r="39" spans="1:14" ht="20.05" customHeight="1" x14ac:dyDescent="0.25">
      <c r="A39" s="1150"/>
      <c r="B39" s="812" t="s">
        <v>1406</v>
      </c>
      <c r="C39" s="812" t="s">
        <v>1407</v>
      </c>
      <c r="D39" s="868"/>
      <c r="E39" s="852" t="s">
        <v>652</v>
      </c>
      <c r="F39" s="570">
        <v>43516</v>
      </c>
      <c r="G39" s="570">
        <v>43524</v>
      </c>
      <c r="H39" s="577" t="s">
        <v>33</v>
      </c>
      <c r="I39" s="775">
        <v>12</v>
      </c>
      <c r="J39" s="775" t="s">
        <v>4</v>
      </c>
      <c r="K39" s="200" t="s">
        <v>1408</v>
      </c>
      <c r="L39" s="777" t="s">
        <v>1409</v>
      </c>
      <c r="M39" s="777"/>
      <c r="N39" s="195"/>
    </row>
    <row r="40" spans="1:14" ht="20.05" customHeight="1" x14ac:dyDescent="0.25">
      <c r="A40" s="1150"/>
      <c r="B40" s="515" t="s">
        <v>167</v>
      </c>
      <c r="C40" s="515" t="s">
        <v>168</v>
      </c>
      <c r="D40" s="852"/>
      <c r="E40" s="852" t="s">
        <v>593</v>
      </c>
      <c r="F40" s="570">
        <v>43502</v>
      </c>
      <c r="G40" s="570">
        <v>43524</v>
      </c>
      <c r="H40" s="577" t="s">
        <v>33</v>
      </c>
      <c r="I40" s="572">
        <v>12</v>
      </c>
      <c r="J40" s="572" t="s">
        <v>4</v>
      </c>
      <c r="K40" s="359"/>
      <c r="L40" s="359"/>
      <c r="M40" s="200"/>
      <c r="N40" s="195"/>
    </row>
    <row r="41" spans="1:14" ht="20.05" customHeight="1" x14ac:dyDescent="0.25">
      <c r="A41" s="1150"/>
      <c r="B41" s="193" t="s">
        <v>169</v>
      </c>
      <c r="C41" s="193" t="s">
        <v>170</v>
      </c>
      <c r="D41" s="196"/>
      <c r="E41" s="859" t="s">
        <v>646</v>
      </c>
      <c r="F41" s="570">
        <v>43502</v>
      </c>
      <c r="G41" s="570">
        <v>43524</v>
      </c>
      <c r="H41" s="577" t="s">
        <v>33</v>
      </c>
      <c r="I41" s="572">
        <v>12</v>
      </c>
      <c r="J41" s="572" t="s">
        <v>4</v>
      </c>
      <c r="K41" s="194">
        <v>3146122794</v>
      </c>
      <c r="L41" s="194" t="s">
        <v>352</v>
      </c>
      <c r="M41" s="194"/>
      <c r="N41" s="195"/>
    </row>
    <row r="42" spans="1:14" ht="20.05" customHeight="1" x14ac:dyDescent="0.25">
      <c r="A42" s="1150"/>
      <c r="B42" s="1112" t="s">
        <v>171</v>
      </c>
      <c r="C42" s="1112" t="s">
        <v>172</v>
      </c>
      <c r="D42" s="852"/>
      <c r="E42" s="1112" t="s">
        <v>601</v>
      </c>
      <c r="F42" s="1134">
        <v>43502</v>
      </c>
      <c r="G42" s="1134">
        <v>43524</v>
      </c>
      <c r="H42" s="1152" t="s">
        <v>66</v>
      </c>
      <c r="I42" s="572">
        <v>20</v>
      </c>
      <c r="J42" s="572" t="s">
        <v>5</v>
      </c>
      <c r="K42" s="1112" t="s">
        <v>344</v>
      </c>
      <c r="L42" s="1112" t="s">
        <v>345</v>
      </c>
      <c r="M42" s="194"/>
      <c r="N42" s="195"/>
    </row>
    <row r="43" spans="1:14" ht="20.05" customHeight="1" x14ac:dyDescent="0.25">
      <c r="A43" s="1150"/>
      <c r="B43" s="1116"/>
      <c r="C43" s="1116"/>
      <c r="D43" s="853"/>
      <c r="E43" s="1116"/>
      <c r="F43" s="1139"/>
      <c r="G43" s="1139"/>
      <c r="H43" s="1153"/>
      <c r="I43" s="572">
        <v>20</v>
      </c>
      <c r="J43" s="572" t="s">
        <v>231</v>
      </c>
      <c r="K43" s="1116"/>
      <c r="L43" s="1116"/>
      <c r="M43" s="194"/>
      <c r="N43" s="195"/>
    </row>
    <row r="44" spans="1:14" ht="20.05" customHeight="1" x14ac:dyDescent="0.25">
      <c r="A44" s="1150"/>
      <c r="B44" s="1113"/>
      <c r="C44" s="1113"/>
      <c r="D44" s="854"/>
      <c r="E44" s="1113"/>
      <c r="F44" s="1135"/>
      <c r="G44" s="1135"/>
      <c r="H44" s="1153"/>
      <c r="I44" s="572">
        <v>20</v>
      </c>
      <c r="J44" s="572" t="s">
        <v>4</v>
      </c>
      <c r="K44" s="1113"/>
      <c r="L44" s="1113"/>
      <c r="M44" s="194"/>
      <c r="N44" s="195"/>
    </row>
    <row r="45" spans="1:14" ht="20.05" customHeight="1" x14ac:dyDescent="0.25">
      <c r="A45" s="1150"/>
      <c r="B45" s="1132" t="s">
        <v>173</v>
      </c>
      <c r="C45" s="1132" t="s">
        <v>174</v>
      </c>
      <c r="D45" s="852"/>
      <c r="E45" s="1112" t="s">
        <v>593</v>
      </c>
      <c r="F45" s="570">
        <v>43502</v>
      </c>
      <c r="G45" s="570">
        <v>43524</v>
      </c>
      <c r="H45" s="577" t="s">
        <v>33</v>
      </c>
      <c r="I45" s="572">
        <v>12</v>
      </c>
      <c r="J45" s="572" t="s">
        <v>4</v>
      </c>
      <c r="K45" s="1112">
        <v>3114319257</v>
      </c>
      <c r="L45" s="1112" t="s">
        <v>259</v>
      </c>
      <c r="M45" s="194"/>
      <c r="N45" s="195"/>
    </row>
    <row r="46" spans="1:14" ht="20.05" customHeight="1" x14ac:dyDescent="0.25">
      <c r="A46" s="1150"/>
      <c r="B46" s="1132"/>
      <c r="C46" s="1132"/>
      <c r="D46" s="853"/>
      <c r="E46" s="1116"/>
      <c r="F46" s="1123"/>
      <c r="G46" s="1123"/>
      <c r="H46" s="1125"/>
      <c r="I46" s="497"/>
      <c r="J46" s="497"/>
      <c r="K46" s="1116"/>
      <c r="L46" s="1116"/>
      <c r="M46" s="329"/>
      <c r="N46" s="195"/>
    </row>
    <row r="47" spans="1:14" ht="20.05" customHeight="1" x14ac:dyDescent="0.25">
      <c r="A47" s="1150"/>
      <c r="B47" s="1132"/>
      <c r="C47" s="1132"/>
      <c r="D47" s="854"/>
      <c r="E47" s="1113"/>
      <c r="F47" s="1124"/>
      <c r="G47" s="1124"/>
      <c r="H47" s="1126"/>
      <c r="I47" s="497"/>
      <c r="J47" s="497"/>
      <c r="K47" s="1113"/>
      <c r="L47" s="1113"/>
      <c r="M47" s="194"/>
      <c r="N47" s="195"/>
    </row>
    <row r="48" spans="1:14" ht="20.05" customHeight="1" x14ac:dyDescent="0.25">
      <c r="A48" s="1150"/>
      <c r="B48" s="1112" t="s">
        <v>175</v>
      </c>
      <c r="C48" s="1112" t="s">
        <v>176</v>
      </c>
      <c r="D48" s="852"/>
      <c r="E48" s="1112" t="s">
        <v>605</v>
      </c>
      <c r="F48" s="537">
        <v>43468</v>
      </c>
      <c r="G48" s="537">
        <v>43495</v>
      </c>
      <c r="H48" s="538" t="s">
        <v>33</v>
      </c>
      <c r="I48" s="270">
        <v>12</v>
      </c>
      <c r="J48" s="270" t="s">
        <v>4</v>
      </c>
      <c r="K48" s="1112">
        <v>7889843</v>
      </c>
      <c r="L48" s="1112" t="s">
        <v>241</v>
      </c>
      <c r="M48" s="887" t="s">
        <v>1316</v>
      </c>
      <c r="N48" s="195"/>
    </row>
    <row r="49" spans="1:14" ht="20.05" customHeight="1" x14ac:dyDescent="0.25">
      <c r="A49" s="1150"/>
      <c r="B49" s="1116"/>
      <c r="C49" s="1116"/>
      <c r="D49" s="853"/>
      <c r="E49" s="1116"/>
      <c r="F49" s="1127">
        <v>43473</v>
      </c>
      <c r="G49" s="1127">
        <v>43495</v>
      </c>
      <c r="H49" s="1129" t="s">
        <v>900</v>
      </c>
      <c r="I49" s="270">
        <v>20</v>
      </c>
      <c r="J49" s="270" t="s">
        <v>231</v>
      </c>
      <c r="K49" s="1116"/>
      <c r="L49" s="1116"/>
      <c r="M49" s="971"/>
      <c r="N49" s="195"/>
    </row>
    <row r="50" spans="1:14" ht="20.05" customHeight="1" x14ac:dyDescent="0.25">
      <c r="A50" s="1150"/>
      <c r="B50" s="1113"/>
      <c r="C50" s="1113"/>
      <c r="D50" s="854"/>
      <c r="E50" s="1113"/>
      <c r="F50" s="1162"/>
      <c r="G50" s="1162"/>
      <c r="H50" s="1131"/>
      <c r="I50" s="270">
        <v>16</v>
      </c>
      <c r="J50" s="270" t="s">
        <v>8</v>
      </c>
      <c r="K50" s="1113"/>
      <c r="L50" s="1113"/>
      <c r="M50" s="888"/>
      <c r="N50" s="195"/>
    </row>
    <row r="51" spans="1:14" ht="20.05" customHeight="1" x14ac:dyDescent="0.25">
      <c r="A51" s="1150"/>
      <c r="B51" s="1114" t="s">
        <v>833</v>
      </c>
      <c r="C51" s="1114" t="s">
        <v>834</v>
      </c>
      <c r="D51" s="855"/>
      <c r="E51" s="1114" t="s">
        <v>602</v>
      </c>
      <c r="F51" s="535">
        <v>43476</v>
      </c>
      <c r="G51" s="535">
        <v>43495</v>
      </c>
      <c r="H51" s="536" t="s">
        <v>33</v>
      </c>
      <c r="I51" s="508">
        <v>12</v>
      </c>
      <c r="J51" s="270" t="s">
        <v>4</v>
      </c>
      <c r="K51" s="206">
        <v>3108559486</v>
      </c>
      <c r="L51" s="206" t="s">
        <v>835</v>
      </c>
      <c r="M51" s="207" t="s">
        <v>1244</v>
      </c>
      <c r="N51" s="195"/>
    </row>
    <row r="52" spans="1:14" ht="20.05" customHeight="1" x14ac:dyDescent="0.25">
      <c r="A52" s="1150"/>
      <c r="B52" s="1115"/>
      <c r="C52" s="1115"/>
      <c r="D52" s="856"/>
      <c r="E52" s="1115"/>
      <c r="F52" s="517"/>
      <c r="G52" s="517"/>
      <c r="H52" s="498"/>
      <c r="I52" s="497"/>
      <c r="J52" s="497"/>
      <c r="K52" s="270"/>
      <c r="L52" s="270"/>
      <c r="M52" s="207"/>
      <c r="N52" s="195"/>
    </row>
    <row r="53" spans="1:14" ht="20.05" customHeight="1" x14ac:dyDescent="0.25">
      <c r="A53" s="1150"/>
      <c r="B53" s="1132" t="s">
        <v>179</v>
      </c>
      <c r="C53" s="1132" t="s">
        <v>180</v>
      </c>
      <c r="D53" s="852"/>
      <c r="E53" s="1112" t="s">
        <v>593</v>
      </c>
      <c r="F53" s="1127">
        <v>43473</v>
      </c>
      <c r="G53" s="1127">
        <v>43495</v>
      </c>
      <c r="H53" s="1129" t="s">
        <v>900</v>
      </c>
      <c r="I53" s="270">
        <v>20</v>
      </c>
      <c r="J53" s="270" t="s">
        <v>231</v>
      </c>
      <c r="K53" s="1112">
        <v>7889843</v>
      </c>
      <c r="L53" s="1112" t="s">
        <v>241</v>
      </c>
      <c r="M53" s="1120" t="s">
        <v>1256</v>
      </c>
      <c r="N53" s="195"/>
    </row>
    <row r="54" spans="1:14" ht="20.05" customHeight="1" x14ac:dyDescent="0.25">
      <c r="A54" s="1150"/>
      <c r="B54" s="1132"/>
      <c r="C54" s="1132"/>
      <c r="D54" s="853"/>
      <c r="E54" s="1116"/>
      <c r="F54" s="1128"/>
      <c r="G54" s="1128"/>
      <c r="H54" s="1130"/>
      <c r="I54" s="270">
        <v>20</v>
      </c>
      <c r="J54" s="270" t="s">
        <v>8</v>
      </c>
      <c r="K54" s="1116"/>
      <c r="L54" s="1116"/>
      <c r="M54" s="1121"/>
      <c r="N54" s="195"/>
    </row>
    <row r="55" spans="1:14" ht="20.05" customHeight="1" x14ac:dyDescent="0.25">
      <c r="A55" s="1150"/>
      <c r="B55" s="1132"/>
      <c r="C55" s="1132"/>
      <c r="D55" s="853"/>
      <c r="E55" s="1116"/>
      <c r="F55" s="1128"/>
      <c r="G55" s="1128"/>
      <c r="H55" s="1131"/>
      <c r="I55" s="270">
        <v>8</v>
      </c>
      <c r="J55" s="270" t="s">
        <v>4</v>
      </c>
      <c r="K55" s="1116"/>
      <c r="L55" s="1116"/>
      <c r="M55" s="1121"/>
      <c r="N55" s="195"/>
    </row>
    <row r="56" spans="1:14" ht="20.05" customHeight="1" x14ac:dyDescent="0.25">
      <c r="A56" s="1150"/>
      <c r="B56" s="1132"/>
      <c r="C56" s="1132"/>
      <c r="D56" s="854"/>
      <c r="E56" s="1113"/>
      <c r="F56" s="537">
        <v>43468</v>
      </c>
      <c r="G56" s="537">
        <v>43495</v>
      </c>
      <c r="H56" s="538" t="s">
        <v>33</v>
      </c>
      <c r="I56" s="270">
        <v>12</v>
      </c>
      <c r="J56" s="270" t="s">
        <v>4</v>
      </c>
      <c r="K56" s="1116"/>
      <c r="L56" s="1116"/>
      <c r="M56" s="1122"/>
      <c r="N56" s="195"/>
    </row>
    <row r="57" spans="1:14" ht="20.05" customHeight="1" x14ac:dyDescent="0.25">
      <c r="A57" s="1150"/>
      <c r="B57" s="1132" t="s">
        <v>181</v>
      </c>
      <c r="C57" s="1132" t="s">
        <v>182</v>
      </c>
      <c r="D57" s="859"/>
      <c r="E57" s="1119" t="s">
        <v>652</v>
      </c>
      <c r="F57" s="1166"/>
      <c r="G57" s="1166"/>
      <c r="H57" s="1165"/>
      <c r="I57" s="516"/>
      <c r="J57" s="516"/>
      <c r="K57" s="1119">
        <v>3182385017</v>
      </c>
      <c r="L57" s="1119" t="s">
        <v>330</v>
      </c>
      <c r="M57" s="363"/>
      <c r="N57" s="363"/>
    </row>
    <row r="58" spans="1:14" ht="20.05" customHeight="1" x14ac:dyDescent="0.25">
      <c r="A58" s="1150"/>
      <c r="B58" s="1132"/>
      <c r="C58" s="1132"/>
      <c r="D58" s="859"/>
      <c r="E58" s="1119"/>
      <c r="F58" s="1166"/>
      <c r="G58" s="1166"/>
      <c r="H58" s="1165"/>
      <c r="I58" s="516"/>
      <c r="J58" s="516"/>
      <c r="K58" s="1119"/>
      <c r="L58" s="1119"/>
      <c r="M58" s="363"/>
      <c r="N58" s="363"/>
    </row>
    <row r="59" spans="1:14" ht="20.05" customHeight="1" x14ac:dyDescent="0.25">
      <c r="A59" s="1150"/>
      <c r="B59" s="1132"/>
      <c r="C59" s="1132"/>
      <c r="D59" s="859"/>
      <c r="E59" s="1119"/>
      <c r="F59" s="1166"/>
      <c r="G59" s="1166"/>
      <c r="H59" s="1165"/>
      <c r="I59" s="516"/>
      <c r="J59" s="516"/>
      <c r="K59" s="1119"/>
      <c r="L59" s="1119"/>
      <c r="M59" s="363"/>
      <c r="N59" s="363"/>
    </row>
    <row r="60" spans="1:14" ht="20.05" customHeight="1" x14ac:dyDescent="0.25">
      <c r="A60" s="1150"/>
      <c r="B60" s="193" t="s">
        <v>183</v>
      </c>
      <c r="C60" s="193" t="s">
        <v>184</v>
      </c>
      <c r="D60" s="196"/>
      <c r="E60" s="859" t="s">
        <v>611</v>
      </c>
      <c r="F60" s="570">
        <v>43502</v>
      </c>
      <c r="G60" s="570">
        <v>43524</v>
      </c>
      <c r="H60" s="577" t="s">
        <v>33</v>
      </c>
      <c r="I60" s="572">
        <v>12</v>
      </c>
      <c r="J60" s="572" t="s">
        <v>4</v>
      </c>
      <c r="K60" s="194">
        <v>3045433157</v>
      </c>
      <c r="L60" s="194" t="s">
        <v>338</v>
      </c>
      <c r="M60" s="194"/>
      <c r="N60" s="195"/>
    </row>
    <row r="61" spans="1:14" s="2" customFormat="1" ht="20.25" customHeight="1" x14ac:dyDescent="0.25">
      <c r="A61" s="1150"/>
      <c r="B61" s="197" t="s">
        <v>573</v>
      </c>
      <c r="C61" s="197" t="s">
        <v>574</v>
      </c>
      <c r="D61" s="852"/>
      <c r="E61" s="852"/>
      <c r="F61" s="518"/>
      <c r="G61" s="518"/>
      <c r="H61" s="271"/>
      <c r="I61" s="497"/>
      <c r="J61" s="497"/>
      <c r="K61" s="197">
        <v>3116479465</v>
      </c>
      <c r="L61" s="197"/>
      <c r="M61" s="202"/>
      <c r="N61" s="194"/>
    </row>
    <row r="62" spans="1:14" s="2" customFormat="1" ht="20.25" customHeight="1" x14ac:dyDescent="0.25">
      <c r="A62" s="1150"/>
      <c r="B62" s="655" t="s">
        <v>1300</v>
      </c>
      <c r="C62" s="655" t="s">
        <v>1301</v>
      </c>
      <c r="D62" s="852"/>
      <c r="E62" s="852"/>
      <c r="F62" s="570">
        <v>43507</v>
      </c>
      <c r="G62" s="570">
        <v>43524</v>
      </c>
      <c r="H62" s="577" t="s">
        <v>33</v>
      </c>
      <c r="I62" s="654">
        <v>12</v>
      </c>
      <c r="J62" s="654" t="s">
        <v>4</v>
      </c>
      <c r="K62" s="655">
        <v>3206897052</v>
      </c>
      <c r="L62" s="655" t="s">
        <v>1302</v>
      </c>
      <c r="M62" s="202"/>
      <c r="N62" s="656"/>
    </row>
    <row r="63" spans="1:14" ht="20.05" customHeight="1" x14ac:dyDescent="0.25">
      <c r="A63" s="1150"/>
      <c r="B63" s="845" t="s">
        <v>185</v>
      </c>
      <c r="C63" s="845" t="s">
        <v>186</v>
      </c>
      <c r="D63" s="870"/>
      <c r="E63" s="626" t="s">
        <v>605</v>
      </c>
      <c r="F63" s="716">
        <v>43502</v>
      </c>
      <c r="G63" s="716">
        <v>43524</v>
      </c>
      <c r="H63" s="667" t="s">
        <v>33</v>
      </c>
      <c r="I63" s="626">
        <v>12</v>
      </c>
      <c r="J63" s="626" t="s">
        <v>4</v>
      </c>
      <c r="K63" s="626">
        <v>3217725137</v>
      </c>
      <c r="L63" s="626" t="s">
        <v>322</v>
      </c>
      <c r="M63" s="1163" t="s">
        <v>1452</v>
      </c>
      <c r="N63" s="1164"/>
    </row>
    <row r="64" spans="1:14" ht="20.05" customHeight="1" x14ac:dyDescent="0.25">
      <c r="A64" s="1150"/>
      <c r="B64" s="193" t="s">
        <v>1413</v>
      </c>
      <c r="C64" s="193" t="s">
        <v>1414</v>
      </c>
      <c r="D64" s="196"/>
      <c r="E64" s="859" t="s">
        <v>1415</v>
      </c>
      <c r="F64" s="570">
        <v>43516</v>
      </c>
      <c r="G64" s="570">
        <v>43524</v>
      </c>
      <c r="H64" s="571" t="s">
        <v>33</v>
      </c>
      <c r="I64" s="775">
        <v>12</v>
      </c>
      <c r="J64" s="775" t="s">
        <v>4</v>
      </c>
      <c r="K64" s="202" t="s">
        <v>1416</v>
      </c>
      <c r="L64" s="200" t="s">
        <v>1417</v>
      </c>
      <c r="M64" s="777"/>
      <c r="N64" s="195"/>
    </row>
    <row r="65" spans="1:14" ht="20.05" customHeight="1" x14ac:dyDescent="0.25">
      <c r="A65" s="1150"/>
      <c r="B65" s="193" t="s">
        <v>1410</v>
      </c>
      <c r="C65" s="193" t="s">
        <v>1411</v>
      </c>
      <c r="D65" s="196"/>
      <c r="E65" s="859" t="s">
        <v>642</v>
      </c>
      <c r="F65" s="570">
        <v>43516</v>
      </c>
      <c r="G65" s="570">
        <v>43524</v>
      </c>
      <c r="H65" s="571" t="s">
        <v>33</v>
      </c>
      <c r="I65" s="775">
        <v>12</v>
      </c>
      <c r="J65" s="775" t="s">
        <v>4</v>
      </c>
      <c r="K65" s="777">
        <v>3106825181</v>
      </c>
      <c r="L65" s="777" t="s">
        <v>1412</v>
      </c>
      <c r="M65" s="777"/>
      <c r="N65" s="195"/>
    </row>
    <row r="66" spans="1:14" ht="20.05" customHeight="1" x14ac:dyDescent="0.25">
      <c r="A66" s="1150"/>
      <c r="B66" s="193" t="s">
        <v>187</v>
      </c>
      <c r="C66" s="193" t="s">
        <v>683</v>
      </c>
      <c r="D66" s="196"/>
      <c r="E66" s="200" t="s">
        <v>648</v>
      </c>
      <c r="F66" s="570">
        <v>43502</v>
      </c>
      <c r="G66" s="570">
        <v>43524</v>
      </c>
      <c r="H66" s="577" t="s">
        <v>33</v>
      </c>
      <c r="I66" s="572">
        <v>12</v>
      </c>
      <c r="J66" s="572" t="s">
        <v>4</v>
      </c>
      <c r="K66" s="194">
        <v>3106417282</v>
      </c>
      <c r="L66" s="194" t="s">
        <v>354</v>
      </c>
      <c r="M66" s="194"/>
      <c r="N66" s="195"/>
    </row>
    <row r="67" spans="1:14" ht="20.05" customHeight="1" x14ac:dyDescent="0.25">
      <c r="A67" s="1150"/>
      <c r="B67" s="1112" t="s">
        <v>188</v>
      </c>
      <c r="C67" s="1112" t="s">
        <v>164</v>
      </c>
      <c r="D67" s="852"/>
      <c r="E67" s="1112" t="s">
        <v>644</v>
      </c>
      <c r="F67" s="570">
        <v>43502</v>
      </c>
      <c r="G67" s="570">
        <v>43524</v>
      </c>
      <c r="H67" s="577" t="s">
        <v>33</v>
      </c>
      <c r="I67" s="572">
        <v>12</v>
      </c>
      <c r="J67" s="572" t="s">
        <v>4</v>
      </c>
      <c r="K67" s="1112">
        <v>3114282072</v>
      </c>
      <c r="L67" s="1112" t="s">
        <v>342</v>
      </c>
      <c r="M67" s="194"/>
      <c r="N67" s="195"/>
    </row>
    <row r="68" spans="1:14" ht="20.05" customHeight="1" x14ac:dyDescent="0.25">
      <c r="A68" s="1150"/>
      <c r="B68" s="1116"/>
      <c r="C68" s="1116"/>
      <c r="D68" s="853"/>
      <c r="E68" s="1116"/>
      <c r="F68" s="1123"/>
      <c r="G68" s="1123"/>
      <c r="H68" s="1125"/>
      <c r="I68" s="497"/>
      <c r="J68" s="497"/>
      <c r="K68" s="1116"/>
      <c r="L68" s="1116"/>
      <c r="M68" s="194"/>
      <c r="N68" s="195"/>
    </row>
    <row r="69" spans="1:14" ht="20.05" customHeight="1" x14ac:dyDescent="0.25">
      <c r="A69" s="1150"/>
      <c r="B69" s="1113"/>
      <c r="C69" s="1113"/>
      <c r="D69" s="854"/>
      <c r="E69" s="1113"/>
      <c r="F69" s="1124"/>
      <c r="G69" s="1124"/>
      <c r="H69" s="1126"/>
      <c r="I69" s="497"/>
      <c r="J69" s="497"/>
      <c r="K69" s="1113"/>
      <c r="L69" s="1113"/>
      <c r="M69" s="194"/>
      <c r="N69" s="195"/>
    </row>
    <row r="70" spans="1:14" ht="20.05" customHeight="1" x14ac:dyDescent="0.25">
      <c r="A70" s="1150"/>
      <c r="B70" s="193" t="s">
        <v>189</v>
      </c>
      <c r="C70" s="193" t="s">
        <v>190</v>
      </c>
      <c r="D70" s="196"/>
      <c r="E70" s="859" t="s">
        <v>605</v>
      </c>
      <c r="F70" s="570">
        <v>43502</v>
      </c>
      <c r="G70" s="570">
        <v>43524</v>
      </c>
      <c r="H70" s="577" t="s">
        <v>33</v>
      </c>
      <c r="I70" s="572">
        <v>12</v>
      </c>
      <c r="J70" s="572" t="s">
        <v>4</v>
      </c>
      <c r="K70" s="194">
        <v>3145979513</v>
      </c>
      <c r="L70" s="194" t="s">
        <v>326</v>
      </c>
      <c r="M70" s="194"/>
      <c r="N70" s="195"/>
    </row>
    <row r="71" spans="1:14" ht="20.05" customHeight="1" x14ac:dyDescent="0.25">
      <c r="A71" s="1150"/>
      <c r="B71" s="1112" t="s">
        <v>191</v>
      </c>
      <c r="C71" s="1112" t="s">
        <v>192</v>
      </c>
      <c r="D71" s="852"/>
      <c r="E71" s="1112" t="s">
        <v>640</v>
      </c>
      <c r="F71" s="570">
        <v>43502</v>
      </c>
      <c r="G71" s="570">
        <v>43524</v>
      </c>
      <c r="H71" s="577" t="s">
        <v>33</v>
      </c>
      <c r="I71" s="572">
        <v>12</v>
      </c>
      <c r="J71" s="572" t="s">
        <v>4</v>
      </c>
      <c r="K71" s="194"/>
      <c r="L71" s="194"/>
      <c r="M71" s="194"/>
      <c r="N71" s="195"/>
    </row>
    <row r="72" spans="1:14" ht="20.05" customHeight="1" x14ac:dyDescent="0.25">
      <c r="A72" s="1150"/>
      <c r="B72" s="1133"/>
      <c r="C72" s="1133"/>
      <c r="D72" s="854"/>
      <c r="E72" s="1113"/>
      <c r="F72" s="518"/>
      <c r="G72" s="518"/>
      <c r="H72" s="271"/>
      <c r="I72" s="497"/>
      <c r="J72" s="497"/>
      <c r="K72" s="194" t="s">
        <v>346</v>
      </c>
      <c r="L72" s="194" t="s">
        <v>347</v>
      </c>
      <c r="M72" s="194"/>
      <c r="N72" s="195"/>
    </row>
    <row r="73" spans="1:14" ht="20.05" customHeight="1" x14ac:dyDescent="0.25">
      <c r="A73" s="1150"/>
      <c r="B73" s="1138" t="s">
        <v>193</v>
      </c>
      <c r="C73" s="1138" t="s">
        <v>194</v>
      </c>
      <c r="D73" s="852"/>
      <c r="E73" s="1112" t="s">
        <v>605</v>
      </c>
      <c r="F73" s="1123"/>
      <c r="G73" s="1123"/>
      <c r="H73" s="1160"/>
      <c r="I73" s="497"/>
      <c r="J73" s="497"/>
      <c r="K73" s="1112" t="s">
        <v>336</v>
      </c>
      <c r="L73" s="1112" t="s">
        <v>337</v>
      </c>
      <c r="M73" s="1117"/>
      <c r="N73" s="195"/>
    </row>
    <row r="74" spans="1:14" ht="20.05" customHeight="1" x14ac:dyDescent="0.25">
      <c r="A74" s="1150"/>
      <c r="B74" s="1133"/>
      <c r="C74" s="1133"/>
      <c r="D74" s="854"/>
      <c r="E74" s="1113"/>
      <c r="F74" s="1124"/>
      <c r="G74" s="1124"/>
      <c r="H74" s="1161"/>
      <c r="I74" s="497"/>
      <c r="J74" s="497"/>
      <c r="K74" s="1113"/>
      <c r="L74" s="1113"/>
      <c r="M74" s="1118"/>
      <c r="N74" s="195"/>
    </row>
    <row r="75" spans="1:14" ht="20.05" customHeight="1" x14ac:dyDescent="0.25">
      <c r="A75" s="1150"/>
      <c r="B75" s="1112" t="s">
        <v>195</v>
      </c>
      <c r="C75" s="1112" t="s">
        <v>196</v>
      </c>
      <c r="D75" s="852"/>
      <c r="E75" s="1112" t="s">
        <v>602</v>
      </c>
      <c r="F75" s="570">
        <v>43502</v>
      </c>
      <c r="G75" s="570">
        <v>43524</v>
      </c>
      <c r="H75" s="577" t="s">
        <v>33</v>
      </c>
      <c r="I75" s="572">
        <v>12</v>
      </c>
      <c r="J75" s="572" t="s">
        <v>4</v>
      </c>
      <c r="K75" s="1112">
        <v>3107086059</v>
      </c>
      <c r="L75" s="1112" t="s">
        <v>568</v>
      </c>
      <c r="M75" s="194"/>
      <c r="N75" s="195"/>
    </row>
    <row r="76" spans="1:14" ht="20.05" customHeight="1" x14ac:dyDescent="0.25">
      <c r="A76" s="1150"/>
      <c r="B76" s="1133"/>
      <c r="C76" s="1133"/>
      <c r="D76" s="854"/>
      <c r="E76" s="1113"/>
      <c r="F76" s="518"/>
      <c r="G76" s="518"/>
      <c r="H76" s="271"/>
      <c r="I76" s="497"/>
      <c r="J76" s="497"/>
      <c r="K76" s="1113"/>
      <c r="L76" s="1113"/>
      <c r="M76" s="194"/>
      <c r="N76" s="195"/>
    </row>
    <row r="77" spans="1:14" ht="20.05" customHeight="1" x14ac:dyDescent="0.25">
      <c r="A77" s="1150"/>
      <c r="B77" s="1112" t="s">
        <v>197</v>
      </c>
      <c r="C77" s="1112" t="s">
        <v>198</v>
      </c>
      <c r="D77" s="852"/>
      <c r="E77" s="1112" t="s">
        <v>901</v>
      </c>
      <c r="F77" s="570">
        <v>43502</v>
      </c>
      <c r="G77" s="570">
        <v>43524</v>
      </c>
      <c r="H77" s="577" t="s">
        <v>900</v>
      </c>
      <c r="I77" s="572">
        <v>20</v>
      </c>
      <c r="J77" s="572" t="s">
        <v>231</v>
      </c>
      <c r="K77" s="1112">
        <v>3132341618</v>
      </c>
      <c r="L77" s="1112" t="s">
        <v>332</v>
      </c>
      <c r="M77" s="194"/>
      <c r="N77" s="195"/>
    </row>
    <row r="78" spans="1:14" ht="20.05" customHeight="1" x14ac:dyDescent="0.25">
      <c r="A78" s="1150"/>
      <c r="B78" s="1113"/>
      <c r="C78" s="1113"/>
      <c r="D78" s="854"/>
      <c r="E78" s="1113"/>
      <c r="F78" s="570">
        <v>43502</v>
      </c>
      <c r="G78" s="570">
        <v>43524</v>
      </c>
      <c r="H78" s="577" t="s">
        <v>33</v>
      </c>
      <c r="I78" s="572">
        <v>12</v>
      </c>
      <c r="J78" s="572" t="s">
        <v>4</v>
      </c>
      <c r="K78" s="1113"/>
      <c r="L78" s="1113"/>
      <c r="M78" s="194"/>
      <c r="N78" s="195"/>
    </row>
    <row r="79" spans="1:14" ht="20.05" customHeight="1" x14ac:dyDescent="0.25">
      <c r="A79" s="1150"/>
      <c r="B79" s="193" t="s">
        <v>684</v>
      </c>
      <c r="C79" s="193" t="s">
        <v>685</v>
      </c>
      <c r="D79" s="196"/>
      <c r="E79" s="859" t="s">
        <v>626</v>
      </c>
      <c r="F79" s="518"/>
      <c r="G79" s="518"/>
      <c r="H79" s="271"/>
      <c r="I79" s="497"/>
      <c r="J79" s="497"/>
      <c r="K79" s="194">
        <v>3217454995</v>
      </c>
      <c r="L79" s="194" t="s">
        <v>355</v>
      </c>
      <c r="M79" s="194"/>
      <c r="N79" s="195"/>
    </row>
    <row r="80" spans="1:14" ht="22.6" customHeight="1" x14ac:dyDescent="0.25">
      <c r="A80" s="1150"/>
      <c r="B80" s="193" t="s">
        <v>199</v>
      </c>
      <c r="C80" s="193" t="s">
        <v>200</v>
      </c>
      <c r="D80" s="196"/>
      <c r="E80" s="200" t="s">
        <v>1021</v>
      </c>
      <c r="F80" s="570">
        <v>43502</v>
      </c>
      <c r="G80" s="570">
        <v>43524</v>
      </c>
      <c r="H80" s="577" t="s">
        <v>33</v>
      </c>
      <c r="I80" s="572">
        <v>12</v>
      </c>
      <c r="J80" s="572" t="s">
        <v>4</v>
      </c>
      <c r="K80" s="194">
        <v>3116916694</v>
      </c>
      <c r="L80" s="194" t="s">
        <v>348</v>
      </c>
      <c r="M80" s="252"/>
      <c r="N80" s="195"/>
    </row>
    <row r="81" spans="1:14" ht="20.05" customHeight="1" x14ac:dyDescent="0.25">
      <c r="A81" s="1150"/>
      <c r="B81" s="1112" t="s">
        <v>201</v>
      </c>
      <c r="C81" s="1112" t="s">
        <v>202</v>
      </c>
      <c r="D81" s="852"/>
      <c r="E81" s="1112" t="s">
        <v>601</v>
      </c>
      <c r="F81" s="570">
        <v>43502</v>
      </c>
      <c r="G81" s="570">
        <v>43524</v>
      </c>
      <c r="H81" s="577" t="s">
        <v>33</v>
      </c>
      <c r="I81" s="572">
        <v>12</v>
      </c>
      <c r="J81" s="572" t="s">
        <v>4</v>
      </c>
      <c r="K81" s="1112" t="s">
        <v>699</v>
      </c>
      <c r="L81" s="1112" t="s">
        <v>244</v>
      </c>
      <c r="M81" s="1112"/>
      <c r="N81" s="305"/>
    </row>
    <row r="82" spans="1:14" ht="20.05" customHeight="1" x14ac:dyDescent="0.25">
      <c r="A82" s="1150"/>
      <c r="B82" s="1116"/>
      <c r="C82" s="1116"/>
      <c r="D82" s="853"/>
      <c r="E82" s="1116"/>
      <c r="F82" s="1134">
        <v>43502</v>
      </c>
      <c r="G82" s="1134">
        <v>43524</v>
      </c>
      <c r="H82" s="1136" t="s">
        <v>900</v>
      </c>
      <c r="I82" s="572">
        <v>8</v>
      </c>
      <c r="J82" s="572" t="s">
        <v>8</v>
      </c>
      <c r="K82" s="1116"/>
      <c r="L82" s="1116"/>
      <c r="M82" s="1116"/>
      <c r="N82" s="305"/>
    </row>
    <row r="83" spans="1:14" ht="20.05" customHeight="1" x14ac:dyDescent="0.25">
      <c r="A83" s="1150"/>
      <c r="B83" s="1116"/>
      <c r="C83" s="1116"/>
      <c r="D83" s="853"/>
      <c r="E83" s="1116"/>
      <c r="F83" s="1139"/>
      <c r="G83" s="1139"/>
      <c r="H83" s="1140"/>
      <c r="I83" s="572">
        <v>20</v>
      </c>
      <c r="J83" s="572" t="s">
        <v>231</v>
      </c>
      <c r="K83" s="1116"/>
      <c r="L83" s="1116"/>
      <c r="M83" s="1116"/>
      <c r="N83" s="305"/>
    </row>
    <row r="84" spans="1:14" ht="20.05" customHeight="1" x14ac:dyDescent="0.25">
      <c r="A84" s="1150"/>
      <c r="B84" s="1113"/>
      <c r="C84" s="1113"/>
      <c r="D84" s="854"/>
      <c r="E84" s="1113"/>
      <c r="F84" s="1135"/>
      <c r="G84" s="1135"/>
      <c r="H84" s="1137"/>
      <c r="I84" s="572">
        <v>8</v>
      </c>
      <c r="J84" s="572" t="s">
        <v>4</v>
      </c>
      <c r="K84" s="1113"/>
      <c r="L84" s="1113"/>
      <c r="M84" s="1113"/>
      <c r="N84" s="305"/>
    </row>
    <row r="85" spans="1:14" ht="20.05" customHeight="1" x14ac:dyDescent="0.25">
      <c r="A85" s="1150"/>
      <c r="B85" s="1112" t="s">
        <v>203</v>
      </c>
      <c r="C85" s="1112" t="s">
        <v>204</v>
      </c>
      <c r="D85" s="852"/>
      <c r="E85" s="1112" t="s">
        <v>593</v>
      </c>
      <c r="F85" s="570">
        <v>43502</v>
      </c>
      <c r="G85" s="570">
        <v>43524</v>
      </c>
      <c r="H85" s="577" t="s">
        <v>33</v>
      </c>
      <c r="I85" s="572">
        <v>12</v>
      </c>
      <c r="J85" s="572" t="s">
        <v>4</v>
      </c>
      <c r="K85" s="1112">
        <v>3145653404</v>
      </c>
      <c r="L85" s="1112" t="s">
        <v>339</v>
      </c>
      <c r="M85" s="199"/>
      <c r="N85" s="195"/>
    </row>
    <row r="86" spans="1:14" ht="20.05" customHeight="1" x14ac:dyDescent="0.25">
      <c r="A86" s="1150"/>
      <c r="B86" s="1116"/>
      <c r="C86" s="1116"/>
      <c r="D86" s="853"/>
      <c r="E86" s="1116"/>
      <c r="F86" s="1134">
        <v>43502</v>
      </c>
      <c r="G86" s="1134">
        <v>43524</v>
      </c>
      <c r="H86" s="1136" t="s">
        <v>900</v>
      </c>
      <c r="I86" s="572">
        <v>8</v>
      </c>
      <c r="J86" s="572" t="s">
        <v>231</v>
      </c>
      <c r="K86" s="1116"/>
      <c r="L86" s="1116"/>
      <c r="M86" s="199"/>
      <c r="N86" s="195"/>
    </row>
    <row r="87" spans="1:14" ht="20.05" customHeight="1" x14ac:dyDescent="0.25">
      <c r="A87" s="1150"/>
      <c r="B87" s="1113"/>
      <c r="C87" s="1113"/>
      <c r="D87" s="854"/>
      <c r="E87" s="1113"/>
      <c r="F87" s="1135"/>
      <c r="G87" s="1135"/>
      <c r="H87" s="1137"/>
      <c r="I87" s="572">
        <v>20</v>
      </c>
      <c r="J87" s="572" t="s">
        <v>8</v>
      </c>
      <c r="K87" s="1113"/>
      <c r="L87" s="1113"/>
      <c r="M87" s="194"/>
      <c r="N87" s="195"/>
    </row>
    <row r="88" spans="1:14" ht="20.05" customHeight="1" x14ac:dyDescent="0.25">
      <c r="A88" s="1150"/>
      <c r="B88" s="193" t="s">
        <v>205</v>
      </c>
      <c r="C88" s="193" t="s">
        <v>206</v>
      </c>
      <c r="D88" s="196"/>
      <c r="E88" s="859" t="s">
        <v>602</v>
      </c>
      <c r="F88" s="208"/>
      <c r="G88" s="208"/>
      <c r="H88" s="498"/>
      <c r="I88" s="497"/>
      <c r="J88" s="497"/>
      <c r="K88" s="194">
        <v>3108443930</v>
      </c>
      <c r="L88" s="194" t="s">
        <v>324</v>
      </c>
      <c r="M88" s="194"/>
      <c r="N88" s="195"/>
    </row>
    <row r="89" spans="1:14" ht="20.05" customHeight="1" x14ac:dyDescent="0.25">
      <c r="A89" s="1150"/>
      <c r="B89" s="193" t="s">
        <v>565</v>
      </c>
      <c r="C89" s="193" t="s">
        <v>566</v>
      </c>
      <c r="D89" s="196"/>
      <c r="E89" s="859" t="s">
        <v>605</v>
      </c>
      <c r="F89" s="570">
        <v>43502</v>
      </c>
      <c r="G89" s="570">
        <v>43524</v>
      </c>
      <c r="H89" s="577" t="s">
        <v>33</v>
      </c>
      <c r="I89" s="572">
        <v>12</v>
      </c>
      <c r="J89" s="572" t="s">
        <v>4</v>
      </c>
      <c r="K89" s="194">
        <v>3126464928</v>
      </c>
      <c r="L89" s="194" t="s">
        <v>567</v>
      </c>
      <c r="M89" s="194"/>
      <c r="N89" s="195"/>
    </row>
    <row r="90" spans="1:14" ht="20.05" customHeight="1" x14ac:dyDescent="0.25">
      <c r="A90" s="1150"/>
      <c r="B90" s="195" t="s">
        <v>207</v>
      </c>
      <c r="C90" s="193" t="s">
        <v>208</v>
      </c>
      <c r="D90" s="196"/>
      <c r="E90" s="859" t="s">
        <v>588</v>
      </c>
      <c r="F90" s="208"/>
      <c r="G90" s="208"/>
      <c r="H90" s="498"/>
      <c r="I90" s="497"/>
      <c r="J90" s="497"/>
      <c r="K90" s="194">
        <v>3105140952</v>
      </c>
      <c r="L90" s="194" t="s">
        <v>321</v>
      </c>
      <c r="M90" s="194"/>
      <c r="N90" s="195"/>
    </row>
    <row r="91" spans="1:14" ht="20.05" customHeight="1" x14ac:dyDescent="0.25">
      <c r="A91" s="1150"/>
      <c r="B91" s="1119" t="s">
        <v>209</v>
      </c>
      <c r="C91" s="1119" t="s">
        <v>210</v>
      </c>
      <c r="D91" s="852"/>
      <c r="E91" s="1112" t="s">
        <v>644</v>
      </c>
      <c r="F91" s="570">
        <v>43502</v>
      </c>
      <c r="G91" s="570">
        <v>43524</v>
      </c>
      <c r="H91" s="577" t="s">
        <v>900</v>
      </c>
      <c r="I91" s="572">
        <v>8</v>
      </c>
      <c r="J91" s="572" t="s">
        <v>231</v>
      </c>
      <c r="K91" s="1112" t="s">
        <v>328</v>
      </c>
      <c r="L91" s="1112" t="s">
        <v>329</v>
      </c>
      <c r="M91" s="194"/>
      <c r="N91" s="195"/>
    </row>
    <row r="92" spans="1:14" ht="20.05" customHeight="1" x14ac:dyDescent="0.25">
      <c r="A92" s="1150"/>
      <c r="B92" s="1119"/>
      <c r="C92" s="1119"/>
      <c r="D92" s="854"/>
      <c r="E92" s="1113"/>
      <c r="F92" s="570">
        <v>43502</v>
      </c>
      <c r="G92" s="570">
        <v>43524</v>
      </c>
      <c r="H92" s="577" t="s">
        <v>33</v>
      </c>
      <c r="I92" s="572">
        <v>12</v>
      </c>
      <c r="J92" s="572" t="s">
        <v>4</v>
      </c>
      <c r="K92" s="1116"/>
      <c r="L92" s="1116"/>
      <c r="M92" s="194"/>
      <c r="N92" s="195"/>
    </row>
    <row r="93" spans="1:14" ht="20.05" customHeight="1" x14ac:dyDescent="0.25">
      <c r="A93" s="1150"/>
      <c r="B93" s="1132"/>
      <c r="C93" s="1132"/>
      <c r="D93" s="859"/>
      <c r="E93" s="859"/>
      <c r="F93" s="209"/>
      <c r="G93" s="209"/>
      <c r="H93" s="271"/>
      <c r="I93" s="497"/>
      <c r="J93" s="497"/>
      <c r="K93" s="1113"/>
      <c r="L93" s="1113"/>
      <c r="M93" s="194"/>
      <c r="N93" s="195"/>
    </row>
    <row r="94" spans="1:14" ht="20.05" customHeight="1" x14ac:dyDescent="0.25">
      <c r="A94" s="1150"/>
      <c r="B94" s="196" t="s">
        <v>560</v>
      </c>
      <c r="C94" s="196" t="s">
        <v>561</v>
      </c>
      <c r="D94" s="196"/>
      <c r="E94" s="863" t="s">
        <v>649</v>
      </c>
      <c r="F94" s="208"/>
      <c r="G94" s="208"/>
      <c r="H94" s="498"/>
      <c r="I94" s="497"/>
      <c r="J94" s="497"/>
      <c r="K94" s="194">
        <v>7924056</v>
      </c>
      <c r="L94" s="194" t="s">
        <v>562</v>
      </c>
      <c r="M94" s="194"/>
      <c r="N94" s="195"/>
    </row>
    <row r="95" spans="1:14" ht="20.05" customHeight="1" x14ac:dyDescent="0.25">
      <c r="A95" s="1150"/>
      <c r="B95" s="1119" t="s">
        <v>581</v>
      </c>
      <c r="C95" s="1119" t="s">
        <v>582</v>
      </c>
      <c r="D95" s="859"/>
      <c r="E95" s="1119" t="s">
        <v>605</v>
      </c>
      <c r="F95" s="570">
        <v>43502</v>
      </c>
      <c r="G95" s="570">
        <v>43524</v>
      </c>
      <c r="H95" s="577" t="s">
        <v>33</v>
      </c>
      <c r="I95" s="572">
        <v>12</v>
      </c>
      <c r="J95" s="572" t="s">
        <v>4</v>
      </c>
      <c r="K95" s="1119">
        <v>3205407531</v>
      </c>
      <c r="L95" s="1119" t="s">
        <v>583</v>
      </c>
      <c r="M95" s="194"/>
      <c r="N95" s="195"/>
    </row>
    <row r="96" spans="1:14" ht="20.05" customHeight="1" x14ac:dyDescent="0.25">
      <c r="A96" s="1150"/>
      <c r="B96" s="1119"/>
      <c r="C96" s="1119"/>
      <c r="D96" s="859"/>
      <c r="E96" s="1119"/>
      <c r="F96" s="518"/>
      <c r="G96" s="518"/>
      <c r="H96" s="271"/>
      <c r="I96" s="497"/>
      <c r="J96" s="497"/>
      <c r="K96" s="1119"/>
      <c r="L96" s="1119"/>
      <c r="M96" s="194"/>
      <c r="N96" s="195"/>
    </row>
    <row r="97" spans="1:14" ht="20.05" customHeight="1" x14ac:dyDescent="0.25">
      <c r="A97" s="1150"/>
      <c r="B97" s="1132"/>
      <c r="C97" s="1132"/>
      <c r="D97" s="859"/>
      <c r="E97" s="1119"/>
      <c r="F97" s="208"/>
      <c r="G97" s="208"/>
      <c r="H97" s="498"/>
      <c r="I97" s="497"/>
      <c r="J97" s="497"/>
      <c r="K97" s="1119"/>
      <c r="L97" s="1119"/>
      <c r="M97" s="194"/>
      <c r="N97" s="195"/>
    </row>
    <row r="98" spans="1:14" ht="20.05" customHeight="1" x14ac:dyDescent="0.25">
      <c r="A98" s="1150"/>
      <c r="B98" s="311" t="s">
        <v>865</v>
      </c>
      <c r="C98" s="311" t="s">
        <v>866</v>
      </c>
      <c r="D98" s="859"/>
      <c r="E98" s="859" t="s">
        <v>867</v>
      </c>
      <c r="F98" s="208"/>
      <c r="G98" s="208"/>
      <c r="H98" s="498"/>
      <c r="I98" s="497"/>
      <c r="J98" s="497"/>
      <c r="K98" s="252">
        <v>3114233313</v>
      </c>
      <c r="L98" s="252" t="s">
        <v>868</v>
      </c>
      <c r="M98" s="194"/>
      <c r="N98" s="195"/>
    </row>
    <row r="99" spans="1:14" ht="20.05" customHeight="1" x14ac:dyDescent="0.25">
      <c r="A99" s="1150"/>
      <c r="B99" s="249" t="s">
        <v>869</v>
      </c>
      <c r="C99" s="249" t="s">
        <v>870</v>
      </c>
      <c r="D99" s="854"/>
      <c r="E99" s="854" t="s">
        <v>605</v>
      </c>
      <c r="F99" s="208"/>
      <c r="G99" s="208"/>
      <c r="H99" s="498"/>
      <c r="I99" s="497"/>
      <c r="J99" s="497"/>
      <c r="K99" s="199">
        <v>4599257</v>
      </c>
      <c r="L99" s="199" t="s">
        <v>331</v>
      </c>
      <c r="M99" s="194"/>
      <c r="N99" s="195"/>
    </row>
    <row r="100" spans="1:14" ht="20.05" customHeight="1" x14ac:dyDescent="0.25">
      <c r="A100" s="1150"/>
      <c r="B100" s="1112" t="s">
        <v>872</v>
      </c>
      <c r="C100" s="1125" t="s">
        <v>873</v>
      </c>
      <c r="D100" s="861"/>
      <c r="E100" s="1112" t="s">
        <v>874</v>
      </c>
      <c r="F100" s="1123"/>
      <c r="G100" s="1123"/>
      <c r="H100" s="1125"/>
      <c r="I100" s="497"/>
      <c r="J100" s="497"/>
      <c r="K100" s="358"/>
      <c r="L100" s="358"/>
      <c r="M100" s="359"/>
      <c r="N100" s="195"/>
    </row>
    <row r="101" spans="1:14" ht="20.05" customHeight="1" x14ac:dyDescent="0.25">
      <c r="A101" s="1150"/>
      <c r="B101" s="1113"/>
      <c r="C101" s="1126"/>
      <c r="D101" s="862"/>
      <c r="E101" s="1113"/>
      <c r="F101" s="1124"/>
      <c r="G101" s="1124"/>
      <c r="H101" s="1126"/>
      <c r="I101" s="497"/>
      <c r="J101" s="497"/>
      <c r="K101" s="657" t="s">
        <v>875</v>
      </c>
      <c r="L101" s="199" t="s">
        <v>876</v>
      </c>
      <c r="M101" s="194"/>
      <c r="N101" s="195"/>
    </row>
    <row r="102" spans="1:14" ht="20.05" customHeight="1" x14ac:dyDescent="0.25">
      <c r="A102" s="1150"/>
      <c r="B102" s="335" t="s">
        <v>1041</v>
      </c>
      <c r="C102" s="335" t="s">
        <v>1042</v>
      </c>
      <c r="D102" s="854"/>
      <c r="E102" s="854" t="s">
        <v>586</v>
      </c>
      <c r="F102" s="208"/>
      <c r="G102" s="208"/>
      <c r="H102" s="498"/>
      <c r="I102" s="497"/>
      <c r="J102" s="497"/>
      <c r="K102" s="657" t="s">
        <v>1303</v>
      </c>
      <c r="L102" s="333" t="s">
        <v>1043</v>
      </c>
      <c r="M102" s="334"/>
      <c r="N102" s="195"/>
    </row>
    <row r="103" spans="1:14" ht="20.05" customHeight="1" x14ac:dyDescent="0.25">
      <c r="A103" s="1150"/>
      <c r="B103" s="335" t="s">
        <v>1047</v>
      </c>
      <c r="C103" s="335" t="s">
        <v>1048</v>
      </c>
      <c r="D103" s="854"/>
      <c r="E103" s="854" t="s">
        <v>1049</v>
      </c>
      <c r="F103" s="208"/>
      <c r="G103" s="208"/>
      <c r="H103" s="498"/>
      <c r="I103" s="497"/>
      <c r="J103" s="497"/>
      <c r="K103" s="657">
        <v>3126460478</v>
      </c>
      <c r="L103" s="333" t="s">
        <v>1050</v>
      </c>
      <c r="M103" s="334"/>
      <c r="N103" s="195"/>
    </row>
    <row r="104" spans="1:14" ht="20.05" customHeight="1" x14ac:dyDescent="0.25">
      <c r="A104" s="1150"/>
      <c r="B104" s="345" t="s">
        <v>1071</v>
      </c>
      <c r="C104" s="345" t="s">
        <v>1072</v>
      </c>
      <c r="D104" s="854"/>
      <c r="E104" s="854" t="s">
        <v>605</v>
      </c>
      <c r="F104" s="208"/>
      <c r="G104" s="208"/>
      <c r="H104" s="498"/>
      <c r="I104" s="497"/>
      <c r="J104" s="497"/>
      <c r="K104" s="657">
        <v>7865974</v>
      </c>
      <c r="L104" s="343" t="s">
        <v>1073</v>
      </c>
      <c r="M104" s="344"/>
      <c r="N104" s="195"/>
    </row>
    <row r="105" spans="1:14" ht="20.05" customHeight="1" x14ac:dyDescent="0.25">
      <c r="A105" s="1150"/>
      <c r="B105" s="345" t="s">
        <v>1055</v>
      </c>
      <c r="C105" s="345" t="s">
        <v>1056</v>
      </c>
      <c r="D105" s="854"/>
      <c r="E105" s="854" t="s">
        <v>1057</v>
      </c>
      <c r="F105" s="208"/>
      <c r="G105" s="208"/>
      <c r="H105" s="498"/>
      <c r="I105" s="497"/>
      <c r="J105" s="497"/>
      <c r="K105" s="657">
        <v>3013716845</v>
      </c>
      <c r="L105" s="343" t="s">
        <v>1058</v>
      </c>
      <c r="M105" s="344"/>
      <c r="N105" s="195"/>
    </row>
    <row r="106" spans="1:14" ht="20.05" customHeight="1" x14ac:dyDescent="0.25">
      <c r="A106" s="1150"/>
      <c r="B106" s="335" t="s">
        <v>1044</v>
      </c>
      <c r="C106" s="814" t="s">
        <v>1045</v>
      </c>
      <c r="D106" s="859"/>
      <c r="E106" s="859" t="s">
        <v>885</v>
      </c>
      <c r="F106" s="208"/>
      <c r="G106" s="208"/>
      <c r="H106" s="498"/>
      <c r="I106" s="497"/>
      <c r="J106" s="497"/>
      <c r="K106" s="657">
        <v>3148856380</v>
      </c>
      <c r="L106" s="333" t="s">
        <v>1046</v>
      </c>
      <c r="M106" s="334"/>
      <c r="N106" s="195"/>
    </row>
    <row r="107" spans="1:14" ht="20.05" customHeight="1" x14ac:dyDescent="0.25">
      <c r="A107" s="1150"/>
      <c r="B107" s="259" t="s">
        <v>917</v>
      </c>
      <c r="C107" s="814" t="s">
        <v>918</v>
      </c>
      <c r="D107" s="859"/>
      <c r="E107" s="859" t="s">
        <v>586</v>
      </c>
      <c r="F107" s="208"/>
      <c r="G107" s="208"/>
      <c r="H107" s="498"/>
      <c r="I107" s="497"/>
      <c r="J107" s="497"/>
      <c r="K107" s="657"/>
      <c r="L107" s="258"/>
      <c r="M107" s="252"/>
      <c r="N107" s="195"/>
    </row>
    <row r="108" spans="1:14" ht="20.05" customHeight="1" x14ac:dyDescent="0.25">
      <c r="A108" s="1150"/>
      <c r="B108" s="813" t="s">
        <v>881</v>
      </c>
      <c r="C108" s="813" t="s">
        <v>882</v>
      </c>
      <c r="D108" s="859"/>
      <c r="E108" s="202" t="s">
        <v>883</v>
      </c>
      <c r="F108" s="208"/>
      <c r="G108" s="208"/>
      <c r="H108" s="498"/>
      <c r="I108" s="497"/>
      <c r="J108" s="497"/>
      <c r="K108" s="303" t="s">
        <v>988</v>
      </c>
      <c r="L108" s="199" t="s">
        <v>1085</v>
      </c>
      <c r="M108" s="200"/>
      <c r="N108" s="195"/>
    </row>
    <row r="109" spans="1:14" ht="20.05" customHeight="1" x14ac:dyDescent="0.25">
      <c r="A109" s="1150"/>
      <c r="B109" s="814" t="s">
        <v>887</v>
      </c>
      <c r="C109" s="814" t="s">
        <v>884</v>
      </c>
      <c r="D109" s="859"/>
      <c r="E109" s="271" t="s">
        <v>885</v>
      </c>
      <c r="F109" s="208"/>
      <c r="G109" s="208"/>
      <c r="H109" s="498"/>
      <c r="I109" s="497"/>
      <c r="J109" s="497"/>
      <c r="K109" s="201">
        <v>3157490621</v>
      </c>
      <c r="L109" s="199" t="s">
        <v>886</v>
      </c>
      <c r="M109" s="194"/>
      <c r="N109" s="195"/>
    </row>
    <row r="110" spans="1:14" ht="20.05" customHeight="1" x14ac:dyDescent="0.25">
      <c r="A110" s="1150"/>
      <c r="B110" s="249" t="s">
        <v>896</v>
      </c>
      <c r="C110" s="814" t="s">
        <v>897</v>
      </c>
      <c r="D110" s="859"/>
      <c r="E110" s="271" t="s">
        <v>898</v>
      </c>
      <c r="F110" s="208"/>
      <c r="G110" s="208"/>
      <c r="H110" s="498"/>
      <c r="I110" s="497"/>
      <c r="J110" s="497"/>
      <c r="K110" s="201">
        <v>3106164747</v>
      </c>
      <c r="L110" s="199" t="s">
        <v>899</v>
      </c>
      <c r="M110" s="194"/>
      <c r="N110" s="195"/>
    </row>
    <row r="111" spans="1:14" ht="20.05" customHeight="1" x14ac:dyDescent="0.25">
      <c r="A111" s="1150"/>
      <c r="B111" s="203" t="s">
        <v>839</v>
      </c>
      <c r="C111" s="814" t="s">
        <v>840</v>
      </c>
      <c r="D111" s="859"/>
      <c r="E111" s="859" t="s">
        <v>841</v>
      </c>
      <c r="F111" s="208"/>
      <c r="G111" s="208"/>
      <c r="H111" s="498"/>
      <c r="I111" s="497"/>
      <c r="J111" s="497"/>
      <c r="K111" s="194" t="s">
        <v>842</v>
      </c>
      <c r="L111" s="194" t="s">
        <v>843</v>
      </c>
      <c r="M111" s="202"/>
      <c r="N111" s="195"/>
    </row>
    <row r="112" spans="1:14" ht="20.05" customHeight="1" x14ac:dyDescent="0.25">
      <c r="A112" s="1150"/>
      <c r="B112" s="640" t="s">
        <v>1285</v>
      </c>
      <c r="C112" s="814" t="s">
        <v>1286</v>
      </c>
      <c r="D112" s="859"/>
      <c r="E112" s="859" t="s">
        <v>751</v>
      </c>
      <c r="F112" s="653">
        <v>43504</v>
      </c>
      <c r="G112" s="653">
        <v>43524</v>
      </c>
      <c r="H112" s="638" t="s">
        <v>33</v>
      </c>
      <c r="I112" s="637">
        <v>12</v>
      </c>
      <c r="J112" s="637" t="s">
        <v>4</v>
      </c>
      <c r="K112" s="639" t="s">
        <v>1287</v>
      </c>
      <c r="L112" s="639" t="s">
        <v>1288</v>
      </c>
      <c r="M112" s="202"/>
      <c r="N112" s="204"/>
    </row>
    <row r="113" spans="1:14" ht="20.05" customHeight="1" x14ac:dyDescent="0.25">
      <c r="A113" s="1150"/>
      <c r="B113" s="312" t="s">
        <v>1005</v>
      </c>
      <c r="C113" s="312" t="s">
        <v>1006</v>
      </c>
      <c r="D113" s="859"/>
      <c r="E113" s="859" t="s">
        <v>616</v>
      </c>
      <c r="F113" s="209"/>
      <c r="G113" s="209"/>
      <c r="H113" s="271"/>
      <c r="I113" s="497"/>
      <c r="J113" s="497"/>
      <c r="K113" s="313">
        <v>3116805172</v>
      </c>
      <c r="L113" s="313" t="s">
        <v>1037</v>
      </c>
      <c r="M113" s="202"/>
      <c r="N113" s="204"/>
    </row>
    <row r="114" spans="1:14" ht="20.05" customHeight="1" x14ac:dyDescent="0.25">
      <c r="A114" s="1150"/>
      <c r="B114" s="205" t="s">
        <v>816</v>
      </c>
      <c r="C114" s="205" t="s">
        <v>817</v>
      </c>
      <c r="D114" s="853"/>
      <c r="E114" s="853" t="s">
        <v>871</v>
      </c>
      <c r="F114" s="208"/>
      <c r="G114" s="208"/>
      <c r="H114" s="498"/>
      <c r="I114" s="497"/>
      <c r="J114" s="497"/>
      <c r="K114" s="198">
        <v>3126457569</v>
      </c>
      <c r="L114" s="198" t="s">
        <v>818</v>
      </c>
      <c r="M114" s="199"/>
      <c r="N114" s="204"/>
    </row>
    <row r="115" spans="1:14" ht="20.05" customHeight="1" x14ac:dyDescent="0.25">
      <c r="A115" s="1150"/>
      <c r="B115" s="1144" t="s">
        <v>153</v>
      </c>
      <c r="C115" s="1144" t="s">
        <v>103</v>
      </c>
      <c r="D115" s="864"/>
      <c r="E115" s="1144" t="s">
        <v>593</v>
      </c>
      <c r="F115" s="1145">
        <v>43476</v>
      </c>
      <c r="G115" s="1145">
        <v>43507</v>
      </c>
      <c r="H115" s="1147" t="s">
        <v>66</v>
      </c>
      <c r="I115" s="264"/>
      <c r="J115" s="264" t="s">
        <v>4</v>
      </c>
      <c r="K115" s="966" t="s">
        <v>585</v>
      </c>
      <c r="L115" s="966" t="s">
        <v>964</v>
      </c>
      <c r="M115" s="1155" t="s">
        <v>1214</v>
      </c>
      <c r="N115" s="1157" t="s">
        <v>1305</v>
      </c>
    </row>
    <row r="116" spans="1:14" ht="20.05" customHeight="1" x14ac:dyDescent="0.25">
      <c r="A116" s="1150"/>
      <c r="B116" s="1144"/>
      <c r="C116" s="1144"/>
      <c r="D116" s="864"/>
      <c r="E116" s="1144"/>
      <c r="F116" s="1146"/>
      <c r="G116" s="1146"/>
      <c r="H116" s="1148"/>
      <c r="I116" s="264"/>
      <c r="J116" s="264" t="s">
        <v>5</v>
      </c>
      <c r="K116" s="1158"/>
      <c r="L116" s="1158"/>
      <c r="M116" s="1156"/>
      <c r="N116" s="1157"/>
    </row>
    <row r="117" spans="1:14" s="2" customFormat="1" ht="22.6" customHeight="1" x14ac:dyDescent="0.25">
      <c r="A117" s="1150"/>
      <c r="B117" s="1112" t="s">
        <v>92</v>
      </c>
      <c r="C117" s="1112" t="s">
        <v>656</v>
      </c>
      <c r="D117" s="852"/>
      <c r="E117" s="1112"/>
      <c r="F117" s="1123"/>
      <c r="G117" s="1123"/>
      <c r="H117" s="1141"/>
      <c r="I117" s="516"/>
      <c r="J117" s="516"/>
      <c r="K117" s="1141" t="s">
        <v>657</v>
      </c>
      <c r="L117" s="1112" t="s">
        <v>658</v>
      </c>
      <c r="M117" s="1159"/>
      <c r="N117" s="322"/>
    </row>
    <row r="118" spans="1:14" s="2" customFormat="1" ht="22.6" customHeight="1" x14ac:dyDescent="0.25">
      <c r="A118" s="1150"/>
      <c r="B118" s="1116"/>
      <c r="C118" s="1116"/>
      <c r="D118" s="853"/>
      <c r="E118" s="1116"/>
      <c r="F118" s="1149"/>
      <c r="G118" s="1149"/>
      <c r="H118" s="1142"/>
      <c r="I118" s="516"/>
      <c r="J118" s="516"/>
      <c r="K118" s="1142"/>
      <c r="L118" s="1116"/>
      <c r="M118" s="1159"/>
      <c r="N118" s="323"/>
    </row>
    <row r="119" spans="1:14" s="2" customFormat="1" ht="22.6" customHeight="1" x14ac:dyDescent="0.25">
      <c r="A119" s="1150"/>
      <c r="B119" s="1133"/>
      <c r="C119" s="1133"/>
      <c r="D119" s="854"/>
      <c r="E119" s="1113"/>
      <c r="F119" s="1124"/>
      <c r="G119" s="1124"/>
      <c r="H119" s="1143"/>
      <c r="I119" s="516"/>
      <c r="J119" s="516"/>
      <c r="K119" s="1143"/>
      <c r="L119" s="1113"/>
      <c r="M119" s="1159"/>
      <c r="N119" s="324"/>
    </row>
    <row r="120" spans="1:14" s="2" customFormat="1" ht="22.6" customHeight="1" x14ac:dyDescent="0.25">
      <c r="A120" s="1150"/>
      <c r="B120" s="1112" t="s">
        <v>226</v>
      </c>
      <c r="C120" s="1112" t="s">
        <v>227</v>
      </c>
      <c r="D120" s="852"/>
      <c r="E120" s="1141" t="s">
        <v>653</v>
      </c>
      <c r="F120" s="1123"/>
      <c r="G120" s="1123"/>
      <c r="H120" s="1125"/>
      <c r="I120" s="497"/>
      <c r="J120" s="497"/>
      <c r="K120" s="360"/>
      <c r="L120" s="358"/>
      <c r="M120" s="385"/>
      <c r="N120" s="386"/>
    </row>
    <row r="121" spans="1:14" s="2" customFormat="1" ht="22.6" customHeight="1" x14ac:dyDescent="0.25">
      <c r="A121" s="1150"/>
      <c r="B121" s="1113"/>
      <c r="C121" s="1113"/>
      <c r="D121" s="854"/>
      <c r="E121" s="1143"/>
      <c r="F121" s="1124"/>
      <c r="G121" s="1124"/>
      <c r="H121" s="1126"/>
      <c r="I121" s="497"/>
      <c r="J121" s="497"/>
      <c r="K121" s="252">
        <v>3135338592</v>
      </c>
      <c r="L121" s="252" t="s">
        <v>323</v>
      </c>
      <c r="M121" s="252"/>
      <c r="N121" s="252"/>
    </row>
    <row r="122" spans="1:14" ht="20.05" customHeight="1" x14ac:dyDescent="0.25">
      <c r="F122" s="211"/>
      <c r="G122" s="211"/>
      <c r="H122" s="14"/>
      <c r="I122" s="6"/>
      <c r="J122" s="6"/>
    </row>
    <row r="123" spans="1:14" ht="20.05" customHeight="1" x14ac:dyDescent="0.25">
      <c r="F123" s="211"/>
      <c r="G123" s="211"/>
      <c r="H123" s="14"/>
      <c r="I123" s="6"/>
      <c r="J123" s="6"/>
    </row>
    <row r="124" spans="1:14" ht="20.05" customHeight="1" x14ac:dyDescent="0.25">
      <c r="J124" s="6"/>
    </row>
    <row r="125" spans="1:14" ht="20.05" customHeight="1" x14ac:dyDescent="0.25">
      <c r="C125" s="93"/>
      <c r="D125" s="871"/>
      <c r="J125" s="6"/>
    </row>
    <row r="126" spans="1:14" ht="20.05" customHeight="1" x14ac:dyDescent="0.25">
      <c r="J126" s="6"/>
    </row>
    <row r="127" spans="1:14" ht="20.05" customHeight="1" x14ac:dyDescent="0.25">
      <c r="J127" s="6"/>
    </row>
  </sheetData>
  <autoFilter ref="A1:N121"/>
  <mergeCells count="182">
    <mergeCell ref="E22:E24"/>
    <mergeCell ref="L42:L44"/>
    <mergeCell ref="K42:K44"/>
    <mergeCell ref="E51:E52"/>
    <mergeCell ref="K22:K25"/>
    <mergeCell ref="B16:B18"/>
    <mergeCell ref="K16:K18"/>
    <mergeCell ref="L16:L18"/>
    <mergeCell ref="F23:F25"/>
    <mergeCell ref="G23:G25"/>
    <mergeCell ref="H23:H25"/>
    <mergeCell ref="F17:F18"/>
    <mergeCell ref="G17:G18"/>
    <mergeCell ref="H17:H18"/>
    <mergeCell ref="E16:E18"/>
    <mergeCell ref="L22:L25"/>
    <mergeCell ref="E42:E44"/>
    <mergeCell ref="E45:E47"/>
    <mergeCell ref="E48:E50"/>
    <mergeCell ref="B30:B31"/>
    <mergeCell ref="C30:C31"/>
    <mergeCell ref="E30:E31"/>
    <mergeCell ref="K30:K31"/>
    <mergeCell ref="H42:H44"/>
    <mergeCell ref="G42:G44"/>
    <mergeCell ref="F42:F44"/>
    <mergeCell ref="G46:G47"/>
    <mergeCell ref="H46:H47"/>
    <mergeCell ref="F49:F50"/>
    <mergeCell ref="G49:G50"/>
    <mergeCell ref="M63:N63"/>
    <mergeCell ref="H49:H50"/>
    <mergeCell ref="L48:L50"/>
    <mergeCell ref="K48:K50"/>
    <mergeCell ref="L53:L56"/>
    <mergeCell ref="H57:H59"/>
    <mergeCell ref="F57:F59"/>
    <mergeCell ref="G57:G59"/>
    <mergeCell ref="K57:K59"/>
    <mergeCell ref="L30:L31"/>
    <mergeCell ref="M30:N30"/>
    <mergeCell ref="M115:M116"/>
    <mergeCell ref="N115:N116"/>
    <mergeCell ref="K117:K119"/>
    <mergeCell ref="K115:K116"/>
    <mergeCell ref="F100:F101"/>
    <mergeCell ref="G100:G101"/>
    <mergeCell ref="H100:H101"/>
    <mergeCell ref="L117:L119"/>
    <mergeCell ref="M117:M119"/>
    <mergeCell ref="L115:L116"/>
    <mergeCell ref="K85:K87"/>
    <mergeCell ref="K81:K84"/>
    <mergeCell ref="L81:L84"/>
    <mergeCell ref="K77:K78"/>
    <mergeCell ref="K95:K97"/>
    <mergeCell ref="K75:K76"/>
    <mergeCell ref="K67:K69"/>
    <mergeCell ref="K73:K74"/>
    <mergeCell ref="H73:H74"/>
    <mergeCell ref="L95:L97"/>
    <mergeCell ref="K91:K93"/>
    <mergeCell ref="L75:L76"/>
    <mergeCell ref="L3:L5"/>
    <mergeCell ref="K3:K5"/>
    <mergeCell ref="K6:K7"/>
    <mergeCell ref="B12:B15"/>
    <mergeCell ref="C12:C15"/>
    <mergeCell ref="E12:E15"/>
    <mergeCell ref="E3:E5"/>
    <mergeCell ref="E6:E7"/>
    <mergeCell ref="H12:H15"/>
    <mergeCell ref="G12:G15"/>
    <mergeCell ref="F12:F15"/>
    <mergeCell ref="F4:F5"/>
    <mergeCell ref="G4:G5"/>
    <mergeCell ref="H4:H5"/>
    <mergeCell ref="L6:L7"/>
    <mergeCell ref="K12:K15"/>
    <mergeCell ref="L12:L15"/>
    <mergeCell ref="A2:A121"/>
    <mergeCell ref="B57:B59"/>
    <mergeCell ref="C57:C59"/>
    <mergeCell ref="B53:B56"/>
    <mergeCell ref="C53:C56"/>
    <mergeCell ref="C3:C5"/>
    <mergeCell ref="B45:B47"/>
    <mergeCell ref="C45:C47"/>
    <mergeCell ref="B3:B5"/>
    <mergeCell ref="B42:B44"/>
    <mergeCell ref="C42:C44"/>
    <mergeCell ref="B22:B25"/>
    <mergeCell ref="C22:C25"/>
    <mergeCell ref="B6:B7"/>
    <mergeCell ref="C6:C7"/>
    <mergeCell ref="C95:C97"/>
    <mergeCell ref="B73:B74"/>
    <mergeCell ref="C75:C76"/>
    <mergeCell ref="B120:B121"/>
    <mergeCell ref="C120:C121"/>
    <mergeCell ref="C67:C69"/>
    <mergeCell ref="C16:C18"/>
    <mergeCell ref="B115:B116"/>
    <mergeCell ref="C115:C116"/>
    <mergeCell ref="L73:L74"/>
    <mergeCell ref="L67:L69"/>
    <mergeCell ref="L77:L78"/>
    <mergeCell ref="L85:L87"/>
    <mergeCell ref="L91:L93"/>
    <mergeCell ref="G120:G121"/>
    <mergeCell ref="H120:H121"/>
    <mergeCell ref="E117:E119"/>
    <mergeCell ref="C117:C119"/>
    <mergeCell ref="H117:H119"/>
    <mergeCell ref="E115:E116"/>
    <mergeCell ref="F115:F116"/>
    <mergeCell ref="G115:G116"/>
    <mergeCell ref="H115:H116"/>
    <mergeCell ref="F117:F119"/>
    <mergeCell ref="G117:G119"/>
    <mergeCell ref="E120:E121"/>
    <mergeCell ref="F120:F121"/>
    <mergeCell ref="B117:B119"/>
    <mergeCell ref="G86:G87"/>
    <mergeCell ref="H86:H87"/>
    <mergeCell ref="E71:E72"/>
    <mergeCell ref="B71:B72"/>
    <mergeCell ref="C73:C74"/>
    <mergeCell ref="C77:C78"/>
    <mergeCell ref="F82:F84"/>
    <mergeCell ref="G82:G84"/>
    <mergeCell ref="H82:H84"/>
    <mergeCell ref="B77:B78"/>
    <mergeCell ref="C85:C87"/>
    <mergeCell ref="B85:B87"/>
    <mergeCell ref="F86:F87"/>
    <mergeCell ref="G73:G74"/>
    <mergeCell ref="F73:F74"/>
    <mergeCell ref="E77:E78"/>
    <mergeCell ref="E95:E97"/>
    <mergeCell ref="B100:B101"/>
    <mergeCell ref="C100:C101"/>
    <mergeCell ref="E100:E101"/>
    <mergeCell ref="C71:C72"/>
    <mergeCell ref="B95:B97"/>
    <mergeCell ref="B48:B50"/>
    <mergeCell ref="C48:C50"/>
    <mergeCell ref="B91:B93"/>
    <mergeCell ref="C91:C93"/>
    <mergeCell ref="E67:E69"/>
    <mergeCell ref="E81:E84"/>
    <mergeCell ref="C81:C84"/>
    <mergeCell ref="B81:B84"/>
    <mergeCell ref="B75:B76"/>
    <mergeCell ref="E75:E76"/>
    <mergeCell ref="E53:E56"/>
    <mergeCell ref="B67:B69"/>
    <mergeCell ref="E57:E59"/>
    <mergeCell ref="M29:N29"/>
    <mergeCell ref="M31:N31"/>
    <mergeCell ref="M33:N33"/>
    <mergeCell ref="M22:M25"/>
    <mergeCell ref="E91:E92"/>
    <mergeCell ref="M48:M50"/>
    <mergeCell ref="C51:C52"/>
    <mergeCell ref="B51:B52"/>
    <mergeCell ref="E85:E87"/>
    <mergeCell ref="E73:E74"/>
    <mergeCell ref="M73:M74"/>
    <mergeCell ref="K45:K47"/>
    <mergeCell ref="L45:L47"/>
    <mergeCell ref="K53:K56"/>
    <mergeCell ref="M81:M84"/>
    <mergeCell ref="L57:L59"/>
    <mergeCell ref="M53:M56"/>
    <mergeCell ref="F68:F69"/>
    <mergeCell ref="G68:G69"/>
    <mergeCell ref="H68:H69"/>
    <mergeCell ref="F46:F47"/>
    <mergeCell ref="F53:F55"/>
    <mergeCell ref="G53:G55"/>
    <mergeCell ref="H53:H55"/>
  </mergeCells>
  <pageMargins left="0.70866141732283472" right="0.70866141732283472" top="0.55118110236220474" bottom="0.55118110236220474" header="0.31496062992125984" footer="0.31496062992125984"/>
  <pageSetup scale="52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3"/>
  <sheetViews>
    <sheetView topLeftCell="I1" zoomScale="115" zoomScaleNormal="115" workbookViewId="0">
      <pane ySplit="1" topLeftCell="A129" activePane="bottomLeft" state="frozen"/>
      <selection pane="bottomLeft" activeCell="O133" sqref="O133:O134"/>
    </sheetView>
  </sheetViews>
  <sheetFormatPr baseColWidth="10" defaultColWidth="11.375" defaultRowHeight="30.1" customHeight="1" x14ac:dyDescent="0.25"/>
  <cols>
    <col min="1" max="1" width="7" style="7" customWidth="1"/>
    <col min="2" max="2" width="17.625" style="1" customWidth="1"/>
    <col min="3" max="3" width="22.375" style="1" customWidth="1"/>
    <col min="4" max="4" width="4.25" style="1" customWidth="1"/>
    <col min="5" max="5" width="14.875" style="1" customWidth="1"/>
    <col min="6" max="7" width="14.375" style="1" customWidth="1"/>
    <col min="8" max="8" width="13.25" style="1" customWidth="1"/>
    <col min="9" max="9" width="12.375" style="620" customWidth="1"/>
    <col min="10" max="10" width="5.875" style="146" customWidth="1"/>
    <col min="11" max="11" width="5.375" style="146" customWidth="1"/>
    <col min="12" max="13" width="7.375" style="1" customWidth="1"/>
    <col min="14" max="14" width="20.375" style="1" customWidth="1"/>
    <col min="15" max="15" width="45.125" style="1" customWidth="1"/>
    <col min="16" max="16" width="23.75" style="1" customWidth="1"/>
    <col min="17" max="16384" width="11.375" style="1"/>
  </cols>
  <sheetData>
    <row r="1" spans="1:16" ht="30.1" customHeight="1" x14ac:dyDescent="0.25">
      <c r="A1" s="213" t="s">
        <v>363</v>
      </c>
      <c r="B1" s="214" t="s">
        <v>364</v>
      </c>
      <c r="C1" s="214" t="s">
        <v>365</v>
      </c>
      <c r="D1" s="215" t="s">
        <v>366</v>
      </c>
      <c r="E1" s="216" t="s">
        <v>367</v>
      </c>
      <c r="F1" s="215" t="s">
        <v>368</v>
      </c>
      <c r="G1" s="215" t="s">
        <v>576</v>
      </c>
      <c r="H1" s="215" t="s">
        <v>12</v>
      </c>
      <c r="I1" s="214" t="s">
        <v>0</v>
      </c>
      <c r="J1" s="217" t="s">
        <v>1</v>
      </c>
      <c r="K1" s="217" t="s">
        <v>2</v>
      </c>
      <c r="L1" s="394" t="s">
        <v>371</v>
      </c>
      <c r="M1" s="215" t="s">
        <v>372</v>
      </c>
      <c r="N1" s="215" t="s">
        <v>447</v>
      </c>
      <c r="O1" s="215" t="s">
        <v>3</v>
      </c>
      <c r="P1" s="218" t="s">
        <v>1264</v>
      </c>
    </row>
    <row r="2" spans="1:16" ht="30.1" customHeight="1" x14ac:dyDescent="0.25">
      <c r="A2" s="1167">
        <v>1</v>
      </c>
      <c r="B2" s="1170" t="s">
        <v>448</v>
      </c>
      <c r="C2" s="1170" t="s">
        <v>449</v>
      </c>
      <c r="D2" s="166"/>
      <c r="E2" s="166"/>
      <c r="F2" s="700" t="s">
        <v>389</v>
      </c>
      <c r="G2" s="1170" t="s">
        <v>591</v>
      </c>
      <c r="H2" s="731" t="s">
        <v>14</v>
      </c>
      <c r="I2" s="1200">
        <v>32185655741</v>
      </c>
      <c r="J2" s="1226">
        <v>1</v>
      </c>
      <c r="K2" s="1226">
        <v>30</v>
      </c>
      <c r="L2" s="219">
        <v>12</v>
      </c>
      <c r="M2" s="220" t="s">
        <v>4</v>
      </c>
      <c r="N2" s="221" t="s">
        <v>450</v>
      </c>
      <c r="O2" s="166"/>
      <c r="P2" s="166"/>
    </row>
    <row r="3" spans="1:16" ht="30.1" customHeight="1" x14ac:dyDescent="0.25">
      <c r="A3" s="1169"/>
      <c r="B3" s="1172"/>
      <c r="C3" s="1172"/>
      <c r="D3" s="166"/>
      <c r="E3" s="166"/>
      <c r="F3" s="700" t="s">
        <v>389</v>
      </c>
      <c r="G3" s="1172"/>
      <c r="H3" s="731" t="s">
        <v>14</v>
      </c>
      <c r="I3" s="1235"/>
      <c r="J3" s="1227"/>
      <c r="K3" s="1227"/>
      <c r="L3" s="219">
        <v>12</v>
      </c>
      <c r="M3" s="220" t="s">
        <v>231</v>
      </c>
      <c r="N3" s="221" t="s">
        <v>450</v>
      </c>
      <c r="O3" s="529"/>
      <c r="P3" s="166"/>
    </row>
    <row r="4" spans="1:16" ht="30.1" customHeight="1" x14ac:dyDescent="0.25">
      <c r="A4" s="1167">
        <v>2</v>
      </c>
      <c r="B4" s="1170" t="s">
        <v>451</v>
      </c>
      <c r="C4" s="1170" t="s">
        <v>452</v>
      </c>
      <c r="D4" s="166"/>
      <c r="E4" s="166"/>
      <c r="F4" s="700" t="s">
        <v>389</v>
      </c>
      <c r="G4" s="1170" t="s">
        <v>588</v>
      </c>
      <c r="H4" s="731" t="s">
        <v>9</v>
      </c>
      <c r="I4" s="1200" t="s">
        <v>453</v>
      </c>
      <c r="J4" s="1226">
        <v>1</v>
      </c>
      <c r="K4" s="1226">
        <v>30</v>
      </c>
      <c r="L4" s="219">
        <v>12</v>
      </c>
      <c r="M4" s="220" t="s">
        <v>4</v>
      </c>
      <c r="N4" s="221" t="s">
        <v>10</v>
      </c>
      <c r="O4" s="166"/>
      <c r="P4" s="166"/>
    </row>
    <row r="5" spans="1:16" ht="30.1" customHeight="1" x14ac:dyDescent="0.25">
      <c r="A5" s="1168"/>
      <c r="B5" s="1171"/>
      <c r="C5" s="1171"/>
      <c r="D5" s="166"/>
      <c r="E5" s="166"/>
      <c r="F5" s="700" t="s">
        <v>389</v>
      </c>
      <c r="G5" s="1171"/>
      <c r="H5" s="731" t="s">
        <v>9</v>
      </c>
      <c r="I5" s="1201"/>
      <c r="J5" s="1236"/>
      <c r="K5" s="1236"/>
      <c r="L5" s="219">
        <v>12</v>
      </c>
      <c r="M5" s="220" t="s">
        <v>231</v>
      </c>
      <c r="N5" s="166" t="s">
        <v>415</v>
      </c>
      <c r="O5" s="166"/>
      <c r="P5" s="166"/>
    </row>
    <row r="6" spans="1:16" ht="30.1" customHeight="1" x14ac:dyDescent="0.25">
      <c r="A6" s="1169"/>
      <c r="B6" s="1172"/>
      <c r="C6" s="1172"/>
      <c r="D6" s="166"/>
      <c r="E6" s="166"/>
      <c r="F6" s="700" t="s">
        <v>389</v>
      </c>
      <c r="G6" s="1172"/>
      <c r="H6" s="731" t="s">
        <v>9</v>
      </c>
      <c r="I6" s="1235"/>
      <c r="J6" s="1227"/>
      <c r="K6" s="1227"/>
      <c r="L6" s="219">
        <v>12</v>
      </c>
      <c r="M6" s="222" t="s">
        <v>8</v>
      </c>
      <c r="N6" s="219" t="s">
        <v>432</v>
      </c>
      <c r="O6" s="166"/>
      <c r="P6" s="166"/>
    </row>
    <row r="7" spans="1:16" ht="30.1" customHeight="1" x14ac:dyDescent="0.25">
      <c r="A7" s="1167">
        <v>3</v>
      </c>
      <c r="B7" s="1170" t="s">
        <v>454</v>
      </c>
      <c r="C7" s="1170" t="s">
        <v>455</v>
      </c>
      <c r="D7" s="166"/>
      <c r="E7" s="166"/>
      <c r="F7" s="700" t="s">
        <v>389</v>
      </c>
      <c r="G7" s="1170" t="s">
        <v>608</v>
      </c>
      <c r="H7" s="731" t="s">
        <v>14</v>
      </c>
      <c r="I7" s="1200">
        <v>3016915903</v>
      </c>
      <c r="J7" s="1226">
        <v>1</v>
      </c>
      <c r="K7" s="1226">
        <v>30</v>
      </c>
      <c r="L7" s="219">
        <v>20</v>
      </c>
      <c r="M7" s="222" t="s">
        <v>4</v>
      </c>
      <c r="N7" s="219" t="s">
        <v>450</v>
      </c>
      <c r="O7" s="166"/>
      <c r="P7" s="166"/>
    </row>
    <row r="8" spans="1:16" ht="30.1" customHeight="1" x14ac:dyDescent="0.25">
      <c r="A8" s="1168"/>
      <c r="B8" s="1171"/>
      <c r="C8" s="1171"/>
      <c r="D8" s="166"/>
      <c r="E8" s="166"/>
      <c r="F8" s="700" t="s">
        <v>389</v>
      </c>
      <c r="G8" s="1171"/>
      <c r="H8" s="731" t="s">
        <v>14</v>
      </c>
      <c r="I8" s="1201"/>
      <c r="J8" s="1236"/>
      <c r="K8" s="1236"/>
      <c r="L8" s="219">
        <v>20</v>
      </c>
      <c r="M8" s="222" t="s">
        <v>8</v>
      </c>
      <c r="N8" s="219" t="s">
        <v>450</v>
      </c>
      <c r="O8" s="166"/>
      <c r="P8" s="166"/>
    </row>
    <row r="9" spans="1:16" s="2" customFormat="1" ht="30.1" customHeight="1" x14ac:dyDescent="0.25">
      <c r="A9" s="1169"/>
      <c r="B9" s="1172"/>
      <c r="C9" s="1172"/>
      <c r="D9" s="166"/>
      <c r="E9" s="166"/>
      <c r="F9" s="700" t="s">
        <v>389</v>
      </c>
      <c r="G9" s="1172"/>
      <c r="H9" s="731" t="s">
        <v>14</v>
      </c>
      <c r="I9" s="1235"/>
      <c r="J9" s="1227"/>
      <c r="K9" s="1227"/>
      <c r="L9" s="219">
        <v>20</v>
      </c>
      <c r="M9" s="222" t="s">
        <v>231</v>
      </c>
      <c r="N9" s="219" t="s">
        <v>450</v>
      </c>
      <c r="O9" s="166"/>
      <c r="P9" s="166"/>
    </row>
    <row r="10" spans="1:16" ht="30.1" customHeight="1" x14ac:dyDescent="0.25">
      <c r="A10" s="212">
        <v>4</v>
      </c>
      <c r="B10" s="223" t="s">
        <v>456</v>
      </c>
      <c r="C10" s="219" t="s">
        <v>1344</v>
      </c>
      <c r="D10" s="166"/>
      <c r="E10" s="166"/>
      <c r="F10" s="493" t="s">
        <v>389</v>
      </c>
      <c r="G10" s="219" t="s">
        <v>605</v>
      </c>
      <c r="H10" s="732" t="s">
        <v>14</v>
      </c>
      <c r="I10" s="304" t="s">
        <v>457</v>
      </c>
      <c r="J10" s="703">
        <v>1</v>
      </c>
      <c r="K10" s="703">
        <v>30</v>
      </c>
      <c r="L10" s="219">
        <v>12</v>
      </c>
      <c r="M10" s="222" t="s">
        <v>5</v>
      </c>
      <c r="N10" s="219" t="s">
        <v>450</v>
      </c>
      <c r="O10" s="166"/>
      <c r="P10" s="166"/>
    </row>
    <row r="11" spans="1:16" ht="30.1" customHeight="1" x14ac:dyDescent="0.25">
      <c r="A11" s="292">
        <v>5</v>
      </c>
      <c r="B11" s="223" t="s">
        <v>458</v>
      </c>
      <c r="C11" s="293" t="s">
        <v>459</v>
      </c>
      <c r="D11" s="291"/>
      <c r="E11" s="291"/>
      <c r="F11" s="493" t="s">
        <v>460</v>
      </c>
      <c r="G11" s="304" t="s">
        <v>613</v>
      </c>
      <c r="H11" s="732" t="s">
        <v>15</v>
      </c>
      <c r="I11" s="618" t="s">
        <v>461</v>
      </c>
      <c r="J11" s="703">
        <v>1</v>
      </c>
      <c r="K11" s="703">
        <v>30</v>
      </c>
      <c r="L11" s="293">
        <v>40</v>
      </c>
      <c r="M11" s="222" t="s">
        <v>4</v>
      </c>
      <c r="N11" s="293" t="s">
        <v>16</v>
      </c>
      <c r="O11" s="293" t="s">
        <v>1215</v>
      </c>
      <c r="P11" s="293"/>
    </row>
    <row r="12" spans="1:16" ht="30.1" customHeight="1" x14ac:dyDescent="0.25">
      <c r="A12" s="1167">
        <v>6</v>
      </c>
      <c r="B12" s="1170" t="s">
        <v>462</v>
      </c>
      <c r="C12" s="1170" t="s">
        <v>463</v>
      </c>
      <c r="D12" s="166"/>
      <c r="E12" s="166"/>
      <c r="F12" s="700" t="s">
        <v>389</v>
      </c>
      <c r="G12" s="1170" t="s">
        <v>588</v>
      </c>
      <c r="H12" s="731" t="s">
        <v>14</v>
      </c>
      <c r="I12" s="1200" t="s">
        <v>577</v>
      </c>
      <c r="J12" s="1226">
        <v>1</v>
      </c>
      <c r="K12" s="1226">
        <v>30</v>
      </c>
      <c r="L12" s="219">
        <v>12</v>
      </c>
      <c r="M12" s="222" t="s">
        <v>4</v>
      </c>
      <c r="N12" s="219" t="s">
        <v>450</v>
      </c>
      <c r="O12" s="219"/>
      <c r="P12" s="219"/>
    </row>
    <row r="13" spans="1:16" ht="30.1" customHeight="1" x14ac:dyDescent="0.25">
      <c r="A13" s="1169"/>
      <c r="B13" s="1172"/>
      <c r="C13" s="1172"/>
      <c r="D13" s="166"/>
      <c r="E13" s="166"/>
      <c r="F13" s="700" t="s">
        <v>389</v>
      </c>
      <c r="G13" s="1172"/>
      <c r="H13" s="731" t="s">
        <v>14</v>
      </c>
      <c r="I13" s="1235"/>
      <c r="J13" s="1227"/>
      <c r="K13" s="1227"/>
      <c r="L13" s="219">
        <v>12</v>
      </c>
      <c r="M13" s="222" t="s">
        <v>231</v>
      </c>
      <c r="N13" s="219" t="s">
        <v>450</v>
      </c>
      <c r="O13" s="219"/>
      <c r="P13" s="219"/>
    </row>
    <row r="14" spans="1:16" ht="30.1" customHeight="1" x14ac:dyDescent="0.25">
      <c r="A14" s="1232">
        <v>7</v>
      </c>
      <c r="B14" s="1195" t="s">
        <v>464</v>
      </c>
      <c r="C14" s="1195" t="s">
        <v>465</v>
      </c>
      <c r="D14" s="166"/>
      <c r="E14" s="166"/>
      <c r="F14" s="704" t="s">
        <v>410</v>
      </c>
      <c r="G14" s="1195" t="s">
        <v>606</v>
      </c>
      <c r="H14" s="733" t="s">
        <v>411</v>
      </c>
      <c r="I14" s="1206" t="s">
        <v>661</v>
      </c>
      <c r="J14" s="1215">
        <v>1</v>
      </c>
      <c r="K14" s="1215">
        <v>30</v>
      </c>
      <c r="L14" s="600">
        <v>20</v>
      </c>
      <c r="M14" s="621" t="s">
        <v>4</v>
      </c>
      <c r="N14" s="600" t="s">
        <v>466</v>
      </c>
      <c r="O14" s="600" t="s">
        <v>664</v>
      </c>
      <c r="P14" s="600"/>
    </row>
    <row r="15" spans="1:16" ht="30.1" customHeight="1" x14ac:dyDescent="0.25">
      <c r="A15" s="1234"/>
      <c r="B15" s="1197"/>
      <c r="C15" s="1197"/>
      <c r="D15" s="166"/>
      <c r="E15" s="166"/>
      <c r="F15" s="704" t="s">
        <v>410</v>
      </c>
      <c r="G15" s="1197"/>
      <c r="H15" s="733" t="s">
        <v>411</v>
      </c>
      <c r="I15" s="1208"/>
      <c r="J15" s="1217"/>
      <c r="K15" s="1217"/>
      <c r="L15" s="626">
        <v>12</v>
      </c>
      <c r="M15" s="626" t="s">
        <v>231</v>
      </c>
      <c r="N15" s="667" t="s">
        <v>659</v>
      </c>
      <c r="O15" s="626"/>
      <c r="P15" s="626"/>
    </row>
    <row r="16" spans="1:16" ht="33.799999999999997" customHeight="1" x14ac:dyDescent="0.25">
      <c r="A16" s="1167">
        <v>9</v>
      </c>
      <c r="B16" s="1170" t="s">
        <v>467</v>
      </c>
      <c r="C16" s="1170" t="s">
        <v>468</v>
      </c>
      <c r="D16" s="166"/>
      <c r="E16" s="166"/>
      <c r="F16" s="693" t="s">
        <v>410</v>
      </c>
      <c r="G16" s="1170" t="s">
        <v>601</v>
      </c>
      <c r="H16" s="731" t="s">
        <v>469</v>
      </c>
      <c r="I16" s="1200">
        <v>3106613592</v>
      </c>
      <c r="J16" s="1176">
        <v>8</v>
      </c>
      <c r="K16" s="1176">
        <v>7</v>
      </c>
      <c r="L16" s="225">
        <v>20</v>
      </c>
      <c r="M16" s="226" t="s">
        <v>4</v>
      </c>
      <c r="N16" s="225" t="s">
        <v>450</v>
      </c>
      <c r="O16" s="225"/>
      <c r="P16" s="1179" t="s">
        <v>1332</v>
      </c>
    </row>
    <row r="17" spans="1:16" ht="25.5" customHeight="1" x14ac:dyDescent="0.25">
      <c r="A17" s="1168"/>
      <c r="B17" s="1171"/>
      <c r="C17" s="1171"/>
      <c r="D17" s="166"/>
      <c r="E17" s="166"/>
      <c r="F17" s="693" t="s">
        <v>410</v>
      </c>
      <c r="G17" s="1171"/>
      <c r="H17" s="731" t="s">
        <v>469</v>
      </c>
      <c r="I17" s="1201"/>
      <c r="J17" s="1177"/>
      <c r="K17" s="1177"/>
      <c r="L17" s="225">
        <v>4</v>
      </c>
      <c r="M17" s="226" t="s">
        <v>8</v>
      </c>
      <c r="N17" s="225" t="s">
        <v>450</v>
      </c>
      <c r="O17" s="225"/>
      <c r="P17" s="1180"/>
    </row>
    <row r="18" spans="1:16" ht="25.5" customHeight="1" x14ac:dyDescent="0.25">
      <c r="A18" s="1168"/>
      <c r="B18" s="1171"/>
      <c r="C18" s="1171"/>
      <c r="D18" s="166"/>
      <c r="E18" s="166"/>
      <c r="F18" s="693" t="s">
        <v>410</v>
      </c>
      <c r="G18" s="1171"/>
      <c r="H18" s="731" t="s">
        <v>469</v>
      </c>
      <c r="I18" s="1201"/>
      <c r="J18" s="1177"/>
      <c r="K18" s="1177"/>
      <c r="L18" s="225">
        <v>1</v>
      </c>
      <c r="M18" s="226" t="s">
        <v>230</v>
      </c>
      <c r="N18" s="225" t="s">
        <v>470</v>
      </c>
      <c r="O18" s="225"/>
      <c r="P18" s="225"/>
    </row>
    <row r="19" spans="1:16" s="2" customFormat="1" ht="30.1" customHeight="1" x14ac:dyDescent="0.25">
      <c r="A19" s="1169"/>
      <c r="B19" s="1172"/>
      <c r="C19" s="1172"/>
      <c r="D19" s="166"/>
      <c r="E19" s="166"/>
      <c r="F19" s="693" t="s">
        <v>410</v>
      </c>
      <c r="G19" s="1172"/>
      <c r="H19" s="731" t="s">
        <v>469</v>
      </c>
      <c r="I19" s="1235"/>
      <c r="J19" s="1178"/>
      <c r="K19" s="1178"/>
      <c r="L19" s="219">
        <v>16</v>
      </c>
      <c r="M19" s="222" t="s">
        <v>231</v>
      </c>
      <c r="N19" s="219" t="s">
        <v>450</v>
      </c>
      <c r="O19" s="114" t="s">
        <v>996</v>
      </c>
      <c r="P19" s="219"/>
    </row>
    <row r="20" spans="1:16" s="2" customFormat="1" ht="30.1" customHeight="1" x14ac:dyDescent="0.25">
      <c r="A20" s="1167">
        <v>10</v>
      </c>
      <c r="B20" s="1170" t="s">
        <v>471</v>
      </c>
      <c r="C20" s="1170" t="s">
        <v>472</v>
      </c>
      <c r="D20" s="641"/>
      <c r="E20" s="641"/>
      <c r="F20" s="693" t="s">
        <v>410</v>
      </c>
      <c r="G20" s="1170" t="s">
        <v>591</v>
      </c>
      <c r="H20" s="731" t="s">
        <v>473</v>
      </c>
      <c r="I20" s="1218">
        <v>3215976449</v>
      </c>
      <c r="J20" s="1176">
        <v>5</v>
      </c>
      <c r="K20" s="1176">
        <v>4</v>
      </c>
      <c r="L20" s="642">
        <v>12</v>
      </c>
      <c r="M20" s="222" t="s">
        <v>4</v>
      </c>
      <c r="N20" s="642" t="s">
        <v>801</v>
      </c>
      <c r="O20" s="1170" t="s">
        <v>1289</v>
      </c>
      <c r="P20" s="1170" t="s">
        <v>1293</v>
      </c>
    </row>
    <row r="21" spans="1:16" s="2" customFormat="1" ht="31.6" customHeight="1" x14ac:dyDescent="0.25">
      <c r="A21" s="1169"/>
      <c r="B21" s="1172"/>
      <c r="C21" s="1172"/>
      <c r="D21" s="641"/>
      <c r="E21" s="641"/>
      <c r="F21" s="693" t="s">
        <v>410</v>
      </c>
      <c r="G21" s="1172"/>
      <c r="H21" s="731" t="s">
        <v>473</v>
      </c>
      <c r="I21" s="1219"/>
      <c r="J21" s="1178"/>
      <c r="K21" s="1178"/>
      <c r="L21" s="642">
        <v>30</v>
      </c>
      <c r="M21" s="222" t="s">
        <v>5</v>
      </c>
      <c r="N21" s="642" t="s">
        <v>801</v>
      </c>
      <c r="O21" s="1172"/>
      <c r="P21" s="1172"/>
    </row>
    <row r="22" spans="1:16" ht="30.1" customHeight="1" x14ac:dyDescent="0.25">
      <c r="A22" s="1167">
        <v>12</v>
      </c>
      <c r="B22" s="1170" t="s">
        <v>474</v>
      </c>
      <c r="C22" s="1170" t="s">
        <v>475</v>
      </c>
      <c r="D22" s="166"/>
      <c r="E22" s="166"/>
      <c r="F22" s="693" t="s">
        <v>410</v>
      </c>
      <c r="G22" s="1170" t="s">
        <v>618</v>
      </c>
      <c r="H22" s="731" t="s">
        <v>19</v>
      </c>
      <c r="I22" s="1243">
        <v>3004931017</v>
      </c>
      <c r="J22" s="1176">
        <v>10</v>
      </c>
      <c r="K22" s="1176">
        <v>9</v>
      </c>
      <c r="L22" s="219">
        <v>20</v>
      </c>
      <c r="M22" s="222" t="s">
        <v>4</v>
      </c>
      <c r="N22" s="219" t="s">
        <v>18</v>
      </c>
      <c r="O22" s="219"/>
      <c r="P22" s="219"/>
    </row>
    <row r="23" spans="1:16" ht="30.1" customHeight="1" x14ac:dyDescent="0.25">
      <c r="A23" s="1169"/>
      <c r="B23" s="1172"/>
      <c r="C23" s="1172"/>
      <c r="D23" s="166"/>
      <c r="E23" s="166"/>
      <c r="F23" s="693" t="s">
        <v>410</v>
      </c>
      <c r="G23" s="1172"/>
      <c r="H23" s="731" t="s">
        <v>19</v>
      </c>
      <c r="I23" s="1245"/>
      <c r="J23" s="1178"/>
      <c r="K23" s="1178"/>
      <c r="L23" s="219">
        <v>12</v>
      </c>
      <c r="M23" s="222" t="s">
        <v>231</v>
      </c>
      <c r="N23" s="219" t="s">
        <v>221</v>
      </c>
      <c r="O23" s="219"/>
      <c r="P23" s="219"/>
    </row>
    <row r="24" spans="1:16" ht="18.7" customHeight="1" x14ac:dyDescent="0.25">
      <c r="A24" s="1167">
        <v>13</v>
      </c>
      <c r="B24" s="1170" t="s">
        <v>476</v>
      </c>
      <c r="C24" s="1170" t="s">
        <v>477</v>
      </c>
      <c r="D24" s="166"/>
      <c r="E24" s="166"/>
      <c r="F24" s="693" t="s">
        <v>410</v>
      </c>
      <c r="G24" s="1170" t="s">
        <v>622</v>
      </c>
      <c r="H24" s="731" t="s">
        <v>469</v>
      </c>
      <c r="I24" s="1243"/>
      <c r="J24" s="1176">
        <v>12</v>
      </c>
      <c r="K24" s="1176">
        <v>11</v>
      </c>
      <c r="L24" s="219">
        <v>60</v>
      </c>
      <c r="M24" s="222" t="s">
        <v>5</v>
      </c>
      <c r="N24" s="1170" t="s">
        <v>450</v>
      </c>
      <c r="O24" s="1170"/>
      <c r="P24" s="219"/>
    </row>
    <row r="25" spans="1:16" ht="18.7" customHeight="1" x14ac:dyDescent="0.25">
      <c r="A25" s="1168"/>
      <c r="B25" s="1171"/>
      <c r="C25" s="1171"/>
      <c r="D25" s="166"/>
      <c r="E25" s="166"/>
      <c r="F25" s="693" t="s">
        <v>410</v>
      </c>
      <c r="G25" s="1171"/>
      <c r="H25" s="731" t="s">
        <v>469</v>
      </c>
      <c r="I25" s="1244"/>
      <c r="J25" s="1177"/>
      <c r="K25" s="1177"/>
      <c r="L25" s="219">
        <v>30</v>
      </c>
      <c r="M25" s="222" t="s">
        <v>4</v>
      </c>
      <c r="N25" s="1171"/>
      <c r="O25" s="1171"/>
      <c r="P25" s="1179"/>
    </row>
    <row r="26" spans="1:16" ht="18" customHeight="1" x14ac:dyDescent="0.25">
      <c r="A26" s="1168"/>
      <c r="B26" s="1171"/>
      <c r="C26" s="1171"/>
      <c r="D26" s="166"/>
      <c r="E26" s="166"/>
      <c r="F26" s="693" t="s">
        <v>410</v>
      </c>
      <c r="G26" s="1171"/>
      <c r="H26" s="731" t="s">
        <v>469</v>
      </c>
      <c r="I26" s="1244"/>
      <c r="J26" s="1177"/>
      <c r="K26" s="1177"/>
      <c r="L26" s="219">
        <v>4</v>
      </c>
      <c r="M26" s="222" t="s">
        <v>8</v>
      </c>
      <c r="N26" s="1171"/>
      <c r="O26" s="1171"/>
      <c r="P26" s="1180"/>
    </row>
    <row r="27" spans="1:16" ht="16.5" customHeight="1" x14ac:dyDescent="0.25">
      <c r="A27" s="1168"/>
      <c r="B27" s="1171"/>
      <c r="C27" s="1171"/>
      <c r="D27" s="166"/>
      <c r="E27" s="166"/>
      <c r="F27" s="693" t="s">
        <v>410</v>
      </c>
      <c r="G27" s="1171"/>
      <c r="H27" s="731" t="s">
        <v>469</v>
      </c>
      <c r="I27" s="1244"/>
      <c r="J27" s="1177"/>
      <c r="K27" s="1177"/>
      <c r="L27" s="219">
        <v>1</v>
      </c>
      <c r="M27" s="222" t="s">
        <v>230</v>
      </c>
      <c r="N27" s="1171"/>
      <c r="O27" s="1171"/>
      <c r="P27" s="219"/>
    </row>
    <row r="28" spans="1:16" ht="20.25" customHeight="1" x14ac:dyDescent="0.25">
      <c r="A28" s="1169"/>
      <c r="B28" s="1172"/>
      <c r="C28" s="1172"/>
      <c r="D28" s="166"/>
      <c r="E28" s="166"/>
      <c r="F28" s="693" t="s">
        <v>410</v>
      </c>
      <c r="G28" s="1172"/>
      <c r="H28" s="731" t="s">
        <v>469</v>
      </c>
      <c r="I28" s="1245"/>
      <c r="J28" s="1178"/>
      <c r="K28" s="1178"/>
      <c r="L28" s="219">
        <v>4</v>
      </c>
      <c r="M28" s="222" t="s">
        <v>231</v>
      </c>
      <c r="N28" s="1172"/>
      <c r="O28" s="1172"/>
      <c r="P28" s="219"/>
    </row>
    <row r="29" spans="1:16" ht="22.6" customHeight="1" x14ac:dyDescent="0.25">
      <c r="A29" s="1167">
        <v>14</v>
      </c>
      <c r="B29" s="1170" t="s">
        <v>478</v>
      </c>
      <c r="C29" s="1170" t="s">
        <v>479</v>
      </c>
      <c r="D29" s="166"/>
      <c r="E29" s="166"/>
      <c r="F29" s="693" t="s">
        <v>410</v>
      </c>
      <c r="G29" s="1170" t="s">
        <v>601</v>
      </c>
      <c r="H29" s="731" t="s">
        <v>469</v>
      </c>
      <c r="I29" s="1243"/>
      <c r="J29" s="1176">
        <v>4</v>
      </c>
      <c r="K29" s="1176">
        <v>3</v>
      </c>
      <c r="L29" s="219">
        <v>1</v>
      </c>
      <c r="M29" s="222" t="s">
        <v>230</v>
      </c>
      <c r="N29" s="1170" t="s">
        <v>450</v>
      </c>
      <c r="O29" s="227"/>
      <c r="P29" s="219"/>
    </row>
    <row r="30" spans="1:16" ht="21.1" customHeight="1" x14ac:dyDescent="0.25">
      <c r="A30" s="1168"/>
      <c r="B30" s="1171"/>
      <c r="C30" s="1171"/>
      <c r="D30" s="166"/>
      <c r="E30" s="166"/>
      <c r="F30" s="693" t="s">
        <v>410</v>
      </c>
      <c r="G30" s="1171"/>
      <c r="H30" s="731" t="s">
        <v>469</v>
      </c>
      <c r="I30" s="1244"/>
      <c r="J30" s="1177"/>
      <c r="K30" s="1177"/>
      <c r="L30" s="219">
        <v>90</v>
      </c>
      <c r="M30" s="222" t="s">
        <v>5</v>
      </c>
      <c r="N30" s="1171"/>
      <c r="O30" s="227" t="s">
        <v>480</v>
      </c>
      <c r="P30" s="219"/>
    </row>
    <row r="31" spans="1:16" ht="21.75" customHeight="1" x14ac:dyDescent="0.25">
      <c r="A31" s="1168"/>
      <c r="B31" s="1171"/>
      <c r="C31" s="1171"/>
      <c r="D31" s="166"/>
      <c r="E31" s="166"/>
      <c r="F31" s="693" t="s">
        <v>410</v>
      </c>
      <c r="G31" s="1171"/>
      <c r="H31" s="731" t="s">
        <v>469</v>
      </c>
      <c r="I31" s="1244"/>
      <c r="J31" s="1177"/>
      <c r="K31" s="1177"/>
      <c r="L31" s="219">
        <v>20</v>
      </c>
      <c r="M31" s="222" t="s">
        <v>8</v>
      </c>
      <c r="N31" s="1171"/>
      <c r="O31" s="1246" t="s">
        <v>779</v>
      </c>
      <c r="P31" s="219"/>
    </row>
    <row r="32" spans="1:16" ht="20.25" customHeight="1" x14ac:dyDescent="0.25">
      <c r="A32" s="1168"/>
      <c r="B32" s="1171"/>
      <c r="C32" s="1171"/>
      <c r="D32" s="166"/>
      <c r="E32" s="166"/>
      <c r="F32" s="693" t="s">
        <v>410</v>
      </c>
      <c r="G32" s="1171"/>
      <c r="H32" s="731" t="s">
        <v>469</v>
      </c>
      <c r="I32" s="1244"/>
      <c r="J32" s="1177"/>
      <c r="K32" s="1177"/>
      <c r="L32" s="219">
        <v>20</v>
      </c>
      <c r="M32" s="222" t="s">
        <v>4</v>
      </c>
      <c r="N32" s="1171"/>
      <c r="O32" s="1247"/>
      <c r="P32" s="219"/>
    </row>
    <row r="33" spans="1:16" ht="21.75" customHeight="1" x14ac:dyDescent="0.25">
      <c r="A33" s="1169"/>
      <c r="B33" s="1172"/>
      <c r="C33" s="1172"/>
      <c r="D33" s="166"/>
      <c r="E33" s="166"/>
      <c r="F33" s="693" t="s">
        <v>410</v>
      </c>
      <c r="G33" s="1172"/>
      <c r="H33" s="731" t="s">
        <v>469</v>
      </c>
      <c r="I33" s="1245"/>
      <c r="J33" s="1178"/>
      <c r="K33" s="1178"/>
      <c r="L33" s="219">
        <v>20</v>
      </c>
      <c r="M33" s="222" t="s">
        <v>231</v>
      </c>
      <c r="N33" s="1172"/>
      <c r="O33" s="1248"/>
      <c r="P33" s="219"/>
    </row>
    <row r="34" spans="1:16" ht="34.5" customHeight="1" x14ac:dyDescent="0.25">
      <c r="A34" s="212">
        <v>15</v>
      </c>
      <c r="B34" s="223" t="s">
        <v>481</v>
      </c>
      <c r="C34" s="219" t="s">
        <v>482</v>
      </c>
      <c r="D34" s="166"/>
      <c r="E34" s="166"/>
      <c r="F34" s="702" t="s">
        <v>376</v>
      </c>
      <c r="G34" s="219" t="s">
        <v>605</v>
      </c>
      <c r="H34" s="732" t="s">
        <v>20</v>
      </c>
      <c r="I34" s="304" t="s">
        <v>483</v>
      </c>
      <c r="J34" s="695">
        <v>1</v>
      </c>
      <c r="K34" s="695">
        <v>30</v>
      </c>
      <c r="L34" s="219">
        <v>20</v>
      </c>
      <c r="M34" s="222" t="s">
        <v>4</v>
      </c>
      <c r="N34" s="219" t="s">
        <v>6</v>
      </c>
      <c r="O34" s="598" t="s">
        <v>1263</v>
      </c>
      <c r="P34" s="598" t="s">
        <v>1263</v>
      </c>
    </row>
    <row r="35" spans="1:16" ht="29.25" customHeight="1" x14ac:dyDescent="0.25">
      <c r="A35" s="1167">
        <v>16</v>
      </c>
      <c r="B35" s="1170" t="s">
        <v>484</v>
      </c>
      <c r="C35" s="1170" t="s">
        <v>485</v>
      </c>
      <c r="D35" s="166"/>
      <c r="E35" s="166"/>
      <c r="F35" s="693" t="s">
        <v>376</v>
      </c>
      <c r="G35" s="1170" t="s">
        <v>629</v>
      </c>
      <c r="H35" s="731" t="s">
        <v>20</v>
      </c>
      <c r="I35" s="1200" t="s">
        <v>486</v>
      </c>
      <c r="J35" s="1176">
        <v>1</v>
      </c>
      <c r="K35" s="1176">
        <v>30</v>
      </c>
      <c r="L35" s="219">
        <v>60</v>
      </c>
      <c r="M35" s="222" t="s">
        <v>5</v>
      </c>
      <c r="N35" s="219" t="s">
        <v>6</v>
      </c>
      <c r="O35" s="1204" t="s">
        <v>1263</v>
      </c>
      <c r="P35" s="1204" t="s">
        <v>1263</v>
      </c>
    </row>
    <row r="36" spans="1:16" ht="30.1" customHeight="1" x14ac:dyDescent="0.25">
      <c r="A36" s="1168"/>
      <c r="B36" s="1171"/>
      <c r="C36" s="1171"/>
      <c r="D36" s="166"/>
      <c r="E36" s="166"/>
      <c r="F36" s="693" t="s">
        <v>376</v>
      </c>
      <c r="G36" s="1171"/>
      <c r="H36" s="731" t="s">
        <v>20</v>
      </c>
      <c r="I36" s="1235"/>
      <c r="J36" s="1178"/>
      <c r="K36" s="1178"/>
      <c r="L36" s="166">
        <v>30</v>
      </c>
      <c r="M36" s="166" t="s">
        <v>4</v>
      </c>
      <c r="N36" s="219" t="s">
        <v>6</v>
      </c>
      <c r="O36" s="1205"/>
      <c r="P36" s="1205"/>
    </row>
    <row r="37" spans="1:16" ht="30.1" customHeight="1" x14ac:dyDescent="0.25">
      <c r="A37" s="523">
        <v>17</v>
      </c>
      <c r="B37" s="528" t="s">
        <v>487</v>
      </c>
      <c r="C37" s="528" t="s">
        <v>488</v>
      </c>
      <c r="D37" s="166"/>
      <c r="E37" s="166"/>
      <c r="F37" s="693" t="s">
        <v>376</v>
      </c>
      <c r="G37" s="533" t="s">
        <v>614</v>
      </c>
      <c r="H37" s="731" t="s">
        <v>15</v>
      </c>
      <c r="I37" s="533">
        <v>3214483439</v>
      </c>
      <c r="J37" s="699">
        <v>1</v>
      </c>
      <c r="K37" s="701">
        <v>30</v>
      </c>
      <c r="L37" s="531">
        <v>30</v>
      </c>
      <c r="M37" s="222" t="s">
        <v>4</v>
      </c>
      <c r="N37" s="531" t="s">
        <v>16</v>
      </c>
      <c r="O37" s="739" t="s">
        <v>1341</v>
      </c>
      <c r="P37" s="166"/>
    </row>
    <row r="38" spans="1:16" ht="23.95" customHeight="1" x14ac:dyDescent="0.25">
      <c r="A38" s="1167">
        <v>18</v>
      </c>
      <c r="B38" s="1170" t="s">
        <v>489</v>
      </c>
      <c r="C38" s="1170" t="s">
        <v>490</v>
      </c>
      <c r="D38" s="166"/>
      <c r="E38" s="166"/>
      <c r="F38" s="693" t="s">
        <v>377</v>
      </c>
      <c r="G38" s="1170" t="s">
        <v>591</v>
      </c>
      <c r="H38" s="731" t="s">
        <v>22</v>
      </c>
      <c r="I38" s="1243">
        <v>3126882922</v>
      </c>
      <c r="J38" s="1226">
        <v>1</v>
      </c>
      <c r="K38" s="1176">
        <v>30</v>
      </c>
      <c r="L38" s="219">
        <v>20</v>
      </c>
      <c r="M38" s="222" t="s">
        <v>4</v>
      </c>
      <c r="N38" s="219" t="s">
        <v>23</v>
      </c>
      <c r="O38" s="1204" t="s">
        <v>1263</v>
      </c>
      <c r="P38" s="219"/>
    </row>
    <row r="39" spans="1:16" ht="24.8" customHeight="1" x14ac:dyDescent="0.25">
      <c r="A39" s="1168"/>
      <c r="B39" s="1171"/>
      <c r="C39" s="1171"/>
      <c r="D39" s="166"/>
      <c r="E39" s="166"/>
      <c r="F39" s="693" t="s">
        <v>377</v>
      </c>
      <c r="G39" s="1171"/>
      <c r="H39" s="731" t="s">
        <v>22</v>
      </c>
      <c r="I39" s="1244"/>
      <c r="J39" s="1236"/>
      <c r="K39" s="1177"/>
      <c r="L39" s="219">
        <v>20</v>
      </c>
      <c r="M39" s="222" t="s">
        <v>231</v>
      </c>
      <c r="N39" s="219" t="s">
        <v>679</v>
      </c>
      <c r="O39" s="1205"/>
      <c r="P39" s="219"/>
    </row>
    <row r="40" spans="1:16" ht="27" customHeight="1" x14ac:dyDescent="0.25">
      <c r="A40" s="1169"/>
      <c r="B40" s="1172"/>
      <c r="C40" s="1172"/>
      <c r="D40" s="166"/>
      <c r="E40" s="166"/>
      <c r="F40" s="693" t="s">
        <v>377</v>
      </c>
      <c r="G40" s="1172"/>
      <c r="H40" s="731" t="s">
        <v>22</v>
      </c>
      <c r="I40" s="1245"/>
      <c r="J40" s="1227"/>
      <c r="K40" s="1178"/>
      <c r="L40" s="219">
        <v>60</v>
      </c>
      <c r="M40" s="222" t="s">
        <v>5</v>
      </c>
      <c r="N40" s="219" t="s">
        <v>23</v>
      </c>
      <c r="O40" s="677" t="s">
        <v>492</v>
      </c>
      <c r="P40" s="219"/>
    </row>
    <row r="41" spans="1:16" ht="21.1" customHeight="1" x14ac:dyDescent="0.25">
      <c r="A41" s="1167">
        <v>19</v>
      </c>
      <c r="B41" s="1170" t="s">
        <v>493</v>
      </c>
      <c r="C41" s="1170" t="s">
        <v>494</v>
      </c>
      <c r="D41" s="166"/>
      <c r="E41" s="166"/>
      <c r="F41" s="693" t="s">
        <v>377</v>
      </c>
      <c r="G41" s="1170" t="s">
        <v>1185</v>
      </c>
      <c r="H41" s="731" t="s">
        <v>24</v>
      </c>
      <c r="I41" s="1200">
        <v>3008807535</v>
      </c>
      <c r="J41" s="1226">
        <v>1</v>
      </c>
      <c r="K41" s="1176">
        <v>30</v>
      </c>
      <c r="L41" s="219">
        <v>20</v>
      </c>
      <c r="M41" s="222" t="s">
        <v>4</v>
      </c>
      <c r="N41" s="219" t="s">
        <v>412</v>
      </c>
      <c r="O41" s="229"/>
      <c r="P41" s="219"/>
    </row>
    <row r="42" spans="1:16" ht="21.75" customHeight="1" x14ac:dyDescent="0.25">
      <c r="A42" s="1168"/>
      <c r="B42" s="1171"/>
      <c r="C42" s="1171"/>
      <c r="D42" s="166"/>
      <c r="E42" s="166"/>
      <c r="F42" s="693" t="s">
        <v>377</v>
      </c>
      <c r="G42" s="1171"/>
      <c r="H42" s="731" t="s">
        <v>24</v>
      </c>
      <c r="I42" s="1201"/>
      <c r="J42" s="1236"/>
      <c r="K42" s="1177"/>
      <c r="L42" s="219">
        <v>20</v>
      </c>
      <c r="M42" s="222" t="s">
        <v>231</v>
      </c>
      <c r="N42" s="219" t="s">
        <v>137</v>
      </c>
      <c r="O42" s="229"/>
      <c r="P42" s="219"/>
    </row>
    <row r="43" spans="1:16" ht="21.75" customHeight="1" x14ac:dyDescent="0.25">
      <c r="A43" s="1169"/>
      <c r="B43" s="1172"/>
      <c r="C43" s="1172"/>
      <c r="D43" s="166"/>
      <c r="E43" s="166"/>
      <c r="F43" s="693" t="s">
        <v>377</v>
      </c>
      <c r="G43" s="1172"/>
      <c r="H43" s="731" t="s">
        <v>24</v>
      </c>
      <c r="I43" s="1235"/>
      <c r="J43" s="1227"/>
      <c r="K43" s="1178"/>
      <c r="L43" s="185">
        <v>20</v>
      </c>
      <c r="M43" s="224" t="s">
        <v>8</v>
      </c>
      <c r="N43" s="185" t="s">
        <v>859</v>
      </c>
      <c r="O43" s="229"/>
      <c r="P43" s="219"/>
    </row>
    <row r="44" spans="1:16" ht="30.1" customHeight="1" x14ac:dyDescent="0.25">
      <c r="A44" s="1167">
        <v>20</v>
      </c>
      <c r="B44" s="1170" t="s">
        <v>495</v>
      </c>
      <c r="C44" s="1170" t="s">
        <v>496</v>
      </c>
      <c r="D44" s="166"/>
      <c r="E44" s="166"/>
      <c r="F44" s="693" t="s">
        <v>377</v>
      </c>
      <c r="G44" s="1170" t="s">
        <v>591</v>
      </c>
      <c r="H44" s="731" t="s">
        <v>21</v>
      </c>
      <c r="I44" s="1200" t="s">
        <v>497</v>
      </c>
      <c r="J44" s="1226">
        <v>1</v>
      </c>
      <c r="K44" s="1176">
        <v>30</v>
      </c>
      <c r="L44" s="219">
        <v>20</v>
      </c>
      <c r="M44" s="222" t="s">
        <v>4</v>
      </c>
      <c r="N44" s="219" t="s">
        <v>670</v>
      </c>
      <c r="O44" s="1204" t="s">
        <v>1263</v>
      </c>
      <c r="P44" s="219"/>
    </row>
    <row r="45" spans="1:16" ht="30.1" customHeight="1" x14ac:dyDescent="0.25">
      <c r="A45" s="1168"/>
      <c r="B45" s="1171"/>
      <c r="C45" s="1171"/>
      <c r="D45" s="166"/>
      <c r="E45" s="166"/>
      <c r="F45" s="693" t="s">
        <v>377</v>
      </c>
      <c r="G45" s="1171"/>
      <c r="H45" s="731" t="s">
        <v>21</v>
      </c>
      <c r="I45" s="1201"/>
      <c r="J45" s="1236"/>
      <c r="K45" s="1177"/>
      <c r="L45" s="219">
        <v>60</v>
      </c>
      <c r="M45" s="222" t="s">
        <v>5</v>
      </c>
      <c r="N45" s="219" t="s">
        <v>670</v>
      </c>
      <c r="O45" s="1279"/>
      <c r="P45" s="219"/>
    </row>
    <row r="46" spans="1:16" ht="30.1" customHeight="1" x14ac:dyDescent="0.25">
      <c r="A46" s="1169"/>
      <c r="B46" s="1172"/>
      <c r="C46" s="1172"/>
      <c r="D46" s="166"/>
      <c r="E46" s="166"/>
      <c r="F46" s="693" t="s">
        <v>377</v>
      </c>
      <c r="G46" s="1172"/>
      <c r="H46" s="731" t="s">
        <v>21</v>
      </c>
      <c r="I46" s="1235"/>
      <c r="J46" s="1227"/>
      <c r="K46" s="1178"/>
      <c r="L46" s="219">
        <v>20</v>
      </c>
      <c r="M46" s="222" t="s">
        <v>231</v>
      </c>
      <c r="N46" s="219" t="s">
        <v>221</v>
      </c>
      <c r="O46" s="1205"/>
      <c r="P46" s="219"/>
    </row>
    <row r="47" spans="1:16" ht="30.1" customHeight="1" x14ac:dyDescent="0.25">
      <c r="A47" s="1167">
        <v>21</v>
      </c>
      <c r="B47" s="1170" t="s">
        <v>498</v>
      </c>
      <c r="C47" s="1170" t="s">
        <v>499</v>
      </c>
      <c r="D47" s="166"/>
      <c r="E47" s="166"/>
      <c r="F47" s="693" t="s">
        <v>377</v>
      </c>
      <c r="G47" s="1170" t="s">
        <v>1186</v>
      </c>
      <c r="H47" s="731" t="s">
        <v>15</v>
      </c>
      <c r="I47" s="1200" t="s">
        <v>500</v>
      </c>
      <c r="J47" s="1176">
        <v>1</v>
      </c>
      <c r="K47" s="1176">
        <v>30</v>
      </c>
      <c r="L47" s="219">
        <v>180</v>
      </c>
      <c r="M47" s="222" t="s">
        <v>5</v>
      </c>
      <c r="N47" s="219" t="s">
        <v>16</v>
      </c>
      <c r="O47" s="219"/>
      <c r="P47" s="219"/>
    </row>
    <row r="48" spans="1:16" ht="30.1" customHeight="1" x14ac:dyDescent="0.25">
      <c r="A48" s="1168"/>
      <c r="B48" s="1171"/>
      <c r="C48" s="1171"/>
      <c r="D48" s="166"/>
      <c r="E48" s="166"/>
      <c r="F48" s="693" t="s">
        <v>377</v>
      </c>
      <c r="G48" s="1171"/>
      <c r="H48" s="731" t="s">
        <v>15</v>
      </c>
      <c r="I48" s="1201"/>
      <c r="J48" s="1177"/>
      <c r="K48" s="1177"/>
      <c r="L48" s="219">
        <v>30</v>
      </c>
      <c r="M48" s="222" t="s">
        <v>4</v>
      </c>
      <c r="N48" s="219" t="s">
        <v>16</v>
      </c>
      <c r="O48" s="219"/>
      <c r="P48" s="219"/>
    </row>
    <row r="49" spans="1:16" ht="30.1" customHeight="1" x14ac:dyDescent="0.25">
      <c r="A49" s="1168"/>
      <c r="B49" s="1171"/>
      <c r="C49" s="1171"/>
      <c r="D49" s="647"/>
      <c r="E49" s="647"/>
      <c r="F49" s="693" t="s">
        <v>377</v>
      </c>
      <c r="G49" s="1171"/>
      <c r="H49" s="731" t="s">
        <v>15</v>
      </c>
      <c r="I49" s="1201"/>
      <c r="J49" s="1177"/>
      <c r="K49" s="1177"/>
      <c r="L49" s="650">
        <v>20</v>
      </c>
      <c r="M49" s="222" t="s">
        <v>8</v>
      </c>
      <c r="N49" s="650" t="s">
        <v>1298</v>
      </c>
      <c r="O49" s="1170" t="s">
        <v>1299</v>
      </c>
      <c r="P49" s="650"/>
    </row>
    <row r="50" spans="1:16" ht="30.1" customHeight="1" x14ac:dyDescent="0.25">
      <c r="A50" s="1169"/>
      <c r="B50" s="1172"/>
      <c r="C50" s="1172"/>
      <c r="D50" s="166"/>
      <c r="E50" s="166"/>
      <c r="F50" s="693" t="s">
        <v>377</v>
      </c>
      <c r="G50" s="1172"/>
      <c r="H50" s="731" t="s">
        <v>15</v>
      </c>
      <c r="I50" s="1235"/>
      <c r="J50" s="1178"/>
      <c r="K50" s="1178"/>
      <c r="L50" s="219">
        <v>20</v>
      </c>
      <c r="M50" s="222" t="s">
        <v>231</v>
      </c>
      <c r="N50" s="219" t="s">
        <v>858</v>
      </c>
      <c r="O50" s="1172"/>
      <c r="P50" s="219"/>
    </row>
    <row r="51" spans="1:16" ht="30.1" customHeight="1" x14ac:dyDescent="0.25">
      <c r="A51" s="1167">
        <v>22</v>
      </c>
      <c r="B51" s="1170" t="s">
        <v>501</v>
      </c>
      <c r="C51" s="1170" t="s">
        <v>502</v>
      </c>
      <c r="D51" s="432"/>
      <c r="E51" s="432"/>
      <c r="F51" s="693" t="s">
        <v>377</v>
      </c>
      <c r="G51" s="1170" t="s">
        <v>588</v>
      </c>
      <c r="H51" s="731" t="s">
        <v>14</v>
      </c>
      <c r="I51" s="1200" t="s">
        <v>503</v>
      </c>
      <c r="J51" s="1226">
        <v>1</v>
      </c>
      <c r="K51" s="1176">
        <v>30</v>
      </c>
      <c r="L51" s="702">
        <v>20</v>
      </c>
      <c r="M51" s="222" t="s">
        <v>4</v>
      </c>
      <c r="N51" s="702" t="s">
        <v>450</v>
      </c>
      <c r="O51" s="1170" t="s">
        <v>504</v>
      </c>
      <c r="P51" s="1170"/>
    </row>
    <row r="52" spans="1:16" ht="30.1" customHeight="1" x14ac:dyDescent="0.25">
      <c r="A52" s="1169"/>
      <c r="B52" s="1172"/>
      <c r="C52" s="1172"/>
      <c r="D52" s="432"/>
      <c r="E52" s="432"/>
      <c r="F52" s="693" t="s">
        <v>377</v>
      </c>
      <c r="G52" s="1172"/>
      <c r="H52" s="731" t="s">
        <v>14</v>
      </c>
      <c r="I52" s="1235"/>
      <c r="J52" s="1227"/>
      <c r="K52" s="1178"/>
      <c r="L52" s="702">
        <v>20</v>
      </c>
      <c r="M52" s="222" t="s">
        <v>231</v>
      </c>
      <c r="N52" s="702" t="s">
        <v>450</v>
      </c>
      <c r="O52" s="1172"/>
      <c r="P52" s="1172"/>
    </row>
    <row r="53" spans="1:16" ht="30.1" customHeight="1" x14ac:dyDescent="0.25">
      <c r="A53" s="668">
        <v>23</v>
      </c>
      <c r="B53" s="669" t="s">
        <v>506</v>
      </c>
      <c r="C53" s="670" t="s">
        <v>507</v>
      </c>
      <c r="D53" s="166"/>
      <c r="E53" s="166"/>
      <c r="F53" s="670" t="s">
        <v>410</v>
      </c>
      <c r="G53" s="670" t="s">
        <v>588</v>
      </c>
      <c r="H53" s="670" t="s">
        <v>25</v>
      </c>
      <c r="I53" s="671">
        <v>3184441237</v>
      </c>
      <c r="J53" s="672">
        <v>1</v>
      </c>
      <c r="K53" s="672">
        <v>30</v>
      </c>
      <c r="L53" s="670">
        <v>20</v>
      </c>
      <c r="M53" s="673" t="s">
        <v>4</v>
      </c>
      <c r="N53" s="670" t="s">
        <v>26</v>
      </c>
      <c r="O53" s="670"/>
      <c r="P53" s="670"/>
    </row>
    <row r="54" spans="1:16" ht="30.1" customHeight="1" x14ac:dyDescent="0.25">
      <c r="A54" s="1167">
        <v>24</v>
      </c>
      <c r="B54" s="1170" t="s">
        <v>508</v>
      </c>
      <c r="C54" s="1170" t="s">
        <v>509</v>
      </c>
      <c r="D54" s="166"/>
      <c r="E54" s="166"/>
      <c r="F54" s="705" t="s">
        <v>376</v>
      </c>
      <c r="G54" s="1192" t="s">
        <v>605</v>
      </c>
      <c r="H54" s="731" t="s">
        <v>9</v>
      </c>
      <c r="I54" s="1218" t="s">
        <v>510</v>
      </c>
      <c r="J54" s="1226">
        <v>1</v>
      </c>
      <c r="K54" s="1176">
        <v>30</v>
      </c>
      <c r="L54" s="219">
        <v>16</v>
      </c>
      <c r="M54" s="222" t="s">
        <v>4</v>
      </c>
      <c r="N54" s="219" t="s">
        <v>7</v>
      </c>
      <c r="O54" s="1170" t="s">
        <v>1263</v>
      </c>
      <c r="P54" s="1256" t="s">
        <v>1263</v>
      </c>
    </row>
    <row r="55" spans="1:16" ht="30.1" customHeight="1" x14ac:dyDescent="0.25">
      <c r="A55" s="1168"/>
      <c r="B55" s="1171"/>
      <c r="C55" s="1171"/>
      <c r="D55" s="166"/>
      <c r="E55" s="166"/>
      <c r="F55" s="705" t="s">
        <v>376</v>
      </c>
      <c r="G55" s="1242"/>
      <c r="H55" s="731" t="s">
        <v>9</v>
      </c>
      <c r="I55" s="1238"/>
      <c r="J55" s="1236"/>
      <c r="K55" s="1177"/>
      <c r="L55" s="219">
        <v>16</v>
      </c>
      <c r="M55" s="222" t="s">
        <v>231</v>
      </c>
      <c r="N55" s="166" t="s">
        <v>415</v>
      </c>
      <c r="O55" s="1171"/>
      <c r="P55" s="1257"/>
    </row>
    <row r="56" spans="1:16" ht="30.1" customHeight="1" x14ac:dyDescent="0.25">
      <c r="A56" s="1168"/>
      <c r="B56" s="1171"/>
      <c r="C56" s="1171"/>
      <c r="D56" s="166"/>
      <c r="E56" s="166"/>
      <c r="F56" s="705" t="s">
        <v>376</v>
      </c>
      <c r="G56" s="1193"/>
      <c r="H56" s="731" t="s">
        <v>9</v>
      </c>
      <c r="I56" s="1238"/>
      <c r="J56" s="1236"/>
      <c r="K56" s="1177"/>
      <c r="L56" s="219">
        <v>16</v>
      </c>
      <c r="M56" s="222" t="s">
        <v>8</v>
      </c>
      <c r="N56" s="219" t="s">
        <v>432</v>
      </c>
      <c r="O56" s="1171"/>
      <c r="P56" s="1258"/>
    </row>
    <row r="57" spans="1:16" s="4" customFormat="1" ht="30.1" customHeight="1" x14ac:dyDescent="0.25">
      <c r="A57" s="1167">
        <v>26</v>
      </c>
      <c r="B57" s="1170" t="s">
        <v>511</v>
      </c>
      <c r="C57" s="1170" t="s">
        <v>512</v>
      </c>
      <c r="D57" s="230"/>
      <c r="E57" s="231"/>
      <c r="F57" s="693" t="s">
        <v>376</v>
      </c>
      <c r="G57" s="1170" t="s">
        <v>722</v>
      </c>
      <c r="H57" s="731" t="s">
        <v>14</v>
      </c>
      <c r="I57" s="1200">
        <v>3008151227</v>
      </c>
      <c r="J57" s="1226">
        <v>2</v>
      </c>
      <c r="K57" s="1176">
        <v>1</v>
      </c>
      <c r="L57" s="166">
        <v>60</v>
      </c>
      <c r="M57" s="228" t="s">
        <v>5</v>
      </c>
      <c r="N57" s="1237" t="s">
        <v>450</v>
      </c>
      <c r="O57" s="1237" t="s">
        <v>1263</v>
      </c>
      <c r="P57" s="1256" t="s">
        <v>1263</v>
      </c>
    </row>
    <row r="58" spans="1:16" s="4" customFormat="1" ht="30.1" customHeight="1" x14ac:dyDescent="0.25">
      <c r="A58" s="1168"/>
      <c r="B58" s="1171"/>
      <c r="C58" s="1171"/>
      <c r="D58" s="230"/>
      <c r="E58" s="231"/>
      <c r="F58" s="693" t="s">
        <v>376</v>
      </c>
      <c r="G58" s="1171"/>
      <c r="H58" s="731" t="s">
        <v>14</v>
      </c>
      <c r="I58" s="1201"/>
      <c r="J58" s="1236"/>
      <c r="K58" s="1177"/>
      <c r="L58" s="166">
        <v>60</v>
      </c>
      <c r="M58" s="228" t="s">
        <v>4</v>
      </c>
      <c r="N58" s="1237"/>
      <c r="O58" s="1237"/>
      <c r="P58" s="1257"/>
    </row>
    <row r="59" spans="1:16" s="4" customFormat="1" ht="30.1" customHeight="1" x14ac:dyDescent="0.25">
      <c r="A59" s="1168"/>
      <c r="B59" s="1171"/>
      <c r="C59" s="1171"/>
      <c r="D59" s="230"/>
      <c r="E59" s="231"/>
      <c r="F59" s="693" t="s">
        <v>376</v>
      </c>
      <c r="G59" s="1171"/>
      <c r="H59" s="731" t="s">
        <v>14</v>
      </c>
      <c r="I59" s="1201"/>
      <c r="J59" s="1236"/>
      <c r="K59" s="1177"/>
      <c r="L59" s="166">
        <v>12</v>
      </c>
      <c r="M59" s="228" t="s">
        <v>231</v>
      </c>
      <c r="N59" s="1237"/>
      <c r="O59" s="1237"/>
      <c r="P59" s="1258"/>
    </row>
    <row r="60" spans="1:16" ht="30.1" customHeight="1" x14ac:dyDescent="0.25">
      <c r="A60" s="1167">
        <v>27</v>
      </c>
      <c r="B60" s="1170" t="s">
        <v>513</v>
      </c>
      <c r="C60" s="1170" t="s">
        <v>514</v>
      </c>
      <c r="D60" s="691"/>
      <c r="E60" s="691"/>
      <c r="F60" s="693" t="s">
        <v>389</v>
      </c>
      <c r="G60" s="1170" t="s">
        <v>1187</v>
      </c>
      <c r="H60" s="731" t="s">
        <v>14</v>
      </c>
      <c r="I60" s="1218">
        <v>7850717</v>
      </c>
      <c r="J60" s="1223">
        <v>1</v>
      </c>
      <c r="K60" s="1223">
        <v>30</v>
      </c>
      <c r="L60" s="702">
        <v>30</v>
      </c>
      <c r="M60" s="222" t="s">
        <v>4</v>
      </c>
      <c r="N60" s="1170" t="s">
        <v>450</v>
      </c>
      <c r="O60" s="696"/>
      <c r="P60" s="702"/>
    </row>
    <row r="61" spans="1:16" ht="30.1" customHeight="1" x14ac:dyDescent="0.25">
      <c r="A61" s="1168"/>
      <c r="B61" s="1171"/>
      <c r="C61" s="1171"/>
      <c r="D61" s="691"/>
      <c r="E61" s="691"/>
      <c r="F61" s="693" t="s">
        <v>389</v>
      </c>
      <c r="G61" s="1171"/>
      <c r="H61" s="731" t="s">
        <v>14</v>
      </c>
      <c r="I61" s="1238"/>
      <c r="J61" s="1224"/>
      <c r="K61" s="1224"/>
      <c r="L61" s="702">
        <v>12</v>
      </c>
      <c r="M61" s="222" t="s">
        <v>231</v>
      </c>
      <c r="N61" s="1171"/>
      <c r="O61" s="702"/>
      <c r="P61" s="702"/>
    </row>
    <row r="62" spans="1:16" ht="30.1" customHeight="1" x14ac:dyDescent="0.25">
      <c r="A62" s="1169"/>
      <c r="B62" s="1172"/>
      <c r="C62" s="1172"/>
      <c r="D62" s="691"/>
      <c r="E62" s="691"/>
      <c r="F62" s="693" t="s">
        <v>389</v>
      </c>
      <c r="G62" s="1172"/>
      <c r="H62" s="731" t="s">
        <v>14</v>
      </c>
      <c r="I62" s="1219"/>
      <c r="J62" s="1225"/>
      <c r="K62" s="1225"/>
      <c r="L62" s="702">
        <v>12</v>
      </c>
      <c r="M62" s="222" t="s">
        <v>8</v>
      </c>
      <c r="N62" s="1172"/>
      <c r="O62" s="702"/>
      <c r="P62" s="702"/>
    </row>
    <row r="63" spans="1:16" ht="30.1" customHeight="1" x14ac:dyDescent="0.25">
      <c r="A63" s="212">
        <v>29</v>
      </c>
      <c r="B63" s="232" t="s">
        <v>519</v>
      </c>
      <c r="C63" s="166" t="s">
        <v>520</v>
      </c>
      <c r="D63" s="166"/>
      <c r="E63" s="166"/>
      <c r="F63" s="691" t="s">
        <v>377</v>
      </c>
      <c r="G63" s="166" t="s">
        <v>1173</v>
      </c>
      <c r="H63" s="730" t="s">
        <v>521</v>
      </c>
      <c r="I63" s="618" t="s">
        <v>522</v>
      </c>
      <c r="J63" s="695">
        <v>1</v>
      </c>
      <c r="K63" s="695">
        <v>30</v>
      </c>
      <c r="L63" s="166">
        <v>12</v>
      </c>
      <c r="M63" s="228" t="s">
        <v>4</v>
      </c>
      <c r="N63" s="166" t="s">
        <v>670</v>
      </c>
      <c r="O63" s="233" t="s">
        <v>775</v>
      </c>
      <c r="P63" s="166"/>
    </row>
    <row r="64" spans="1:16" ht="30.1" customHeight="1" x14ac:dyDescent="0.25">
      <c r="A64" s="112"/>
      <c r="B64" s="124" t="s">
        <v>523</v>
      </c>
      <c r="C64" s="113" t="s">
        <v>524</v>
      </c>
      <c r="D64" s="113"/>
      <c r="E64" s="113"/>
      <c r="F64" s="689"/>
      <c r="G64" s="113" t="s">
        <v>622</v>
      </c>
      <c r="H64" s="728" t="s">
        <v>14</v>
      </c>
      <c r="I64" s="619"/>
      <c r="J64" s="125">
        <v>11</v>
      </c>
      <c r="K64" s="125">
        <v>10</v>
      </c>
      <c r="L64" s="113">
        <v>120</v>
      </c>
      <c r="M64" s="126" t="s">
        <v>525</v>
      </c>
      <c r="N64" s="145" t="s">
        <v>450</v>
      </c>
      <c r="O64" s="113" t="s">
        <v>526</v>
      </c>
      <c r="P64" s="113"/>
    </row>
    <row r="65" spans="1:16" ht="20.25" customHeight="1" x14ac:dyDescent="0.25">
      <c r="A65" s="1167">
        <v>30</v>
      </c>
      <c r="B65" s="1179" t="s">
        <v>527</v>
      </c>
      <c r="C65" s="1179" t="s">
        <v>528</v>
      </c>
      <c r="D65" s="166"/>
      <c r="E65" s="166"/>
      <c r="F65" s="692" t="s">
        <v>410</v>
      </c>
      <c r="G65" s="1179" t="s">
        <v>624</v>
      </c>
      <c r="H65" s="729" t="s">
        <v>469</v>
      </c>
      <c r="I65" s="1200"/>
      <c r="J65" s="1239">
        <v>12</v>
      </c>
      <c r="K65" s="1239">
        <v>11</v>
      </c>
      <c r="L65" s="166">
        <v>15</v>
      </c>
      <c r="M65" s="228" t="s">
        <v>5</v>
      </c>
      <c r="N65" s="1179" t="s">
        <v>450</v>
      </c>
      <c r="O65" s="1179" t="s">
        <v>1440</v>
      </c>
      <c r="P65" s="166"/>
    </row>
    <row r="66" spans="1:16" ht="18.7" customHeight="1" x14ac:dyDescent="0.25">
      <c r="A66" s="1168"/>
      <c r="B66" s="1184"/>
      <c r="C66" s="1184"/>
      <c r="D66" s="166"/>
      <c r="E66" s="166"/>
      <c r="F66" s="692" t="s">
        <v>410</v>
      </c>
      <c r="G66" s="1184"/>
      <c r="H66" s="729" t="s">
        <v>469</v>
      </c>
      <c r="I66" s="1201"/>
      <c r="J66" s="1240"/>
      <c r="K66" s="1240"/>
      <c r="L66" s="166">
        <v>20</v>
      </c>
      <c r="M66" s="228" t="s">
        <v>4</v>
      </c>
      <c r="N66" s="1184"/>
      <c r="O66" s="1184"/>
      <c r="P66" s="166"/>
    </row>
    <row r="67" spans="1:16" ht="20.25" customHeight="1" x14ac:dyDescent="0.25">
      <c r="A67" s="1168"/>
      <c r="B67" s="1184"/>
      <c r="C67" s="1184"/>
      <c r="D67" s="166"/>
      <c r="E67" s="166"/>
      <c r="F67" s="692" t="s">
        <v>410</v>
      </c>
      <c r="G67" s="1184"/>
      <c r="H67" s="729" t="s">
        <v>469</v>
      </c>
      <c r="I67" s="1201"/>
      <c r="J67" s="1240"/>
      <c r="K67" s="1240"/>
      <c r="L67" s="166">
        <v>4</v>
      </c>
      <c r="M67" s="228" t="s">
        <v>8</v>
      </c>
      <c r="N67" s="1184"/>
      <c r="O67" s="1184"/>
      <c r="P67" s="1179"/>
    </row>
    <row r="68" spans="1:16" ht="22.6" customHeight="1" x14ac:dyDescent="0.25">
      <c r="A68" s="1168"/>
      <c r="B68" s="1184"/>
      <c r="C68" s="1184"/>
      <c r="D68" s="166"/>
      <c r="E68" s="166"/>
      <c r="F68" s="692" t="s">
        <v>410</v>
      </c>
      <c r="G68" s="1184"/>
      <c r="H68" s="729" t="s">
        <v>469</v>
      </c>
      <c r="I68" s="1201"/>
      <c r="J68" s="1240"/>
      <c r="K68" s="1240"/>
      <c r="L68" s="166">
        <v>1</v>
      </c>
      <c r="M68" s="228" t="s">
        <v>230</v>
      </c>
      <c r="N68" s="1184"/>
      <c r="O68" s="1184"/>
      <c r="P68" s="1180"/>
    </row>
    <row r="69" spans="1:16" ht="19.55" customHeight="1" x14ac:dyDescent="0.25">
      <c r="A69" s="1169"/>
      <c r="B69" s="1180"/>
      <c r="C69" s="1180"/>
      <c r="D69" s="166"/>
      <c r="E69" s="166"/>
      <c r="F69" s="692" t="s">
        <v>410</v>
      </c>
      <c r="G69" s="1180"/>
      <c r="H69" s="729" t="s">
        <v>469</v>
      </c>
      <c r="I69" s="1235"/>
      <c r="J69" s="1241"/>
      <c r="K69" s="1241"/>
      <c r="L69" s="166">
        <v>4</v>
      </c>
      <c r="M69" s="228" t="s">
        <v>231</v>
      </c>
      <c r="N69" s="1180"/>
      <c r="O69" s="1180"/>
      <c r="P69" s="166"/>
    </row>
    <row r="70" spans="1:16" s="2" customFormat="1" ht="24.8" customHeight="1" x14ac:dyDescent="0.25">
      <c r="A70" s="1167">
        <v>31</v>
      </c>
      <c r="B70" s="1179" t="s">
        <v>529</v>
      </c>
      <c r="C70" s="1179" t="s">
        <v>530</v>
      </c>
      <c r="D70" s="166"/>
      <c r="E70" s="166"/>
      <c r="F70" s="692" t="s">
        <v>410</v>
      </c>
      <c r="G70" s="1179" t="s">
        <v>615</v>
      </c>
      <c r="H70" s="729" t="s">
        <v>117</v>
      </c>
      <c r="I70" s="1218" t="s">
        <v>531</v>
      </c>
      <c r="J70" s="1176">
        <v>1</v>
      </c>
      <c r="K70" s="1176">
        <v>30</v>
      </c>
      <c r="L70" s="166">
        <v>60</v>
      </c>
      <c r="M70" s="228" t="s">
        <v>5</v>
      </c>
      <c r="N70" s="166" t="s">
        <v>118</v>
      </c>
      <c r="O70" s="234"/>
      <c r="P70" s="235"/>
    </row>
    <row r="71" spans="1:16" ht="27" customHeight="1" x14ac:dyDescent="0.25">
      <c r="A71" s="1169"/>
      <c r="B71" s="1180"/>
      <c r="C71" s="1180"/>
      <c r="D71" s="166"/>
      <c r="E71" s="166"/>
      <c r="F71" s="692" t="s">
        <v>410</v>
      </c>
      <c r="G71" s="1180"/>
      <c r="H71" s="729" t="s">
        <v>117</v>
      </c>
      <c r="I71" s="1219"/>
      <c r="J71" s="1178"/>
      <c r="K71" s="1178"/>
      <c r="L71" s="166">
        <v>60</v>
      </c>
      <c r="M71" s="228" t="s">
        <v>4</v>
      </c>
      <c r="N71" s="166" t="s">
        <v>118</v>
      </c>
      <c r="O71" s="227"/>
      <c r="P71" s="236"/>
    </row>
    <row r="72" spans="1:16" ht="27" customHeight="1" x14ac:dyDescent="0.25">
      <c r="A72" s="1167">
        <v>32</v>
      </c>
      <c r="B72" s="1179" t="s">
        <v>532</v>
      </c>
      <c r="C72" s="1179" t="s">
        <v>533</v>
      </c>
      <c r="D72" s="166"/>
      <c r="E72" s="166"/>
      <c r="F72" s="692" t="s">
        <v>377</v>
      </c>
      <c r="G72" s="1179"/>
      <c r="H72" s="729" t="s">
        <v>439</v>
      </c>
      <c r="I72" s="1200">
        <v>3007763838</v>
      </c>
      <c r="J72" s="1176">
        <v>1</v>
      </c>
      <c r="K72" s="1176">
        <v>30</v>
      </c>
      <c r="L72" s="166">
        <v>20</v>
      </c>
      <c r="M72" s="228" t="s">
        <v>8</v>
      </c>
      <c r="N72" s="166" t="s">
        <v>564</v>
      </c>
      <c r="O72" s="1246" t="s">
        <v>584</v>
      </c>
      <c r="P72" s="236"/>
    </row>
    <row r="73" spans="1:16" ht="27" customHeight="1" x14ac:dyDescent="0.25">
      <c r="A73" s="1169"/>
      <c r="B73" s="1180"/>
      <c r="C73" s="1180"/>
      <c r="D73" s="166"/>
      <c r="E73" s="166"/>
      <c r="F73" s="692" t="s">
        <v>377</v>
      </c>
      <c r="G73" s="1180"/>
      <c r="H73" s="729" t="s">
        <v>439</v>
      </c>
      <c r="I73" s="1235"/>
      <c r="J73" s="1178"/>
      <c r="K73" s="1178"/>
      <c r="L73" s="166">
        <v>20</v>
      </c>
      <c r="M73" s="228" t="s">
        <v>4</v>
      </c>
      <c r="N73" s="166" t="s">
        <v>433</v>
      </c>
      <c r="O73" s="1248"/>
      <c r="P73" s="627">
        <v>30</v>
      </c>
    </row>
    <row r="74" spans="1:16" ht="23.95" customHeight="1" x14ac:dyDescent="0.25">
      <c r="A74" s="1188">
        <v>33</v>
      </c>
      <c r="B74" s="1189" t="s">
        <v>427</v>
      </c>
      <c r="C74" s="1189" t="s">
        <v>535</v>
      </c>
      <c r="D74" s="1189" t="s">
        <v>375</v>
      </c>
      <c r="E74" s="1185">
        <v>78037181</v>
      </c>
      <c r="F74" s="707" t="s">
        <v>442</v>
      </c>
      <c r="G74" s="1179" t="s">
        <v>635</v>
      </c>
      <c r="H74" s="736" t="s">
        <v>22</v>
      </c>
      <c r="I74" s="1194">
        <v>3045339349</v>
      </c>
      <c r="J74" s="1228">
        <v>1</v>
      </c>
      <c r="K74" s="1270">
        <v>30</v>
      </c>
      <c r="L74" s="237">
        <v>20</v>
      </c>
      <c r="M74" s="238" t="s">
        <v>4</v>
      </c>
      <c r="N74" s="238" t="s">
        <v>23</v>
      </c>
      <c r="O74" s="1179" t="s">
        <v>1423</v>
      </c>
      <c r="P74" s="1170"/>
    </row>
    <row r="75" spans="1:16" ht="23.95" customHeight="1" x14ac:dyDescent="0.25">
      <c r="A75" s="1188"/>
      <c r="B75" s="1190"/>
      <c r="C75" s="1190"/>
      <c r="D75" s="1190"/>
      <c r="E75" s="1186"/>
      <c r="F75" s="707" t="s">
        <v>442</v>
      </c>
      <c r="G75" s="1184"/>
      <c r="H75" s="736" t="s">
        <v>22</v>
      </c>
      <c r="I75" s="1194"/>
      <c r="J75" s="1228"/>
      <c r="K75" s="1271"/>
      <c r="L75" s="237">
        <v>60</v>
      </c>
      <c r="M75" s="238" t="s">
        <v>5</v>
      </c>
      <c r="N75" s="238" t="s">
        <v>23</v>
      </c>
      <c r="O75" s="1184"/>
      <c r="P75" s="1171"/>
    </row>
    <row r="76" spans="1:16" ht="23.95" customHeight="1" x14ac:dyDescent="0.25">
      <c r="A76" s="1188"/>
      <c r="B76" s="1191"/>
      <c r="C76" s="1191"/>
      <c r="D76" s="1191"/>
      <c r="E76" s="1187"/>
      <c r="F76" s="707" t="s">
        <v>442</v>
      </c>
      <c r="G76" s="1180"/>
      <c r="H76" s="736" t="s">
        <v>22</v>
      </c>
      <c r="I76" s="1194"/>
      <c r="J76" s="1228"/>
      <c r="K76" s="1272"/>
      <c r="L76" s="237">
        <v>20</v>
      </c>
      <c r="M76" s="238" t="s">
        <v>231</v>
      </c>
      <c r="N76" s="238" t="s">
        <v>491</v>
      </c>
      <c r="O76" s="1180"/>
      <c r="P76" s="1172"/>
    </row>
    <row r="77" spans="1:16" ht="47.25" customHeight="1" x14ac:dyDescent="0.25">
      <c r="A77" s="1167">
        <v>34</v>
      </c>
      <c r="B77" s="1179" t="s">
        <v>536</v>
      </c>
      <c r="C77" s="1179" t="s">
        <v>537</v>
      </c>
      <c r="D77" s="166" t="s">
        <v>375</v>
      </c>
      <c r="E77" s="239">
        <v>50919775</v>
      </c>
      <c r="F77" s="691" t="s">
        <v>377</v>
      </c>
      <c r="G77" s="166"/>
      <c r="H77" s="729" t="s">
        <v>14</v>
      </c>
      <c r="I77" s="304"/>
      <c r="J77" s="1176">
        <v>1</v>
      </c>
      <c r="K77" s="1176">
        <v>30</v>
      </c>
      <c r="L77" s="166">
        <v>40</v>
      </c>
      <c r="M77" s="166" t="s">
        <v>4</v>
      </c>
      <c r="N77" s="166" t="s">
        <v>450</v>
      </c>
      <c r="O77" s="166" t="s">
        <v>778</v>
      </c>
      <c r="P77" s="166"/>
    </row>
    <row r="78" spans="1:16" ht="47.25" customHeight="1" x14ac:dyDescent="0.25">
      <c r="A78" s="1169"/>
      <c r="B78" s="1180"/>
      <c r="C78" s="1180"/>
      <c r="D78" s="647"/>
      <c r="E78" s="652"/>
      <c r="F78" s="691" t="s">
        <v>377</v>
      </c>
      <c r="G78" s="648"/>
      <c r="H78" s="729" t="s">
        <v>14</v>
      </c>
      <c r="I78" s="649"/>
      <c r="J78" s="1178"/>
      <c r="K78" s="1178"/>
      <c r="L78" s="647">
        <v>20</v>
      </c>
      <c r="M78" s="647" t="s">
        <v>8</v>
      </c>
      <c r="N78" s="648" t="s">
        <v>450</v>
      </c>
      <c r="O78" s="651" t="s">
        <v>1294</v>
      </c>
      <c r="P78" s="648"/>
    </row>
    <row r="79" spans="1:16" ht="30.1" customHeight="1" x14ac:dyDescent="0.25">
      <c r="A79" s="1232">
        <v>35</v>
      </c>
      <c r="B79" s="1220" t="s">
        <v>534</v>
      </c>
      <c r="C79" s="1220" t="s">
        <v>538</v>
      </c>
      <c r="D79" s="626"/>
      <c r="E79" s="678"/>
      <c r="F79" s="706" t="s">
        <v>377</v>
      </c>
      <c r="G79" s="1220" t="s">
        <v>623</v>
      </c>
      <c r="H79" s="735" t="s">
        <v>469</v>
      </c>
      <c r="I79" s="1206">
        <v>3147929320</v>
      </c>
      <c r="J79" s="1215">
        <v>30</v>
      </c>
      <c r="K79" s="1215">
        <v>29</v>
      </c>
      <c r="L79" s="626">
        <v>60</v>
      </c>
      <c r="M79" s="626" t="s">
        <v>4</v>
      </c>
      <c r="N79" s="1220" t="s">
        <v>450</v>
      </c>
      <c r="O79" s="1220" t="s">
        <v>1161</v>
      </c>
      <c r="P79" s="1220" t="s">
        <v>1333</v>
      </c>
    </row>
    <row r="80" spans="1:16" ht="30.1" customHeight="1" x14ac:dyDescent="0.25">
      <c r="A80" s="1233"/>
      <c r="B80" s="1221"/>
      <c r="C80" s="1221"/>
      <c r="D80" s="626"/>
      <c r="E80" s="678"/>
      <c r="F80" s="706" t="s">
        <v>377</v>
      </c>
      <c r="G80" s="1221"/>
      <c r="H80" s="735" t="s">
        <v>469</v>
      </c>
      <c r="I80" s="1207"/>
      <c r="J80" s="1216"/>
      <c r="K80" s="1216"/>
      <c r="L80" s="626">
        <v>60</v>
      </c>
      <c r="M80" s="626" t="s">
        <v>8</v>
      </c>
      <c r="N80" s="1221"/>
      <c r="O80" s="1221"/>
      <c r="P80" s="1221"/>
    </row>
    <row r="81" spans="1:16" ht="30.1" customHeight="1" x14ac:dyDescent="0.25">
      <c r="A81" s="1233"/>
      <c r="B81" s="1221"/>
      <c r="C81" s="1221"/>
      <c r="D81" s="626"/>
      <c r="E81" s="678"/>
      <c r="F81" s="706" t="s">
        <v>377</v>
      </c>
      <c r="G81" s="1221"/>
      <c r="H81" s="735" t="s">
        <v>469</v>
      </c>
      <c r="I81" s="1207"/>
      <c r="J81" s="1216"/>
      <c r="K81" s="1216"/>
      <c r="L81" s="626">
        <v>60</v>
      </c>
      <c r="M81" s="626" t="s">
        <v>231</v>
      </c>
      <c r="N81" s="1221"/>
      <c r="O81" s="1221"/>
      <c r="P81" s="1221"/>
    </row>
    <row r="82" spans="1:16" ht="30.1" customHeight="1" x14ac:dyDescent="0.25">
      <c r="A82" s="1234"/>
      <c r="B82" s="1222"/>
      <c r="C82" s="1222"/>
      <c r="D82" s="626"/>
      <c r="E82" s="626"/>
      <c r="F82" s="706" t="s">
        <v>377</v>
      </c>
      <c r="G82" s="1222"/>
      <c r="H82" s="735" t="s">
        <v>469</v>
      </c>
      <c r="I82" s="1208"/>
      <c r="J82" s="1217"/>
      <c r="K82" s="1217"/>
      <c r="L82" s="626">
        <v>30</v>
      </c>
      <c r="M82" s="626" t="s">
        <v>5</v>
      </c>
      <c r="N82" s="1222"/>
      <c r="O82" s="1222"/>
      <c r="P82" s="1222"/>
    </row>
    <row r="83" spans="1:16" s="4" customFormat="1" ht="30.1" customHeight="1" x14ac:dyDescent="0.25">
      <c r="A83" s="1167">
        <v>36</v>
      </c>
      <c r="B83" s="1179" t="s">
        <v>539</v>
      </c>
      <c r="C83" s="1179" t="s">
        <v>540</v>
      </c>
      <c r="D83" s="1179" t="s">
        <v>375</v>
      </c>
      <c r="E83" s="1198">
        <v>78027242</v>
      </c>
      <c r="F83" s="692" t="s">
        <v>376</v>
      </c>
      <c r="G83" s="1179" t="s">
        <v>606</v>
      </c>
      <c r="H83" s="729" t="s">
        <v>9</v>
      </c>
      <c r="I83" s="1200">
        <v>3113286434</v>
      </c>
      <c r="J83" s="1176">
        <v>1</v>
      </c>
      <c r="K83" s="1176">
        <v>30</v>
      </c>
      <c r="L83" s="241">
        <v>20</v>
      </c>
      <c r="M83" s="166" t="s">
        <v>4</v>
      </c>
      <c r="N83" s="166" t="s">
        <v>7</v>
      </c>
      <c r="O83" s="1259" t="s">
        <v>864</v>
      </c>
      <c r="P83" s="1252"/>
    </row>
    <row r="84" spans="1:16" s="4" customFormat="1" ht="30.1" customHeight="1" x14ac:dyDescent="0.25">
      <c r="A84" s="1168"/>
      <c r="B84" s="1184"/>
      <c r="C84" s="1184"/>
      <c r="D84" s="1184"/>
      <c r="E84" s="1199"/>
      <c r="F84" s="692" t="s">
        <v>376</v>
      </c>
      <c r="G84" s="1184"/>
      <c r="H84" s="729" t="s">
        <v>9</v>
      </c>
      <c r="I84" s="1201"/>
      <c r="J84" s="1177"/>
      <c r="K84" s="1177"/>
      <c r="L84" s="241">
        <v>20</v>
      </c>
      <c r="M84" s="166" t="s">
        <v>5</v>
      </c>
      <c r="N84" s="166" t="s">
        <v>7</v>
      </c>
      <c r="O84" s="1260"/>
      <c r="P84" s="1252"/>
    </row>
    <row r="85" spans="1:16" s="4" customFormat="1" ht="30.1" customHeight="1" x14ac:dyDescent="0.25">
      <c r="A85" s="1168"/>
      <c r="B85" s="1184"/>
      <c r="C85" s="1184"/>
      <c r="D85" s="1184"/>
      <c r="E85" s="1199"/>
      <c r="F85" s="692" t="s">
        <v>376</v>
      </c>
      <c r="G85" s="1184"/>
      <c r="H85" s="729" t="s">
        <v>9</v>
      </c>
      <c r="I85" s="1201"/>
      <c r="J85" s="1177"/>
      <c r="K85" s="1177"/>
      <c r="L85" s="241">
        <v>20</v>
      </c>
      <c r="M85" s="166" t="s">
        <v>231</v>
      </c>
      <c r="N85" s="166" t="s">
        <v>415</v>
      </c>
      <c r="O85" s="1260"/>
      <c r="P85" s="1252"/>
    </row>
    <row r="86" spans="1:16" s="4" customFormat="1" ht="30.1" customHeight="1" x14ac:dyDescent="0.25">
      <c r="A86" s="1168"/>
      <c r="B86" s="1184"/>
      <c r="C86" s="1184"/>
      <c r="D86" s="1180"/>
      <c r="E86" s="1199"/>
      <c r="F86" s="692" t="s">
        <v>376</v>
      </c>
      <c r="G86" s="242"/>
      <c r="H86" s="729" t="s">
        <v>9</v>
      </c>
      <c r="I86" s="1201"/>
      <c r="J86" s="1177"/>
      <c r="K86" s="1177"/>
      <c r="L86" s="243">
        <v>20</v>
      </c>
      <c r="M86" s="244" t="s">
        <v>8</v>
      </c>
      <c r="N86" s="244" t="s">
        <v>432</v>
      </c>
      <c r="O86" s="1261"/>
      <c r="P86" s="1252"/>
    </row>
    <row r="87" spans="1:16" ht="30.1" customHeight="1" x14ac:dyDescent="0.25">
      <c r="A87" s="1167">
        <v>37</v>
      </c>
      <c r="B87" s="1192" t="s">
        <v>541</v>
      </c>
      <c r="C87" s="1192" t="s">
        <v>542</v>
      </c>
      <c r="D87" s="1192"/>
      <c r="E87" s="1192"/>
      <c r="F87" s="705" t="s">
        <v>377</v>
      </c>
      <c r="G87" s="1170" t="s">
        <v>636</v>
      </c>
      <c r="H87" s="734" t="s">
        <v>22</v>
      </c>
      <c r="I87" s="1202"/>
      <c r="J87" s="1226">
        <v>1</v>
      </c>
      <c r="K87" s="1176">
        <v>30</v>
      </c>
      <c r="L87" s="245">
        <v>20</v>
      </c>
      <c r="M87" s="245" t="s">
        <v>4</v>
      </c>
      <c r="N87" s="166" t="s">
        <v>23</v>
      </c>
      <c r="O87" s="508" t="s">
        <v>1263</v>
      </c>
      <c r="P87" s="166"/>
    </row>
    <row r="88" spans="1:16" ht="30.1" customHeight="1" x14ac:dyDescent="0.25">
      <c r="A88" s="1169"/>
      <c r="B88" s="1193"/>
      <c r="C88" s="1193"/>
      <c r="D88" s="1193"/>
      <c r="E88" s="1193"/>
      <c r="F88" s="705" t="s">
        <v>377</v>
      </c>
      <c r="G88" s="1172"/>
      <c r="H88" s="734" t="s">
        <v>22</v>
      </c>
      <c r="I88" s="1203"/>
      <c r="J88" s="1227"/>
      <c r="K88" s="1178"/>
      <c r="L88" s="710">
        <v>20</v>
      </c>
      <c r="M88" s="710" t="s">
        <v>8</v>
      </c>
      <c r="N88" s="711" t="s">
        <v>678</v>
      </c>
      <c r="O88" s="166"/>
      <c r="P88" s="166"/>
    </row>
    <row r="89" spans="1:16" ht="30.1" customHeight="1" x14ac:dyDescent="0.25">
      <c r="A89" s="1167">
        <v>38</v>
      </c>
      <c r="B89" s="1179" t="s">
        <v>543</v>
      </c>
      <c r="C89" s="1179" t="s">
        <v>544</v>
      </c>
      <c r="D89" s="1179"/>
      <c r="E89" s="1179"/>
      <c r="F89" s="692" t="s">
        <v>545</v>
      </c>
      <c r="G89" s="1179" t="s">
        <v>605</v>
      </c>
      <c r="H89" s="729" t="s">
        <v>9</v>
      </c>
      <c r="I89" s="1200" t="s">
        <v>546</v>
      </c>
      <c r="J89" s="1176">
        <v>1</v>
      </c>
      <c r="K89" s="1176">
        <v>30</v>
      </c>
      <c r="L89" s="166">
        <v>12</v>
      </c>
      <c r="M89" s="166" t="s">
        <v>5</v>
      </c>
      <c r="N89" s="166" t="s">
        <v>7</v>
      </c>
      <c r="O89" s="1267" t="s">
        <v>1426</v>
      </c>
      <c r="P89" s="1179"/>
    </row>
    <row r="90" spans="1:16" ht="30.1" customHeight="1" x14ac:dyDescent="0.25">
      <c r="A90" s="1168"/>
      <c r="B90" s="1184"/>
      <c r="C90" s="1184"/>
      <c r="D90" s="1184"/>
      <c r="E90" s="1184"/>
      <c r="F90" s="692" t="s">
        <v>545</v>
      </c>
      <c r="G90" s="1184"/>
      <c r="H90" s="729" t="s">
        <v>9</v>
      </c>
      <c r="I90" s="1201"/>
      <c r="J90" s="1177"/>
      <c r="K90" s="1177"/>
      <c r="L90" s="166">
        <v>12</v>
      </c>
      <c r="M90" s="166" t="s">
        <v>4</v>
      </c>
      <c r="N90" s="166" t="s">
        <v>7</v>
      </c>
      <c r="O90" s="1268"/>
      <c r="P90" s="1180"/>
    </row>
    <row r="91" spans="1:16" ht="30.1" customHeight="1" x14ac:dyDescent="0.25">
      <c r="A91" s="1169"/>
      <c r="B91" s="1180"/>
      <c r="C91" s="1180"/>
      <c r="D91" s="1180"/>
      <c r="E91" s="1180"/>
      <c r="F91" s="692" t="s">
        <v>545</v>
      </c>
      <c r="G91" s="1180"/>
      <c r="H91" s="729" t="s">
        <v>9</v>
      </c>
      <c r="I91" s="1235"/>
      <c r="J91" s="1178"/>
      <c r="K91" s="1178"/>
      <c r="L91" s="166">
        <v>8</v>
      </c>
      <c r="M91" s="166" t="s">
        <v>231</v>
      </c>
      <c r="N91" s="166" t="s">
        <v>415</v>
      </c>
      <c r="O91" s="1269"/>
      <c r="P91" s="166"/>
    </row>
    <row r="92" spans="1:16" ht="30.1" customHeight="1" x14ac:dyDescent="0.25">
      <c r="A92" s="1167">
        <v>39</v>
      </c>
      <c r="B92" s="1179" t="s">
        <v>382</v>
      </c>
      <c r="C92" s="1179" t="s">
        <v>547</v>
      </c>
      <c r="D92" s="1179"/>
      <c r="E92" s="1179"/>
      <c r="F92" s="688" t="s">
        <v>389</v>
      </c>
      <c r="G92" s="1179"/>
      <c r="H92" s="729" t="s">
        <v>14</v>
      </c>
      <c r="I92" s="1200" t="s">
        <v>687</v>
      </c>
      <c r="J92" s="1176">
        <v>1</v>
      </c>
      <c r="K92" s="1176">
        <v>30</v>
      </c>
      <c r="L92" s="166">
        <v>12</v>
      </c>
      <c r="M92" s="166" t="s">
        <v>4</v>
      </c>
      <c r="N92" s="166" t="s">
        <v>450</v>
      </c>
      <c r="O92" s="1179"/>
      <c r="P92" s="1179"/>
    </row>
    <row r="93" spans="1:16" ht="30.1" customHeight="1" x14ac:dyDescent="0.25">
      <c r="A93" s="1169"/>
      <c r="B93" s="1180"/>
      <c r="C93" s="1180"/>
      <c r="D93" s="1180"/>
      <c r="E93" s="1180"/>
      <c r="F93" s="688" t="s">
        <v>389</v>
      </c>
      <c r="G93" s="1180"/>
      <c r="H93" s="729" t="s">
        <v>14</v>
      </c>
      <c r="I93" s="1235"/>
      <c r="J93" s="1178"/>
      <c r="K93" s="1178"/>
      <c r="L93" s="166">
        <v>12</v>
      </c>
      <c r="M93" s="166" t="s">
        <v>231</v>
      </c>
      <c r="N93" s="166" t="s">
        <v>450</v>
      </c>
      <c r="O93" s="1184"/>
      <c r="P93" s="1184"/>
    </row>
    <row r="94" spans="1:16" s="10" customFormat="1" ht="30.1" customHeight="1" x14ac:dyDescent="0.25">
      <c r="A94" s="1232">
        <v>40</v>
      </c>
      <c r="B94" s="1195" t="s">
        <v>438</v>
      </c>
      <c r="C94" s="1195" t="s">
        <v>437</v>
      </c>
      <c r="D94" s="1170" t="s">
        <v>375</v>
      </c>
      <c r="E94" s="1229">
        <v>30571313</v>
      </c>
      <c r="F94" s="704" t="s">
        <v>376</v>
      </c>
      <c r="G94" s="1195" t="s">
        <v>630</v>
      </c>
      <c r="H94" s="733" t="s">
        <v>20</v>
      </c>
      <c r="I94" s="1206" t="s">
        <v>587</v>
      </c>
      <c r="J94" s="1209">
        <v>1</v>
      </c>
      <c r="K94" s="1212">
        <v>30</v>
      </c>
      <c r="L94" s="600">
        <v>12</v>
      </c>
      <c r="M94" s="600" t="s">
        <v>4</v>
      </c>
      <c r="N94" s="621" t="s">
        <v>6</v>
      </c>
      <c r="O94" s="622"/>
      <c r="P94" s="1195"/>
    </row>
    <row r="95" spans="1:16" s="10" customFormat="1" ht="30.1" customHeight="1" x14ac:dyDescent="0.25">
      <c r="A95" s="1233"/>
      <c r="B95" s="1196"/>
      <c r="C95" s="1196"/>
      <c r="D95" s="1171"/>
      <c r="E95" s="1230"/>
      <c r="F95" s="704" t="s">
        <v>376</v>
      </c>
      <c r="G95" s="1196"/>
      <c r="H95" s="733" t="s">
        <v>20</v>
      </c>
      <c r="I95" s="1207"/>
      <c r="J95" s="1210"/>
      <c r="K95" s="1213"/>
      <c r="L95" s="600">
        <v>12</v>
      </c>
      <c r="M95" s="600" t="s">
        <v>8</v>
      </c>
      <c r="N95" s="621" t="s">
        <v>424</v>
      </c>
      <c r="O95" s="623" t="s">
        <v>1263</v>
      </c>
      <c r="P95" s="1196"/>
    </row>
    <row r="96" spans="1:16" s="10" customFormat="1" ht="30.1" customHeight="1" x14ac:dyDescent="0.25">
      <c r="A96" s="1234"/>
      <c r="B96" s="1197"/>
      <c r="C96" s="1197"/>
      <c r="D96" s="1172"/>
      <c r="E96" s="1231"/>
      <c r="F96" s="704" t="s">
        <v>376</v>
      </c>
      <c r="G96" s="1197"/>
      <c r="H96" s="733" t="s">
        <v>20</v>
      </c>
      <c r="I96" s="1208"/>
      <c r="J96" s="1211"/>
      <c r="K96" s="1214"/>
      <c r="L96" s="600">
        <v>12</v>
      </c>
      <c r="M96" s="600" t="s">
        <v>231</v>
      </c>
      <c r="N96" s="621" t="s">
        <v>789</v>
      </c>
      <c r="O96" s="624"/>
      <c r="P96" s="1197"/>
    </row>
    <row r="97" spans="1:17" ht="30.1" customHeight="1" x14ac:dyDescent="0.25">
      <c r="A97" s="246">
        <v>41</v>
      </c>
      <c r="B97" s="244" t="s">
        <v>696</v>
      </c>
      <c r="C97" s="244" t="s">
        <v>697</v>
      </c>
      <c r="D97" s="166" t="s">
        <v>375</v>
      </c>
      <c r="E97" s="166">
        <v>22156814</v>
      </c>
      <c r="F97" s="692" t="s">
        <v>377</v>
      </c>
      <c r="G97" s="244" t="s">
        <v>698</v>
      </c>
      <c r="H97" s="729" t="s">
        <v>469</v>
      </c>
      <c r="I97" s="533"/>
      <c r="J97" s="701">
        <v>1</v>
      </c>
      <c r="K97" s="701">
        <v>30</v>
      </c>
      <c r="L97" s="166">
        <v>12</v>
      </c>
      <c r="M97" s="166" t="s">
        <v>4</v>
      </c>
      <c r="N97" s="166" t="s">
        <v>450</v>
      </c>
      <c r="O97" s="166" t="s">
        <v>1334</v>
      </c>
      <c r="P97" s="166"/>
    </row>
    <row r="98" spans="1:17" ht="30.1" customHeight="1" x14ac:dyDescent="0.25">
      <c r="A98" s="668">
        <v>42</v>
      </c>
      <c r="B98" s="670" t="s">
        <v>812</v>
      </c>
      <c r="C98" s="670" t="s">
        <v>813</v>
      </c>
      <c r="D98" s="219" t="s">
        <v>375</v>
      </c>
      <c r="E98" s="247">
        <v>26060033</v>
      </c>
      <c r="F98" s="670" t="s">
        <v>410</v>
      </c>
      <c r="G98" s="670" t="s">
        <v>605</v>
      </c>
      <c r="H98" s="670" t="s">
        <v>249</v>
      </c>
      <c r="I98" s="671" t="s">
        <v>814</v>
      </c>
      <c r="J98" s="674">
        <v>12</v>
      </c>
      <c r="K98" s="674">
        <v>11</v>
      </c>
      <c r="L98" s="674">
        <v>12</v>
      </c>
      <c r="M98" s="675" t="s">
        <v>231</v>
      </c>
      <c r="N98" s="670" t="s">
        <v>137</v>
      </c>
      <c r="O98" s="670"/>
      <c r="P98" s="676"/>
    </row>
    <row r="99" spans="1:17" s="6" customFormat="1" ht="30.1" customHeight="1" x14ac:dyDescent="0.25">
      <c r="A99" s="1188">
        <v>45</v>
      </c>
      <c r="B99" s="1254" t="s">
        <v>386</v>
      </c>
      <c r="C99" s="1254" t="s">
        <v>387</v>
      </c>
      <c r="D99" s="1252" t="s">
        <v>375</v>
      </c>
      <c r="E99" s="1255">
        <v>22301501</v>
      </c>
      <c r="F99" s="702" t="s">
        <v>376</v>
      </c>
      <c r="G99" s="1237" t="s">
        <v>650</v>
      </c>
      <c r="H99" s="732" t="s">
        <v>14</v>
      </c>
      <c r="I99" s="1249">
        <v>3012237430</v>
      </c>
      <c r="J99" s="1250">
        <v>25</v>
      </c>
      <c r="K99" s="1250">
        <v>24</v>
      </c>
      <c r="L99" s="166">
        <v>12</v>
      </c>
      <c r="M99" s="219" t="s">
        <v>4</v>
      </c>
      <c r="N99" s="219" t="s">
        <v>450</v>
      </c>
      <c r="O99" s="1179" t="s">
        <v>1263</v>
      </c>
      <c r="P99" s="1253" t="s">
        <v>1263</v>
      </c>
    </row>
    <row r="100" spans="1:17" s="6" customFormat="1" ht="29.25" customHeight="1" x14ac:dyDescent="0.25">
      <c r="A100" s="1188"/>
      <c r="B100" s="1254"/>
      <c r="C100" s="1254"/>
      <c r="D100" s="1252"/>
      <c r="E100" s="1255"/>
      <c r="F100" s="702" t="s">
        <v>376</v>
      </c>
      <c r="G100" s="1237"/>
      <c r="H100" s="732" t="s">
        <v>14</v>
      </c>
      <c r="I100" s="1249"/>
      <c r="J100" s="1250"/>
      <c r="K100" s="1250"/>
      <c r="L100" s="219">
        <v>8</v>
      </c>
      <c r="M100" s="219" t="s">
        <v>231</v>
      </c>
      <c r="N100" s="219" t="s">
        <v>450</v>
      </c>
      <c r="O100" s="1180"/>
      <c r="P100" s="1253"/>
    </row>
    <row r="101" spans="1:17" s="6" customFormat="1" ht="30.1" customHeight="1" x14ac:dyDescent="0.25">
      <c r="A101" s="1167">
        <v>46</v>
      </c>
      <c r="B101" s="1179" t="s">
        <v>776</v>
      </c>
      <c r="C101" s="1179" t="s">
        <v>777</v>
      </c>
      <c r="D101" s="1179" t="s">
        <v>375</v>
      </c>
      <c r="E101" s="1198">
        <v>78297501</v>
      </c>
      <c r="F101" s="688" t="s">
        <v>389</v>
      </c>
      <c r="G101" s="1173" t="s">
        <v>612</v>
      </c>
      <c r="H101" s="732" t="s">
        <v>14</v>
      </c>
      <c r="I101" s="1200" t="s">
        <v>1364</v>
      </c>
      <c r="J101" s="1176">
        <v>1</v>
      </c>
      <c r="K101" s="1176">
        <v>30</v>
      </c>
      <c r="L101" s="166">
        <v>40</v>
      </c>
      <c r="M101" s="166" t="s">
        <v>4</v>
      </c>
      <c r="N101" s="166" t="s">
        <v>450</v>
      </c>
      <c r="O101" s="240" t="s">
        <v>1148</v>
      </c>
      <c r="P101" s="1179"/>
    </row>
    <row r="102" spans="1:17" s="6" customFormat="1" ht="30.1" customHeight="1" x14ac:dyDescent="0.25">
      <c r="A102" s="1168"/>
      <c r="B102" s="1184"/>
      <c r="C102" s="1184"/>
      <c r="D102" s="1184"/>
      <c r="E102" s="1199"/>
      <c r="F102" s="688" t="s">
        <v>389</v>
      </c>
      <c r="G102" s="1174"/>
      <c r="H102" s="732" t="s">
        <v>14</v>
      </c>
      <c r="I102" s="1201"/>
      <c r="J102" s="1177"/>
      <c r="K102" s="1177"/>
      <c r="L102" s="166">
        <v>12</v>
      </c>
      <c r="M102" s="166" t="s">
        <v>8</v>
      </c>
      <c r="N102" s="166" t="s">
        <v>920</v>
      </c>
      <c r="O102" s="240" t="s">
        <v>1149</v>
      </c>
      <c r="P102" s="1184"/>
    </row>
    <row r="103" spans="1:17" s="6" customFormat="1" ht="30.1" customHeight="1" x14ac:dyDescent="0.25">
      <c r="A103" s="1168"/>
      <c r="B103" s="1184"/>
      <c r="C103" s="1184"/>
      <c r="D103" s="1184"/>
      <c r="E103" s="1199"/>
      <c r="F103" s="688" t="s">
        <v>389</v>
      </c>
      <c r="G103" s="1174"/>
      <c r="H103" s="732" t="s">
        <v>14</v>
      </c>
      <c r="I103" s="1201"/>
      <c r="J103" s="1177"/>
      <c r="K103" s="1177"/>
      <c r="L103" s="166">
        <v>20</v>
      </c>
      <c r="M103" s="166" t="s">
        <v>231</v>
      </c>
      <c r="N103" s="166" t="s">
        <v>921</v>
      </c>
      <c r="O103" s="240"/>
      <c r="P103" s="1180"/>
    </row>
    <row r="104" spans="1:17" s="6" customFormat="1" ht="30.1" customHeight="1" x14ac:dyDescent="0.25">
      <c r="A104" s="1188">
        <v>47</v>
      </c>
      <c r="B104" s="1251" t="s">
        <v>374</v>
      </c>
      <c r="C104" s="1251" t="s">
        <v>575</v>
      </c>
      <c r="D104" s="1252" t="s">
        <v>375</v>
      </c>
      <c r="E104" s="1255">
        <v>25784195</v>
      </c>
      <c r="F104" s="691" t="s">
        <v>376</v>
      </c>
      <c r="G104" s="1252" t="s">
        <v>588</v>
      </c>
      <c r="H104" s="730" t="s">
        <v>14</v>
      </c>
      <c r="I104" s="1249" t="s">
        <v>1363</v>
      </c>
      <c r="J104" s="1264">
        <v>1</v>
      </c>
      <c r="K104" s="1264">
        <v>30</v>
      </c>
      <c r="L104" s="529">
        <v>20</v>
      </c>
      <c r="M104" s="529" t="s">
        <v>4</v>
      </c>
      <c r="N104" s="529" t="s">
        <v>450</v>
      </c>
      <c r="O104" s="1179" t="s">
        <v>1265</v>
      </c>
      <c r="P104" s="1252"/>
    </row>
    <row r="105" spans="1:17" s="6" customFormat="1" ht="30.1" customHeight="1" x14ac:dyDescent="0.25">
      <c r="A105" s="1188"/>
      <c r="B105" s="1251"/>
      <c r="C105" s="1251"/>
      <c r="D105" s="1252"/>
      <c r="E105" s="1255"/>
      <c r="F105" s="691" t="s">
        <v>376</v>
      </c>
      <c r="G105" s="1252"/>
      <c r="H105" s="730" t="s">
        <v>14</v>
      </c>
      <c r="I105" s="1249"/>
      <c r="J105" s="1264"/>
      <c r="K105" s="1264"/>
      <c r="L105" s="529">
        <v>20</v>
      </c>
      <c r="M105" s="529" t="s">
        <v>231</v>
      </c>
      <c r="N105" s="529" t="s">
        <v>450</v>
      </c>
      <c r="O105" s="1180"/>
      <c r="P105" s="1252"/>
    </row>
    <row r="106" spans="1:17" ht="30.1" customHeight="1" x14ac:dyDescent="0.25">
      <c r="A106" s="738">
        <v>48</v>
      </c>
      <c r="B106" s="742" t="s">
        <v>441</v>
      </c>
      <c r="C106" s="742" t="s">
        <v>440</v>
      </c>
      <c r="D106" s="742" t="s">
        <v>375</v>
      </c>
      <c r="E106" s="742">
        <v>45425572</v>
      </c>
      <c r="F106" s="742" t="s">
        <v>376</v>
      </c>
      <c r="G106" s="742" t="s">
        <v>605</v>
      </c>
      <c r="H106" s="742" t="s">
        <v>439</v>
      </c>
      <c r="I106" s="741">
        <v>3205178764</v>
      </c>
      <c r="J106" s="743">
        <v>1</v>
      </c>
      <c r="K106" s="743">
        <v>30</v>
      </c>
      <c r="L106" s="742">
        <v>12</v>
      </c>
      <c r="M106" s="742" t="s">
        <v>4</v>
      </c>
      <c r="N106" s="742" t="s">
        <v>677</v>
      </c>
      <c r="O106" s="742" t="s">
        <v>1366</v>
      </c>
      <c r="P106" s="742"/>
    </row>
    <row r="107" spans="1:17" s="11" customFormat="1" ht="68.3" customHeight="1" x14ac:dyDescent="0.25">
      <c r="A107" s="530">
        <v>49</v>
      </c>
      <c r="B107" s="531" t="s">
        <v>436</v>
      </c>
      <c r="C107" s="531" t="s">
        <v>435</v>
      </c>
      <c r="D107" s="531" t="s">
        <v>394</v>
      </c>
      <c r="E107" s="247">
        <v>1137975345</v>
      </c>
      <c r="F107" s="702" t="s">
        <v>376</v>
      </c>
      <c r="G107" s="531" t="s">
        <v>591</v>
      </c>
      <c r="H107" s="732" t="s">
        <v>434</v>
      </c>
      <c r="I107" s="531" t="s">
        <v>1266</v>
      </c>
      <c r="J107" s="702">
        <v>6</v>
      </c>
      <c r="K107" s="703">
        <v>5</v>
      </c>
      <c r="L107" s="532">
        <v>24</v>
      </c>
      <c r="M107" s="248" t="s">
        <v>4</v>
      </c>
      <c r="N107" s="531" t="s">
        <v>1183</v>
      </c>
      <c r="O107" s="740" t="s">
        <v>1184</v>
      </c>
      <c r="P107" s="531"/>
    </row>
    <row r="108" spans="1:17" s="10" customFormat="1" ht="30.1" customHeight="1" x14ac:dyDescent="0.25">
      <c r="A108" s="523">
        <v>50</v>
      </c>
      <c r="B108" s="528" t="s">
        <v>414</v>
      </c>
      <c r="C108" s="528" t="s">
        <v>413</v>
      </c>
      <c r="D108" s="528" t="s">
        <v>375</v>
      </c>
      <c r="E108" s="534">
        <v>25756969</v>
      </c>
      <c r="F108" s="693" t="s">
        <v>376</v>
      </c>
      <c r="G108" s="528" t="s">
        <v>603</v>
      </c>
      <c r="H108" s="731" t="s">
        <v>9</v>
      </c>
      <c r="I108" s="528" t="s">
        <v>1267</v>
      </c>
      <c r="J108" s="703">
        <v>1</v>
      </c>
      <c r="K108" s="703">
        <v>30</v>
      </c>
      <c r="L108" s="532">
        <v>20</v>
      </c>
      <c r="M108" s="248" t="s">
        <v>4</v>
      </c>
      <c r="N108" s="531" t="s">
        <v>1268</v>
      </c>
      <c r="O108" s="702" t="s">
        <v>1376</v>
      </c>
      <c r="P108" s="702" t="s">
        <v>1377</v>
      </c>
    </row>
    <row r="109" spans="1:17" s="10" customFormat="1" ht="30.1" customHeight="1" x14ac:dyDescent="0.25">
      <c r="A109" s="1167">
        <v>51</v>
      </c>
      <c r="B109" s="1170" t="s">
        <v>766</v>
      </c>
      <c r="C109" s="1170" t="s">
        <v>767</v>
      </c>
      <c r="D109" s="1170" t="s">
        <v>375</v>
      </c>
      <c r="E109" s="1229">
        <v>15302849</v>
      </c>
      <c r="F109" s="693" t="s">
        <v>376</v>
      </c>
      <c r="G109" s="1170" t="s">
        <v>592</v>
      </c>
      <c r="H109" s="731" t="s">
        <v>20</v>
      </c>
      <c r="I109" s="1170" t="s">
        <v>1269</v>
      </c>
      <c r="J109" s="1170">
        <v>1</v>
      </c>
      <c r="K109" s="1226">
        <v>30</v>
      </c>
      <c r="L109" s="531">
        <v>16</v>
      </c>
      <c r="M109" s="531" t="s">
        <v>5</v>
      </c>
      <c r="N109" s="531" t="s">
        <v>6</v>
      </c>
      <c r="O109" s="1170" t="s">
        <v>1263</v>
      </c>
      <c r="P109" s="1262" t="s">
        <v>1361</v>
      </c>
    </row>
    <row r="110" spans="1:17" s="10" customFormat="1" ht="30.1" customHeight="1" x14ac:dyDescent="0.25">
      <c r="A110" s="1168"/>
      <c r="B110" s="1171"/>
      <c r="C110" s="1171"/>
      <c r="D110" s="1171"/>
      <c r="E110" s="1230"/>
      <c r="F110" s="693" t="s">
        <v>376</v>
      </c>
      <c r="G110" s="1171"/>
      <c r="H110" s="731" t="s">
        <v>20</v>
      </c>
      <c r="I110" s="1171"/>
      <c r="J110" s="1171"/>
      <c r="K110" s="1236"/>
      <c r="L110" s="531">
        <v>12</v>
      </c>
      <c r="M110" s="531" t="s">
        <v>4</v>
      </c>
      <c r="N110" s="531" t="s">
        <v>6</v>
      </c>
      <c r="O110" s="1171"/>
      <c r="P110" s="1263"/>
    </row>
    <row r="111" spans="1:17" s="10" customFormat="1" ht="30.1" customHeight="1" x14ac:dyDescent="0.25">
      <c r="A111" s="1169"/>
      <c r="B111" s="1172"/>
      <c r="C111" s="1172"/>
      <c r="D111" s="1172"/>
      <c r="E111" s="1231"/>
      <c r="F111" s="693" t="s">
        <v>376</v>
      </c>
      <c r="G111" s="1172"/>
      <c r="H111" s="731" t="s">
        <v>20</v>
      </c>
      <c r="I111" s="1172"/>
      <c r="J111" s="1172"/>
      <c r="K111" s="1227"/>
      <c r="L111" s="531">
        <v>12</v>
      </c>
      <c r="M111" s="531" t="s">
        <v>231</v>
      </c>
      <c r="N111" s="531" t="s">
        <v>789</v>
      </c>
      <c r="O111" s="1171"/>
      <c r="P111" s="1263"/>
    </row>
    <row r="112" spans="1:17" s="6" customFormat="1" ht="30.1" customHeight="1" x14ac:dyDescent="0.25">
      <c r="A112" s="1188">
        <v>52</v>
      </c>
      <c r="B112" s="1251" t="s">
        <v>378</v>
      </c>
      <c r="C112" s="1251" t="s">
        <v>379</v>
      </c>
      <c r="D112" s="1252" t="s">
        <v>375</v>
      </c>
      <c r="E112" s="1255">
        <v>1067959980</v>
      </c>
      <c r="F112" s="691" t="s">
        <v>376</v>
      </c>
      <c r="G112" s="1252" t="s">
        <v>601</v>
      </c>
      <c r="H112" s="730" t="s">
        <v>14</v>
      </c>
      <c r="I112" s="1252" t="s">
        <v>1365</v>
      </c>
      <c r="J112" s="1264">
        <v>1</v>
      </c>
      <c r="K112" s="1264">
        <v>30</v>
      </c>
      <c r="L112" s="665">
        <v>20</v>
      </c>
      <c r="M112" s="228" t="s">
        <v>4</v>
      </c>
      <c r="N112" s="665" t="s">
        <v>450</v>
      </c>
      <c r="O112" s="1252" t="s">
        <v>1335</v>
      </c>
      <c r="P112" s="665"/>
      <c r="Q112" s="1266"/>
    </row>
    <row r="113" spans="1:19" s="6" customFormat="1" ht="30.1" customHeight="1" x14ac:dyDescent="0.25">
      <c r="A113" s="1188"/>
      <c r="B113" s="1251"/>
      <c r="C113" s="1251"/>
      <c r="D113" s="1252"/>
      <c r="E113" s="1255"/>
      <c r="F113" s="691" t="s">
        <v>376</v>
      </c>
      <c r="G113" s="1252"/>
      <c r="H113" s="730" t="s">
        <v>14</v>
      </c>
      <c r="I113" s="1252"/>
      <c r="J113" s="1264"/>
      <c r="K113" s="1264"/>
      <c r="L113" s="665">
        <v>20</v>
      </c>
      <c r="M113" s="228" t="s">
        <v>8</v>
      </c>
      <c r="N113" s="665" t="s">
        <v>450</v>
      </c>
      <c r="O113" s="1252"/>
      <c r="P113" s="665"/>
      <c r="Q113" s="1266"/>
    </row>
    <row r="114" spans="1:19" s="6" customFormat="1" ht="30.1" customHeight="1" x14ac:dyDescent="0.25">
      <c r="A114" s="1188"/>
      <c r="B114" s="1251"/>
      <c r="C114" s="1251"/>
      <c r="D114" s="1252"/>
      <c r="E114" s="1255"/>
      <c r="F114" s="691" t="s">
        <v>376</v>
      </c>
      <c r="G114" s="1252"/>
      <c r="H114" s="730" t="s">
        <v>14</v>
      </c>
      <c r="I114" s="1252"/>
      <c r="J114" s="1264"/>
      <c r="K114" s="1264"/>
      <c r="L114" s="665">
        <v>20</v>
      </c>
      <c r="M114" s="228" t="s">
        <v>231</v>
      </c>
      <c r="N114" s="665" t="s">
        <v>450</v>
      </c>
      <c r="O114" s="1252"/>
      <c r="P114" s="665"/>
      <c r="Q114" s="1266"/>
    </row>
    <row r="115" spans="1:19" s="10" customFormat="1" ht="30.1" customHeight="1" x14ac:dyDescent="0.25">
      <c r="A115" s="694">
        <v>53</v>
      </c>
      <c r="B115" s="702" t="s">
        <v>1010</v>
      </c>
      <c r="C115" s="702" t="s">
        <v>1011</v>
      </c>
      <c r="D115" s="702" t="s">
        <v>375</v>
      </c>
      <c r="E115" s="247">
        <v>25949685</v>
      </c>
      <c r="F115" s="702" t="s">
        <v>377</v>
      </c>
      <c r="G115" s="702" t="s">
        <v>1012</v>
      </c>
      <c r="H115" s="732" t="s">
        <v>21</v>
      </c>
      <c r="I115" s="702" t="s">
        <v>1345</v>
      </c>
      <c r="J115" s="703">
        <v>1</v>
      </c>
      <c r="K115" s="703">
        <v>30</v>
      </c>
      <c r="L115" s="703">
        <v>16</v>
      </c>
      <c r="M115" s="248" t="s">
        <v>4</v>
      </c>
      <c r="N115" s="702" t="s">
        <v>670</v>
      </c>
      <c r="O115" s="702"/>
      <c r="P115" s="222"/>
      <c r="Q115" s="713"/>
      <c r="R115" s="14"/>
      <c r="S115" s="712"/>
    </row>
    <row r="116" spans="1:19" s="10" customFormat="1" ht="30.1" customHeight="1" x14ac:dyDescent="0.25">
      <c r="A116" s="698">
        <v>54</v>
      </c>
      <c r="B116" s="693" t="s">
        <v>426</v>
      </c>
      <c r="C116" s="693" t="s">
        <v>425</v>
      </c>
      <c r="D116" s="693" t="s">
        <v>375</v>
      </c>
      <c r="E116" s="697">
        <v>26027649</v>
      </c>
      <c r="F116" s="693" t="s">
        <v>377</v>
      </c>
      <c r="G116" s="693" t="s">
        <v>626</v>
      </c>
      <c r="H116" s="731" t="s">
        <v>20</v>
      </c>
      <c r="I116" s="693" t="s">
        <v>1346</v>
      </c>
      <c r="J116" s="693">
        <v>1</v>
      </c>
      <c r="K116" s="699">
        <v>30</v>
      </c>
      <c r="L116" s="702">
        <v>12</v>
      </c>
      <c r="M116" s="702" t="s">
        <v>4</v>
      </c>
      <c r="N116" s="702" t="s">
        <v>6</v>
      </c>
      <c r="O116" s="493" t="s">
        <v>1391</v>
      </c>
      <c r="P116" s="222"/>
      <c r="Q116" s="713"/>
      <c r="R116" s="714"/>
      <c r="S116" s="712"/>
    </row>
    <row r="117" spans="1:19" s="10" customFormat="1" ht="30.1" customHeight="1" x14ac:dyDescent="0.25">
      <c r="A117" s="1167">
        <v>55</v>
      </c>
      <c r="B117" s="1170" t="s">
        <v>423</v>
      </c>
      <c r="C117" s="1170" t="s">
        <v>422</v>
      </c>
      <c r="D117" s="1170" t="s">
        <v>375</v>
      </c>
      <c r="E117" s="1229">
        <v>1546849</v>
      </c>
      <c r="F117" s="693" t="s">
        <v>377</v>
      </c>
      <c r="G117" s="1170"/>
      <c r="H117" s="731" t="s">
        <v>9</v>
      </c>
      <c r="I117" s="1170" t="s">
        <v>1347</v>
      </c>
      <c r="J117" s="1170">
        <v>1</v>
      </c>
      <c r="K117" s="1226">
        <v>30</v>
      </c>
      <c r="L117" s="702">
        <v>12</v>
      </c>
      <c r="M117" s="702" t="s">
        <v>4</v>
      </c>
      <c r="N117" s="702" t="s">
        <v>7</v>
      </c>
      <c r="O117" s="1170"/>
      <c r="P117" s="222"/>
      <c r="Q117" s="713"/>
      <c r="R117" s="14"/>
      <c r="S117" s="1265"/>
    </row>
    <row r="118" spans="1:19" s="10" customFormat="1" ht="30.1" customHeight="1" x14ac:dyDescent="0.25">
      <c r="A118" s="1168"/>
      <c r="B118" s="1171"/>
      <c r="C118" s="1171"/>
      <c r="D118" s="1171"/>
      <c r="E118" s="1230"/>
      <c r="F118" s="693" t="s">
        <v>377</v>
      </c>
      <c r="G118" s="1171"/>
      <c r="H118" s="731" t="s">
        <v>9</v>
      </c>
      <c r="I118" s="1171"/>
      <c r="J118" s="1171"/>
      <c r="K118" s="1236"/>
      <c r="L118" s="702">
        <v>12</v>
      </c>
      <c r="M118" s="702" t="s">
        <v>5</v>
      </c>
      <c r="N118" s="702" t="s">
        <v>7</v>
      </c>
      <c r="O118" s="1171"/>
      <c r="P118" s="222"/>
      <c r="Q118" s="713"/>
      <c r="R118" s="14"/>
      <c r="S118" s="1265"/>
    </row>
    <row r="119" spans="1:19" s="10" customFormat="1" ht="30.1" customHeight="1" x14ac:dyDescent="0.25">
      <c r="A119" s="1169"/>
      <c r="B119" s="1172"/>
      <c r="C119" s="1172"/>
      <c r="D119" s="1172"/>
      <c r="E119" s="1231"/>
      <c r="F119" s="693" t="s">
        <v>377</v>
      </c>
      <c r="G119" s="1172"/>
      <c r="H119" s="731" t="s">
        <v>9</v>
      </c>
      <c r="I119" s="1172"/>
      <c r="J119" s="1172"/>
      <c r="K119" s="1227"/>
      <c r="L119" s="702">
        <v>12</v>
      </c>
      <c r="M119" s="702" t="s">
        <v>231</v>
      </c>
      <c r="N119" s="702" t="s">
        <v>415</v>
      </c>
      <c r="O119" s="1172"/>
      <c r="P119" s="222"/>
      <c r="Q119" s="713"/>
      <c r="R119" s="14"/>
      <c r="S119" s="1265"/>
    </row>
    <row r="120" spans="1:19" s="10" customFormat="1" ht="30.1" customHeight="1" x14ac:dyDescent="0.25">
      <c r="A120" s="1273">
        <v>56</v>
      </c>
      <c r="B120" s="1170" t="s">
        <v>427</v>
      </c>
      <c r="C120" s="1170" t="s">
        <v>563</v>
      </c>
      <c r="D120" s="1170" t="s">
        <v>375</v>
      </c>
      <c r="E120" s="1229">
        <v>1564567</v>
      </c>
      <c r="F120" s="693" t="s">
        <v>377</v>
      </c>
      <c r="G120" s="1170" t="s">
        <v>593</v>
      </c>
      <c r="H120" s="731" t="s">
        <v>249</v>
      </c>
      <c r="I120" s="1170" t="s">
        <v>1348</v>
      </c>
      <c r="J120" s="1170">
        <v>1</v>
      </c>
      <c r="K120" s="1226">
        <v>30</v>
      </c>
      <c r="L120" s="702">
        <v>20</v>
      </c>
      <c r="M120" s="702" t="s">
        <v>4</v>
      </c>
      <c r="N120" s="702" t="s">
        <v>47</v>
      </c>
      <c r="O120" s="702"/>
      <c r="P120" s="222"/>
      <c r="Q120" s="713"/>
      <c r="R120" s="1275"/>
      <c r="S120" s="1265"/>
    </row>
    <row r="121" spans="1:19" s="10" customFormat="1" ht="30.1" customHeight="1" x14ac:dyDescent="0.25">
      <c r="A121" s="1274"/>
      <c r="B121" s="1171"/>
      <c r="C121" s="1171"/>
      <c r="D121" s="1171"/>
      <c r="E121" s="1230"/>
      <c r="F121" s="693" t="s">
        <v>377</v>
      </c>
      <c r="G121" s="1171"/>
      <c r="H121" s="731" t="s">
        <v>249</v>
      </c>
      <c r="I121" s="1171"/>
      <c r="J121" s="1171"/>
      <c r="K121" s="1236"/>
      <c r="L121" s="702">
        <v>20</v>
      </c>
      <c r="M121" s="702" t="s">
        <v>5</v>
      </c>
      <c r="N121" s="702" t="s">
        <v>47</v>
      </c>
      <c r="O121" s="702"/>
      <c r="P121" s="222"/>
      <c r="Q121" s="713"/>
      <c r="R121" s="1275"/>
      <c r="S121" s="1265"/>
    </row>
    <row r="122" spans="1:19" s="10" customFormat="1" ht="30.1" customHeight="1" x14ac:dyDescent="0.25">
      <c r="A122" s="1168"/>
      <c r="B122" s="1171"/>
      <c r="C122" s="1171"/>
      <c r="D122" s="1171"/>
      <c r="E122" s="1230"/>
      <c r="F122" s="693" t="s">
        <v>377</v>
      </c>
      <c r="G122" s="1171"/>
      <c r="H122" s="731" t="s">
        <v>249</v>
      </c>
      <c r="I122" s="1171"/>
      <c r="J122" s="1171"/>
      <c r="K122" s="1236"/>
      <c r="L122" s="702">
        <v>20</v>
      </c>
      <c r="M122" s="702" t="s">
        <v>231</v>
      </c>
      <c r="N122" s="702" t="s">
        <v>137</v>
      </c>
      <c r="O122" s="702"/>
      <c r="P122" s="222"/>
      <c r="Q122" s="713"/>
      <c r="R122" s="1275"/>
      <c r="S122" s="1265"/>
    </row>
    <row r="123" spans="1:19" s="10" customFormat="1" ht="30.1" customHeight="1" x14ac:dyDescent="0.25">
      <c r="A123" s="694">
        <v>57</v>
      </c>
      <c r="B123" s="702" t="s">
        <v>207</v>
      </c>
      <c r="C123" s="702" t="s">
        <v>712</v>
      </c>
      <c r="D123" s="702" t="s">
        <v>375</v>
      </c>
      <c r="E123" s="247">
        <v>35045166</v>
      </c>
      <c r="F123" s="702" t="s">
        <v>377</v>
      </c>
      <c r="G123" s="702" t="s">
        <v>602</v>
      </c>
      <c r="H123" s="732" t="s">
        <v>21</v>
      </c>
      <c r="I123" s="702" t="s">
        <v>1349</v>
      </c>
      <c r="J123" s="703">
        <v>1</v>
      </c>
      <c r="K123" s="703">
        <v>30</v>
      </c>
      <c r="L123" s="703">
        <v>20</v>
      </c>
      <c r="M123" s="248" t="s">
        <v>4</v>
      </c>
      <c r="N123" s="702" t="s">
        <v>670</v>
      </c>
      <c r="O123" s="702" t="s">
        <v>1350</v>
      </c>
      <c r="P123" s="222"/>
      <c r="Q123" s="713"/>
      <c r="R123" s="14"/>
      <c r="S123" s="712"/>
    </row>
    <row r="124" spans="1:19" s="10" customFormat="1" ht="30.1" customHeight="1" x14ac:dyDescent="0.25">
      <c r="A124" s="698">
        <v>58</v>
      </c>
      <c r="B124" s="693" t="s">
        <v>780</v>
      </c>
      <c r="C124" s="693" t="s">
        <v>781</v>
      </c>
      <c r="D124" s="693" t="s">
        <v>375</v>
      </c>
      <c r="E124" s="697">
        <v>1003717867</v>
      </c>
      <c r="F124" s="693" t="s">
        <v>377</v>
      </c>
      <c r="G124" s="693" t="s">
        <v>782</v>
      </c>
      <c r="H124" s="731" t="s">
        <v>101</v>
      </c>
      <c r="I124" s="693" t="s">
        <v>1351</v>
      </c>
      <c r="J124" s="719">
        <v>1</v>
      </c>
      <c r="K124" s="699">
        <v>30</v>
      </c>
      <c r="L124" s="699">
        <v>12</v>
      </c>
      <c r="M124" s="720" t="s">
        <v>4</v>
      </c>
      <c r="N124" s="702" t="s">
        <v>1239</v>
      </c>
      <c r="O124" s="693"/>
      <c r="P124" s="721"/>
      <c r="Q124" s="713"/>
      <c r="R124" s="714" t="s">
        <v>497</v>
      </c>
      <c r="S124" s="712"/>
    </row>
    <row r="125" spans="1:19" s="6" customFormat="1" ht="22.6" customHeight="1" x14ac:dyDescent="0.25">
      <c r="A125" s="1167">
        <v>59</v>
      </c>
      <c r="B125" s="1179" t="s">
        <v>408</v>
      </c>
      <c r="C125" s="1179" t="s">
        <v>409</v>
      </c>
      <c r="D125" s="1179" t="s">
        <v>375</v>
      </c>
      <c r="E125" s="1198">
        <v>23097219</v>
      </c>
      <c r="F125" s="691" t="s">
        <v>377</v>
      </c>
      <c r="G125" s="1179" t="s">
        <v>588</v>
      </c>
      <c r="H125" s="729" t="s">
        <v>14</v>
      </c>
      <c r="I125" s="1179" t="s">
        <v>1352</v>
      </c>
      <c r="J125" s="1176">
        <v>1</v>
      </c>
      <c r="K125" s="1176">
        <v>30</v>
      </c>
      <c r="L125" s="691">
        <v>20</v>
      </c>
      <c r="M125" s="691" t="s">
        <v>4</v>
      </c>
      <c r="N125" s="691" t="s">
        <v>450</v>
      </c>
      <c r="O125" s="1179" t="s">
        <v>1353</v>
      </c>
      <c r="P125" s="1276"/>
      <c r="Q125" s="1266"/>
      <c r="R125" s="690"/>
      <c r="S125" s="690"/>
    </row>
    <row r="126" spans="1:19" s="6" customFormat="1" ht="21.75" customHeight="1" x14ac:dyDescent="0.25">
      <c r="A126" s="1168"/>
      <c r="B126" s="1184"/>
      <c r="C126" s="1184"/>
      <c r="D126" s="1184"/>
      <c r="E126" s="1199"/>
      <c r="F126" s="691" t="s">
        <v>377</v>
      </c>
      <c r="G126" s="1184"/>
      <c r="H126" s="729" t="s">
        <v>14</v>
      </c>
      <c r="I126" s="1184"/>
      <c r="J126" s="1177"/>
      <c r="K126" s="1177"/>
      <c r="L126" s="691">
        <v>20</v>
      </c>
      <c r="M126" s="691" t="s">
        <v>5</v>
      </c>
      <c r="N126" s="691" t="s">
        <v>450</v>
      </c>
      <c r="O126" s="1180"/>
      <c r="P126" s="1276"/>
      <c r="Q126" s="1266"/>
      <c r="R126" s="690"/>
      <c r="S126" s="690"/>
    </row>
    <row r="127" spans="1:19" s="6" customFormat="1" ht="21.75" customHeight="1" x14ac:dyDescent="0.25">
      <c r="A127" s="1168"/>
      <c r="B127" s="1184"/>
      <c r="C127" s="1184"/>
      <c r="D127" s="1184"/>
      <c r="E127" s="1199"/>
      <c r="F127" s="691" t="s">
        <v>377</v>
      </c>
      <c r="G127" s="1184"/>
      <c r="H127" s="729" t="s">
        <v>14</v>
      </c>
      <c r="I127" s="1184"/>
      <c r="J127" s="1177"/>
      <c r="K127" s="1177"/>
      <c r="L127" s="691">
        <v>12</v>
      </c>
      <c r="M127" s="691" t="s">
        <v>231</v>
      </c>
      <c r="N127" s="691" t="s">
        <v>450</v>
      </c>
      <c r="O127" s="1179" t="s">
        <v>1354</v>
      </c>
      <c r="P127" s="722"/>
      <c r="Q127" s="561"/>
      <c r="R127" s="690"/>
      <c r="S127" s="690"/>
    </row>
    <row r="128" spans="1:19" s="6" customFormat="1" ht="21.75" customHeight="1" x14ac:dyDescent="0.25">
      <c r="A128" s="1169"/>
      <c r="B128" s="1180"/>
      <c r="C128" s="1180"/>
      <c r="D128" s="1180"/>
      <c r="E128" s="1277"/>
      <c r="F128" s="691" t="s">
        <v>377</v>
      </c>
      <c r="G128" s="1180"/>
      <c r="H128" s="729" t="s">
        <v>14</v>
      </c>
      <c r="I128" s="1180"/>
      <c r="J128" s="1178"/>
      <c r="K128" s="1178"/>
      <c r="L128" s="691">
        <v>12</v>
      </c>
      <c r="M128" s="691" t="s">
        <v>8</v>
      </c>
      <c r="N128" s="691" t="s">
        <v>450</v>
      </c>
      <c r="O128" s="1180"/>
      <c r="P128" s="722"/>
      <c r="Q128" s="561"/>
      <c r="R128" s="690"/>
      <c r="S128" s="690"/>
    </row>
    <row r="129" spans="1:19" s="10" customFormat="1" ht="30.1" customHeight="1" x14ac:dyDescent="0.25">
      <c r="A129" s="1167">
        <v>60</v>
      </c>
      <c r="B129" s="1170" t="s">
        <v>662</v>
      </c>
      <c r="C129" s="1170" t="s">
        <v>663</v>
      </c>
      <c r="D129" s="1170" t="s">
        <v>375</v>
      </c>
      <c r="E129" s="1229">
        <v>26022651</v>
      </c>
      <c r="F129" s="693" t="s">
        <v>389</v>
      </c>
      <c r="G129" s="1170" t="s">
        <v>605</v>
      </c>
      <c r="H129" s="731" t="s">
        <v>20</v>
      </c>
      <c r="I129" s="1170" t="s">
        <v>1356</v>
      </c>
      <c r="J129" s="1226">
        <v>1</v>
      </c>
      <c r="K129" s="1226">
        <v>30</v>
      </c>
      <c r="L129" s="702">
        <v>12</v>
      </c>
      <c r="M129" s="702" t="s">
        <v>4</v>
      </c>
      <c r="N129" s="702" t="s">
        <v>6</v>
      </c>
      <c r="O129" s="723"/>
      <c r="P129" s="222"/>
      <c r="Q129" s="718"/>
      <c r="R129" s="1278"/>
      <c r="S129" s="712"/>
    </row>
    <row r="130" spans="1:19" s="10" customFormat="1" ht="30.1" customHeight="1" x14ac:dyDescent="0.25">
      <c r="A130" s="1169"/>
      <c r="B130" s="1172"/>
      <c r="C130" s="1172"/>
      <c r="D130" s="1172"/>
      <c r="E130" s="1231"/>
      <c r="F130" s="693" t="s">
        <v>389</v>
      </c>
      <c r="G130" s="1172"/>
      <c r="H130" s="731" t="s">
        <v>20</v>
      </c>
      <c r="I130" s="1172"/>
      <c r="J130" s="1227"/>
      <c r="K130" s="1227"/>
      <c r="L130" s="702">
        <v>12</v>
      </c>
      <c r="M130" s="702" t="s">
        <v>231</v>
      </c>
      <c r="N130" s="702" t="s">
        <v>789</v>
      </c>
      <c r="O130" s="723"/>
      <c r="P130" s="222"/>
      <c r="Q130" s="718"/>
      <c r="R130" s="1278"/>
      <c r="S130" s="712"/>
    </row>
    <row r="131" spans="1:19" s="6" customFormat="1" ht="30.1" customHeight="1" x14ac:dyDescent="0.25">
      <c r="A131" s="1188">
        <v>61</v>
      </c>
      <c r="B131" s="1252" t="s">
        <v>380</v>
      </c>
      <c r="C131" s="1252" t="s">
        <v>381</v>
      </c>
      <c r="D131" s="1252" t="s">
        <v>375</v>
      </c>
      <c r="E131" s="1255">
        <v>1134329040</v>
      </c>
      <c r="F131" s="691" t="s">
        <v>410</v>
      </c>
      <c r="G131" s="1252" t="s">
        <v>621</v>
      </c>
      <c r="H131" s="730" t="s">
        <v>14</v>
      </c>
      <c r="I131" s="1252" t="s">
        <v>1357</v>
      </c>
      <c r="J131" s="1264">
        <v>7</v>
      </c>
      <c r="K131" s="1264">
        <v>8</v>
      </c>
      <c r="L131" s="691">
        <v>12</v>
      </c>
      <c r="M131" s="691" t="s">
        <v>231</v>
      </c>
      <c r="N131" s="691" t="s">
        <v>450</v>
      </c>
      <c r="O131" s="1179" t="s">
        <v>1458</v>
      </c>
      <c r="P131" s="228"/>
      <c r="Q131" s="561"/>
      <c r="R131" s="690"/>
      <c r="S131" s="690"/>
    </row>
    <row r="132" spans="1:19" s="6" customFormat="1" ht="30.1" customHeight="1" x14ac:dyDescent="0.25">
      <c r="A132" s="1188"/>
      <c r="B132" s="1252"/>
      <c r="C132" s="1252"/>
      <c r="D132" s="1252"/>
      <c r="E132" s="1255"/>
      <c r="F132" s="691" t="s">
        <v>410</v>
      </c>
      <c r="G132" s="1252"/>
      <c r="H132" s="730" t="s">
        <v>14</v>
      </c>
      <c r="I132" s="1252"/>
      <c r="J132" s="1264"/>
      <c r="K132" s="1264"/>
      <c r="L132" s="691">
        <v>20</v>
      </c>
      <c r="M132" s="691" t="s">
        <v>4</v>
      </c>
      <c r="N132" s="691" t="s">
        <v>450</v>
      </c>
      <c r="O132" s="1180"/>
      <c r="P132" s="228"/>
      <c r="Q132" s="561"/>
      <c r="R132" s="690"/>
      <c r="S132" s="690"/>
    </row>
    <row r="133" spans="1:19" ht="30.1" customHeight="1" x14ac:dyDescent="0.25">
      <c r="A133" s="1232">
        <v>62</v>
      </c>
      <c r="B133" s="1220" t="s">
        <v>1008</v>
      </c>
      <c r="C133" s="1220" t="s">
        <v>1009</v>
      </c>
      <c r="D133" s="1179"/>
      <c r="E133" s="1179"/>
      <c r="F133" s="626" t="s">
        <v>410</v>
      </c>
      <c r="G133" s="1220"/>
      <c r="H133" s="626" t="s">
        <v>14</v>
      </c>
      <c r="I133" s="1220" t="s">
        <v>1234</v>
      </c>
      <c r="J133" s="1280">
        <v>1</v>
      </c>
      <c r="K133" s="1280">
        <v>30</v>
      </c>
      <c r="L133" s="626">
        <v>20</v>
      </c>
      <c r="M133" s="626" t="s">
        <v>4</v>
      </c>
      <c r="N133" s="626" t="s">
        <v>450</v>
      </c>
      <c r="O133" s="1220" t="s">
        <v>1360</v>
      </c>
      <c r="P133" s="1220" t="s">
        <v>1392</v>
      </c>
      <c r="Q133" s="561"/>
      <c r="R133" s="690"/>
      <c r="S133" s="690"/>
    </row>
    <row r="134" spans="1:19" ht="30.1" customHeight="1" x14ac:dyDescent="0.25">
      <c r="A134" s="1233"/>
      <c r="B134" s="1221"/>
      <c r="C134" s="1221"/>
      <c r="D134" s="1180"/>
      <c r="E134" s="1180"/>
      <c r="F134" s="626" t="s">
        <v>410</v>
      </c>
      <c r="G134" s="1221"/>
      <c r="H134" s="626" t="s">
        <v>14</v>
      </c>
      <c r="I134" s="1221"/>
      <c r="J134" s="1281"/>
      <c r="K134" s="1281"/>
      <c r="L134" s="626">
        <v>30</v>
      </c>
      <c r="M134" s="626" t="s">
        <v>5</v>
      </c>
      <c r="N134" s="626" t="s">
        <v>450</v>
      </c>
      <c r="O134" s="1222"/>
      <c r="P134" s="1222"/>
      <c r="Q134" s="561"/>
      <c r="R134" s="690"/>
      <c r="S134" s="690"/>
    </row>
    <row r="135" spans="1:19" s="10" customFormat="1" ht="42.8" customHeight="1" x14ac:dyDescent="0.25">
      <c r="A135" s="694">
        <v>63</v>
      </c>
      <c r="B135" s="702" t="s">
        <v>430</v>
      </c>
      <c r="C135" s="702" t="s">
        <v>429</v>
      </c>
      <c r="D135" s="702" t="s">
        <v>375</v>
      </c>
      <c r="E135" s="247">
        <v>25908304</v>
      </c>
      <c r="F135" s="702" t="s">
        <v>410</v>
      </c>
      <c r="G135" s="702" t="s">
        <v>606</v>
      </c>
      <c r="H135" s="732" t="s">
        <v>117</v>
      </c>
      <c r="I135" s="702" t="s">
        <v>1358</v>
      </c>
      <c r="J135" s="703">
        <v>12</v>
      </c>
      <c r="K135" s="703">
        <v>11</v>
      </c>
      <c r="L135" s="703">
        <v>16</v>
      </c>
      <c r="M135" s="248" t="s">
        <v>4</v>
      </c>
      <c r="N135" s="702" t="s">
        <v>428</v>
      </c>
      <c r="O135" s="702" t="s">
        <v>1359</v>
      </c>
      <c r="P135" s="222"/>
      <c r="Q135" s="713"/>
      <c r="R135" s="14"/>
      <c r="S135" s="712"/>
    </row>
    <row r="136" spans="1:19" ht="33.799999999999997" customHeight="1" x14ac:dyDescent="0.25">
      <c r="A136" s="1167">
        <v>64</v>
      </c>
      <c r="B136" s="1170" t="s">
        <v>1395</v>
      </c>
      <c r="C136" s="1170" t="s">
        <v>1396</v>
      </c>
      <c r="D136" s="1179" t="s">
        <v>375</v>
      </c>
      <c r="E136" s="1176">
        <v>2819303</v>
      </c>
      <c r="F136" s="762" t="s">
        <v>410</v>
      </c>
      <c r="G136" s="1170" t="s">
        <v>1397</v>
      </c>
      <c r="H136" s="762" t="s">
        <v>469</v>
      </c>
      <c r="I136" s="1173">
        <v>3145275942</v>
      </c>
      <c r="J136" s="1176">
        <v>18</v>
      </c>
      <c r="K136" s="1176">
        <v>17</v>
      </c>
      <c r="L136" s="225">
        <v>15</v>
      </c>
      <c r="M136" s="226" t="s">
        <v>4</v>
      </c>
      <c r="N136" s="225" t="s">
        <v>450</v>
      </c>
      <c r="O136" s="1181" t="s">
        <v>1398</v>
      </c>
      <c r="P136" s="1179"/>
    </row>
    <row r="137" spans="1:19" ht="25.5" customHeight="1" x14ac:dyDescent="0.25">
      <c r="A137" s="1168"/>
      <c r="B137" s="1171"/>
      <c r="C137" s="1171"/>
      <c r="D137" s="1184"/>
      <c r="E137" s="1177"/>
      <c r="F137" s="762" t="s">
        <v>410</v>
      </c>
      <c r="G137" s="1171"/>
      <c r="H137" s="762" t="s">
        <v>469</v>
      </c>
      <c r="I137" s="1174"/>
      <c r="J137" s="1177"/>
      <c r="K137" s="1177"/>
      <c r="L137" s="225">
        <v>15</v>
      </c>
      <c r="M137" s="226" t="s">
        <v>5</v>
      </c>
      <c r="N137" s="225" t="s">
        <v>450</v>
      </c>
      <c r="O137" s="1182"/>
      <c r="P137" s="1180"/>
    </row>
    <row r="138" spans="1:19" ht="25.5" customHeight="1" x14ac:dyDescent="0.25">
      <c r="A138" s="1168"/>
      <c r="B138" s="1171"/>
      <c r="C138" s="1171"/>
      <c r="D138" s="1184"/>
      <c r="E138" s="1177"/>
      <c r="F138" s="762" t="s">
        <v>410</v>
      </c>
      <c r="G138" s="1171"/>
      <c r="H138" s="762" t="s">
        <v>469</v>
      </c>
      <c r="I138" s="1174"/>
      <c r="J138" s="1177"/>
      <c r="K138" s="1177"/>
      <c r="L138" s="225">
        <v>4</v>
      </c>
      <c r="M138" s="226" t="s">
        <v>8</v>
      </c>
      <c r="N138" s="225" t="s">
        <v>450</v>
      </c>
      <c r="O138" s="1182"/>
      <c r="P138" s="761"/>
    </row>
    <row r="139" spans="1:19" ht="25.5" customHeight="1" x14ac:dyDescent="0.25">
      <c r="A139" s="1168"/>
      <c r="B139" s="1171"/>
      <c r="C139" s="1171"/>
      <c r="D139" s="1184"/>
      <c r="E139" s="1177"/>
      <c r="F139" s="762" t="s">
        <v>410</v>
      </c>
      <c r="G139" s="1171"/>
      <c r="H139" s="762" t="s">
        <v>469</v>
      </c>
      <c r="I139" s="1174"/>
      <c r="J139" s="1177"/>
      <c r="K139" s="1177"/>
      <c r="L139" s="225">
        <v>1</v>
      </c>
      <c r="M139" s="226" t="s">
        <v>230</v>
      </c>
      <c r="N139" s="225" t="s">
        <v>470</v>
      </c>
      <c r="O139" s="1182"/>
      <c r="P139" s="225"/>
    </row>
    <row r="140" spans="1:19" s="2" customFormat="1" ht="30.1" customHeight="1" x14ac:dyDescent="0.25">
      <c r="A140" s="1169"/>
      <c r="B140" s="1172"/>
      <c r="C140" s="1172"/>
      <c r="D140" s="1180"/>
      <c r="E140" s="1178"/>
      <c r="F140" s="762" t="s">
        <v>410</v>
      </c>
      <c r="G140" s="1172"/>
      <c r="H140" s="762" t="s">
        <v>469</v>
      </c>
      <c r="I140" s="1175"/>
      <c r="J140" s="1178"/>
      <c r="K140" s="1178"/>
      <c r="L140" s="763">
        <v>4</v>
      </c>
      <c r="M140" s="222" t="s">
        <v>231</v>
      </c>
      <c r="N140" s="763" t="s">
        <v>450</v>
      </c>
      <c r="O140" s="1183"/>
      <c r="P140" s="763"/>
    </row>
    <row r="141" spans="1:19" ht="30.1" customHeight="1" x14ac:dyDescent="0.25">
      <c r="A141" s="262"/>
      <c r="B141" s="263"/>
      <c r="C141" s="263"/>
      <c r="D141" s="263"/>
      <c r="E141" s="263"/>
      <c r="F141" s="691"/>
      <c r="G141" s="263"/>
      <c r="H141" s="730"/>
      <c r="I141" s="304"/>
      <c r="J141" s="695"/>
      <c r="K141" s="695"/>
      <c r="L141" s="263"/>
      <c r="M141" s="263"/>
      <c r="N141" s="263"/>
      <c r="O141" s="263"/>
      <c r="P141" s="263"/>
    </row>
    <row r="142" spans="1:19" ht="30.1" customHeight="1" x14ac:dyDescent="0.25">
      <c r="A142" s="262"/>
      <c r="B142" s="263"/>
      <c r="C142" s="263"/>
      <c r="D142" s="263"/>
      <c r="E142" s="263"/>
      <c r="F142" s="691"/>
      <c r="G142" s="263"/>
      <c r="H142" s="730"/>
      <c r="I142" s="304"/>
      <c r="J142" s="695"/>
      <c r="K142" s="695"/>
      <c r="L142" s="263"/>
      <c r="M142" s="263"/>
      <c r="N142" s="263"/>
      <c r="O142" s="263"/>
      <c r="P142" s="263"/>
    </row>
    <row r="143" spans="1:19" ht="30.1" customHeight="1" x14ac:dyDescent="0.25">
      <c r="A143" s="262"/>
      <c r="B143" s="263"/>
      <c r="C143" s="263"/>
      <c r="D143" s="263"/>
      <c r="E143" s="263"/>
      <c r="F143" s="691"/>
      <c r="G143" s="263"/>
      <c r="H143" s="730"/>
      <c r="I143" s="304"/>
      <c r="J143" s="695"/>
      <c r="K143" s="695"/>
      <c r="L143" s="263"/>
      <c r="M143" s="263"/>
      <c r="N143" s="263"/>
      <c r="O143" s="263"/>
      <c r="P143" s="263"/>
    </row>
  </sheetData>
  <autoFilter ref="B1:P140"/>
  <mergeCells count="388">
    <mergeCell ref="O133:O134"/>
    <mergeCell ref="R129:R130"/>
    <mergeCell ref="O38:O39"/>
    <mergeCell ref="O44:O46"/>
    <mergeCell ref="P133:P134"/>
    <mergeCell ref="G133:G134"/>
    <mergeCell ref="I133:I134"/>
    <mergeCell ref="A133:A134"/>
    <mergeCell ref="B133:B134"/>
    <mergeCell ref="C133:C134"/>
    <mergeCell ref="D133:D134"/>
    <mergeCell ref="E133:E134"/>
    <mergeCell ref="J133:J134"/>
    <mergeCell ref="K133:K134"/>
    <mergeCell ref="K129:K130"/>
    <mergeCell ref="A131:A132"/>
    <mergeCell ref="B131:B132"/>
    <mergeCell ref="G131:G132"/>
    <mergeCell ref="C131:C132"/>
    <mergeCell ref="D131:D132"/>
    <mergeCell ref="E131:E132"/>
    <mergeCell ref="O131:O132"/>
    <mergeCell ref="I131:I132"/>
    <mergeCell ref="J131:J132"/>
    <mergeCell ref="K131:K132"/>
    <mergeCell ref="A129:A130"/>
    <mergeCell ref="B129:B130"/>
    <mergeCell ref="C129:C130"/>
    <mergeCell ref="D129:D130"/>
    <mergeCell ref="E129:E130"/>
    <mergeCell ref="G129:G130"/>
    <mergeCell ref="I129:I130"/>
    <mergeCell ref="J129:J130"/>
    <mergeCell ref="A125:A128"/>
    <mergeCell ref="B125:B128"/>
    <mergeCell ref="C125:C128"/>
    <mergeCell ref="D125:D128"/>
    <mergeCell ref="E125:E128"/>
    <mergeCell ref="G125:G128"/>
    <mergeCell ref="I125:I128"/>
    <mergeCell ref="O125:O126"/>
    <mergeCell ref="O127:O128"/>
    <mergeCell ref="J125:J128"/>
    <mergeCell ref="K125:K128"/>
    <mergeCell ref="S120:S122"/>
    <mergeCell ref="I120:I122"/>
    <mergeCell ref="R120:R122"/>
    <mergeCell ref="P125:P126"/>
    <mergeCell ref="Q125:Q126"/>
    <mergeCell ref="B120:B122"/>
    <mergeCell ref="C120:C122"/>
    <mergeCell ref="D120:D122"/>
    <mergeCell ref="E120:E122"/>
    <mergeCell ref="A120:A122"/>
    <mergeCell ref="G120:G122"/>
    <mergeCell ref="K120:K122"/>
    <mergeCell ref="J120:J122"/>
    <mergeCell ref="A117:A119"/>
    <mergeCell ref="B117:B119"/>
    <mergeCell ref="C117:C119"/>
    <mergeCell ref="D117:D119"/>
    <mergeCell ref="E117:E119"/>
    <mergeCell ref="G117:G119"/>
    <mergeCell ref="I117:I119"/>
    <mergeCell ref="J117:J119"/>
    <mergeCell ref="K117:K119"/>
    <mergeCell ref="S117:S119"/>
    <mergeCell ref="Q112:Q114"/>
    <mergeCell ref="O112:O114"/>
    <mergeCell ref="O72:O73"/>
    <mergeCell ref="O99:O100"/>
    <mergeCell ref="O109:O111"/>
    <mergeCell ref="G112:G114"/>
    <mergeCell ref="I112:I114"/>
    <mergeCell ref="G92:G93"/>
    <mergeCell ref="P83:P86"/>
    <mergeCell ref="P94:P96"/>
    <mergeCell ref="J83:J86"/>
    <mergeCell ref="K83:K86"/>
    <mergeCell ref="J89:J91"/>
    <mergeCell ref="K89:K91"/>
    <mergeCell ref="O89:O91"/>
    <mergeCell ref="P89:P90"/>
    <mergeCell ref="K74:K76"/>
    <mergeCell ref="O117:O119"/>
    <mergeCell ref="A112:A114"/>
    <mergeCell ref="B112:B114"/>
    <mergeCell ref="C112:C114"/>
    <mergeCell ref="D112:D114"/>
    <mergeCell ref="E112:E114"/>
    <mergeCell ref="J112:J114"/>
    <mergeCell ref="K112:K114"/>
    <mergeCell ref="I109:I111"/>
    <mergeCell ref="J109:J111"/>
    <mergeCell ref="D109:D111"/>
    <mergeCell ref="E109:E111"/>
    <mergeCell ref="G109:G111"/>
    <mergeCell ref="A109:A111"/>
    <mergeCell ref="B109:B111"/>
    <mergeCell ref="C109:C111"/>
    <mergeCell ref="P35:P36"/>
    <mergeCell ref="P54:P56"/>
    <mergeCell ref="P57:P59"/>
    <mergeCell ref="P74:P76"/>
    <mergeCell ref="O83:O86"/>
    <mergeCell ref="K109:K111"/>
    <mergeCell ref="P109:P111"/>
    <mergeCell ref="G35:G36"/>
    <mergeCell ref="E104:E105"/>
    <mergeCell ref="G104:G105"/>
    <mergeCell ref="I104:I105"/>
    <mergeCell ref="J104:J105"/>
    <mergeCell ref="K104:K105"/>
    <mergeCell ref="O51:O52"/>
    <mergeCell ref="J47:J50"/>
    <mergeCell ref="K47:K50"/>
    <mergeCell ref="I47:I50"/>
    <mergeCell ref="I35:I36"/>
    <mergeCell ref="J35:J36"/>
    <mergeCell ref="K35:K36"/>
    <mergeCell ref="G47:G50"/>
    <mergeCell ref="K41:K43"/>
    <mergeCell ref="J38:J40"/>
    <mergeCell ref="K38:K40"/>
    <mergeCell ref="A104:A105"/>
    <mergeCell ref="B104:B105"/>
    <mergeCell ref="C104:C105"/>
    <mergeCell ref="D104:D105"/>
    <mergeCell ref="P104:P105"/>
    <mergeCell ref="P99:P100"/>
    <mergeCell ref="A99:A100"/>
    <mergeCell ref="B99:B100"/>
    <mergeCell ref="C99:C100"/>
    <mergeCell ref="D99:D100"/>
    <mergeCell ref="E99:E100"/>
    <mergeCell ref="I101:I103"/>
    <mergeCell ref="J101:J103"/>
    <mergeCell ref="K101:K103"/>
    <mergeCell ref="A101:A103"/>
    <mergeCell ref="B101:B103"/>
    <mergeCell ref="C101:C103"/>
    <mergeCell ref="D101:D103"/>
    <mergeCell ref="E101:E103"/>
    <mergeCell ref="G101:G103"/>
    <mergeCell ref="P101:P103"/>
    <mergeCell ref="K99:K100"/>
    <mergeCell ref="K7:K9"/>
    <mergeCell ref="I16:I19"/>
    <mergeCell ref="B35:B36"/>
    <mergeCell ref="A35:A36"/>
    <mergeCell ref="C35:C36"/>
    <mergeCell ref="G99:G100"/>
    <mergeCell ref="I99:I100"/>
    <mergeCell ref="J99:J100"/>
    <mergeCell ref="I41:I43"/>
    <mergeCell ref="J41:J43"/>
    <mergeCell ref="A47:A50"/>
    <mergeCell ref="B47:B50"/>
    <mergeCell ref="C47:C50"/>
    <mergeCell ref="J12:J13"/>
    <mergeCell ref="K12:K13"/>
    <mergeCell ref="A14:A15"/>
    <mergeCell ref="B14:B15"/>
    <mergeCell ref="C14:C15"/>
    <mergeCell ref="G14:G15"/>
    <mergeCell ref="K29:K33"/>
    <mergeCell ref="J65:J69"/>
    <mergeCell ref="I7:I9"/>
    <mergeCell ref="J7:J9"/>
    <mergeCell ref="G12:G13"/>
    <mergeCell ref="I2:I3"/>
    <mergeCell ref="J2:J3"/>
    <mergeCell ref="K2:K3"/>
    <mergeCell ref="A4:A6"/>
    <mergeCell ref="B4:B6"/>
    <mergeCell ref="C4:C6"/>
    <mergeCell ref="I4:I6"/>
    <mergeCell ref="J4:J6"/>
    <mergeCell ref="A2:A3"/>
    <mergeCell ref="B2:B3"/>
    <mergeCell ref="C2:C3"/>
    <mergeCell ref="G2:G3"/>
    <mergeCell ref="K4:K6"/>
    <mergeCell ref="G4:G6"/>
    <mergeCell ref="I12:I13"/>
    <mergeCell ref="J14:J15"/>
    <mergeCell ref="N29:N33"/>
    <mergeCell ref="O31:O33"/>
    <mergeCell ref="K57:K59"/>
    <mergeCell ref="J16:J19"/>
    <mergeCell ref="K16:K19"/>
    <mergeCell ref="I20:I21"/>
    <mergeCell ref="I24:I28"/>
    <mergeCell ref="I29:I33"/>
    <mergeCell ref="J29:J33"/>
    <mergeCell ref="O20:O21"/>
    <mergeCell ref="J51:J52"/>
    <mergeCell ref="J20:J21"/>
    <mergeCell ref="K20:K21"/>
    <mergeCell ref="I22:I23"/>
    <mergeCell ref="J22:J23"/>
    <mergeCell ref="K22:K23"/>
    <mergeCell ref="J24:J28"/>
    <mergeCell ref="K24:K28"/>
    <mergeCell ref="N24:N28"/>
    <mergeCell ref="O24:O28"/>
    <mergeCell ref="K14:K15"/>
    <mergeCell ref="I14:I15"/>
    <mergeCell ref="C7:C9"/>
    <mergeCell ref="G7:G9"/>
    <mergeCell ref="A7:A9"/>
    <mergeCell ref="A20:A21"/>
    <mergeCell ref="B20:B21"/>
    <mergeCell ref="C20:C21"/>
    <mergeCell ref="G20:G21"/>
    <mergeCell ref="A16:A19"/>
    <mergeCell ref="B16:B19"/>
    <mergeCell ref="C16:C19"/>
    <mergeCell ref="G16:G19"/>
    <mergeCell ref="B7:B9"/>
    <mergeCell ref="A12:A13"/>
    <mergeCell ref="B12:B13"/>
    <mergeCell ref="C12:C13"/>
    <mergeCell ref="B22:B23"/>
    <mergeCell ref="C22:C23"/>
    <mergeCell ref="G22:G23"/>
    <mergeCell ref="A29:A33"/>
    <mergeCell ref="B29:B33"/>
    <mergeCell ref="C29:C33"/>
    <mergeCell ref="G29:G33"/>
    <mergeCell ref="A24:A28"/>
    <mergeCell ref="B24:B28"/>
    <mergeCell ref="C24:C28"/>
    <mergeCell ref="G24:G28"/>
    <mergeCell ref="A22:A23"/>
    <mergeCell ref="A41:A43"/>
    <mergeCell ref="B41:B43"/>
    <mergeCell ref="C41:C43"/>
    <mergeCell ref="G41:G43"/>
    <mergeCell ref="A38:A40"/>
    <mergeCell ref="B38:B40"/>
    <mergeCell ref="C38:C40"/>
    <mergeCell ref="G38:G40"/>
    <mergeCell ref="I38:I40"/>
    <mergeCell ref="A44:A46"/>
    <mergeCell ref="B44:B46"/>
    <mergeCell ref="C44:C46"/>
    <mergeCell ref="I44:I46"/>
    <mergeCell ref="J44:J46"/>
    <mergeCell ref="K44:K46"/>
    <mergeCell ref="G44:G46"/>
    <mergeCell ref="I54:I56"/>
    <mergeCell ref="J54:J56"/>
    <mergeCell ref="K54:K56"/>
    <mergeCell ref="K51:K52"/>
    <mergeCell ref="G54:G56"/>
    <mergeCell ref="A51:A52"/>
    <mergeCell ref="B51:B52"/>
    <mergeCell ref="C51:C52"/>
    <mergeCell ref="G51:G52"/>
    <mergeCell ref="I51:I52"/>
    <mergeCell ref="O65:O69"/>
    <mergeCell ref="O54:O56"/>
    <mergeCell ref="A57:A59"/>
    <mergeCell ref="B57:B59"/>
    <mergeCell ref="C57:C59"/>
    <mergeCell ref="G57:G59"/>
    <mergeCell ref="I57:I59"/>
    <mergeCell ref="J57:J59"/>
    <mergeCell ref="O57:O59"/>
    <mergeCell ref="N57:N59"/>
    <mergeCell ref="I60:I62"/>
    <mergeCell ref="A60:A62"/>
    <mergeCell ref="B60:B62"/>
    <mergeCell ref="C60:C62"/>
    <mergeCell ref="G60:G62"/>
    <mergeCell ref="N60:N62"/>
    <mergeCell ref="A54:A56"/>
    <mergeCell ref="B54:B56"/>
    <mergeCell ref="C54:C56"/>
    <mergeCell ref="K65:K69"/>
    <mergeCell ref="N65:N69"/>
    <mergeCell ref="A70:A71"/>
    <mergeCell ref="B70:B71"/>
    <mergeCell ref="C70:C71"/>
    <mergeCell ref="G70:G71"/>
    <mergeCell ref="I65:I69"/>
    <mergeCell ref="A72:A73"/>
    <mergeCell ref="B72:B73"/>
    <mergeCell ref="C72:C73"/>
    <mergeCell ref="G72:G73"/>
    <mergeCell ref="I72:I73"/>
    <mergeCell ref="A65:A69"/>
    <mergeCell ref="B65:B69"/>
    <mergeCell ref="C65:C69"/>
    <mergeCell ref="G65:G69"/>
    <mergeCell ref="E94:E96"/>
    <mergeCell ref="J92:J93"/>
    <mergeCell ref="K92:K93"/>
    <mergeCell ref="O92:O93"/>
    <mergeCell ref="P92:P93"/>
    <mergeCell ref="A79:A82"/>
    <mergeCell ref="B79:B82"/>
    <mergeCell ref="C79:C82"/>
    <mergeCell ref="G79:G82"/>
    <mergeCell ref="K87:K88"/>
    <mergeCell ref="I92:I93"/>
    <mergeCell ref="I89:I91"/>
    <mergeCell ref="G94:G96"/>
    <mergeCell ref="A92:A93"/>
    <mergeCell ref="B92:B93"/>
    <mergeCell ref="C92:C93"/>
    <mergeCell ref="A94:A96"/>
    <mergeCell ref="B94:B96"/>
    <mergeCell ref="P79:P82"/>
    <mergeCell ref="A89:A91"/>
    <mergeCell ref="B89:B91"/>
    <mergeCell ref="A87:A88"/>
    <mergeCell ref="P67:P68"/>
    <mergeCell ref="P25:P26"/>
    <mergeCell ref="P16:P17"/>
    <mergeCell ref="O35:O36"/>
    <mergeCell ref="I94:I96"/>
    <mergeCell ref="J94:J96"/>
    <mergeCell ref="K94:K96"/>
    <mergeCell ref="O74:O76"/>
    <mergeCell ref="K79:K82"/>
    <mergeCell ref="I70:I71"/>
    <mergeCell ref="J70:J71"/>
    <mergeCell ref="K70:K71"/>
    <mergeCell ref="N79:N82"/>
    <mergeCell ref="O79:O82"/>
    <mergeCell ref="I79:I82"/>
    <mergeCell ref="J79:J82"/>
    <mergeCell ref="J72:J73"/>
    <mergeCell ref="K72:K73"/>
    <mergeCell ref="J60:J62"/>
    <mergeCell ref="K60:K62"/>
    <mergeCell ref="J87:J88"/>
    <mergeCell ref="P51:P52"/>
    <mergeCell ref="P20:P21"/>
    <mergeCell ref="J74:J76"/>
    <mergeCell ref="O49:O50"/>
    <mergeCell ref="I74:I76"/>
    <mergeCell ref="O104:O105"/>
    <mergeCell ref="G89:G91"/>
    <mergeCell ref="C94:C96"/>
    <mergeCell ref="D94:D96"/>
    <mergeCell ref="E89:E91"/>
    <mergeCell ref="D89:D91"/>
    <mergeCell ref="E92:E93"/>
    <mergeCell ref="D92:D93"/>
    <mergeCell ref="C83:C86"/>
    <mergeCell ref="D83:D86"/>
    <mergeCell ref="E83:E86"/>
    <mergeCell ref="I83:I86"/>
    <mergeCell ref="C74:C76"/>
    <mergeCell ref="I87:I88"/>
    <mergeCell ref="G83:G85"/>
    <mergeCell ref="E87:E88"/>
    <mergeCell ref="D87:D88"/>
    <mergeCell ref="G74:G76"/>
    <mergeCell ref="D74:D76"/>
    <mergeCell ref="C87:C88"/>
    <mergeCell ref="G87:G88"/>
    <mergeCell ref="C89:C91"/>
    <mergeCell ref="E74:E76"/>
    <mergeCell ref="A83:A86"/>
    <mergeCell ref="B83:B86"/>
    <mergeCell ref="J77:J78"/>
    <mergeCell ref="K77:K78"/>
    <mergeCell ref="A74:A76"/>
    <mergeCell ref="B74:B76"/>
    <mergeCell ref="B87:B88"/>
    <mergeCell ref="A77:A78"/>
    <mergeCell ref="B77:B78"/>
    <mergeCell ref="C77:C78"/>
    <mergeCell ref="A136:A140"/>
    <mergeCell ref="B136:B140"/>
    <mergeCell ref="C136:C140"/>
    <mergeCell ref="G136:G140"/>
    <mergeCell ref="I136:I140"/>
    <mergeCell ref="J136:J140"/>
    <mergeCell ref="K136:K140"/>
    <mergeCell ref="P136:P137"/>
    <mergeCell ref="O136:O140"/>
    <mergeCell ref="D136:D140"/>
    <mergeCell ref="E136:E140"/>
  </mergeCells>
  <pageMargins left="0.23622047244094491" right="0.23622047244094491" top="0.35433070866141736" bottom="0.35433070866141736" header="0.31496062992125984" footer="0.31496062992125984"/>
  <pageSetup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8"/>
  <sheetViews>
    <sheetView topLeftCell="A7" zoomScale="130" zoomScaleNormal="130" workbookViewId="0">
      <selection activeCell="D21" sqref="D21"/>
    </sheetView>
  </sheetViews>
  <sheetFormatPr baseColWidth="10" defaultRowHeight="14.3" x14ac:dyDescent="0.25"/>
  <cols>
    <col min="1" max="1" width="13.25" customWidth="1"/>
    <col min="2" max="2" width="4.625" customWidth="1"/>
    <col min="3" max="3" width="21.125" customWidth="1"/>
    <col min="4" max="4" width="15.875" customWidth="1"/>
    <col min="5" max="5" width="12.75" customWidth="1"/>
    <col min="6" max="6" width="20.625" customWidth="1"/>
    <col min="7" max="7" width="16.75" customWidth="1"/>
  </cols>
  <sheetData>
    <row r="4" spans="1:7" x14ac:dyDescent="0.25">
      <c r="B4" s="1285" t="s">
        <v>809</v>
      </c>
      <c r="C4" s="1285"/>
      <c r="D4" s="1285"/>
      <c r="E4" s="1285"/>
      <c r="F4" s="1285"/>
      <c r="G4" s="1285"/>
    </row>
    <row r="5" spans="1:7" x14ac:dyDescent="0.25">
      <c r="B5" s="1285" t="s">
        <v>811</v>
      </c>
      <c r="C5" s="1285"/>
      <c r="D5" s="136" t="s">
        <v>805</v>
      </c>
      <c r="E5" s="136" t="s">
        <v>806</v>
      </c>
      <c r="F5" s="136" t="s">
        <v>807</v>
      </c>
      <c r="G5" s="136" t="s">
        <v>808</v>
      </c>
    </row>
    <row r="6" spans="1:7" x14ac:dyDescent="0.25">
      <c r="B6" s="138">
        <v>1</v>
      </c>
      <c r="C6" s="137" t="s">
        <v>952</v>
      </c>
      <c r="D6" s="461">
        <v>20</v>
      </c>
      <c r="E6" s="461">
        <v>20</v>
      </c>
      <c r="F6" s="461">
        <v>20</v>
      </c>
      <c r="G6" s="461">
        <v>15</v>
      </c>
    </row>
    <row r="7" spans="1:7" x14ac:dyDescent="0.25">
      <c r="B7" s="138">
        <v>2</v>
      </c>
      <c r="C7" s="137" t="s">
        <v>1167</v>
      </c>
      <c r="D7" s="462">
        <v>17</v>
      </c>
      <c r="E7" s="461">
        <v>17</v>
      </c>
      <c r="F7" s="461">
        <v>14</v>
      </c>
      <c r="G7" s="461">
        <v>8</v>
      </c>
    </row>
    <row r="8" spans="1:7" x14ac:dyDescent="0.25">
      <c r="B8" s="138">
        <v>3</v>
      </c>
      <c r="C8" s="137" t="s">
        <v>1403</v>
      </c>
      <c r="D8" s="461">
        <v>20</v>
      </c>
      <c r="E8" s="461">
        <v>20</v>
      </c>
      <c r="F8" s="461">
        <v>20</v>
      </c>
      <c r="G8" s="461">
        <v>20</v>
      </c>
    </row>
    <row r="9" spans="1:7" x14ac:dyDescent="0.25">
      <c r="B9" s="138">
        <v>4</v>
      </c>
      <c r="C9" s="137" t="s">
        <v>1404</v>
      </c>
      <c r="D9" s="461"/>
      <c r="E9" s="461"/>
      <c r="F9" s="461"/>
      <c r="G9" s="461"/>
    </row>
    <row r="10" spans="1:7" x14ac:dyDescent="0.25">
      <c r="B10" s="138">
        <v>5</v>
      </c>
      <c r="C10" s="137" t="s">
        <v>1101</v>
      </c>
      <c r="D10" s="461"/>
      <c r="E10" s="461"/>
      <c r="F10" s="461"/>
      <c r="G10" s="461"/>
    </row>
    <row r="11" spans="1:7" ht="19.05" x14ac:dyDescent="0.25">
      <c r="B11" s="1286" t="s">
        <v>810</v>
      </c>
      <c r="C11" s="1287"/>
      <c r="D11" s="289">
        <f>SUM(D6:D10)</f>
        <v>57</v>
      </c>
      <c r="E11" s="289">
        <f>SUM(E6:E10)</f>
        <v>57</v>
      </c>
      <c r="F11" s="289">
        <f>SUM(F6:F10)</f>
        <v>54</v>
      </c>
      <c r="G11" s="289">
        <f>SUM(G6:G10)</f>
        <v>43</v>
      </c>
    </row>
    <row r="12" spans="1:7" x14ac:dyDescent="0.25">
      <c r="D12" s="810">
        <v>90</v>
      </c>
      <c r="E12" s="810">
        <v>90</v>
      </c>
      <c r="F12" s="810">
        <v>90</v>
      </c>
      <c r="G12" s="810">
        <v>90</v>
      </c>
    </row>
    <row r="13" spans="1:7" x14ac:dyDescent="0.25">
      <c r="D13" s="811">
        <f>D12-D11</f>
        <v>33</v>
      </c>
      <c r="E13" s="811">
        <f t="shared" ref="E13:G13" si="0">E12-E11</f>
        <v>33</v>
      </c>
      <c r="F13" s="811">
        <f t="shared" si="0"/>
        <v>36</v>
      </c>
      <c r="G13" s="811">
        <f t="shared" si="0"/>
        <v>47</v>
      </c>
    </row>
    <row r="16" spans="1:7" ht="14.95" customHeight="1" x14ac:dyDescent="0.25">
      <c r="A16" s="1294">
        <v>43462</v>
      </c>
      <c r="B16" s="1295"/>
      <c r="C16" s="1288" t="s">
        <v>989</v>
      </c>
      <c r="D16" s="1289"/>
      <c r="E16" s="1289"/>
      <c r="F16" s="1289"/>
      <c r="G16" s="1290"/>
    </row>
    <row r="17" spans="1:7" x14ac:dyDescent="0.25">
      <c r="A17" s="1296"/>
      <c r="B17" s="1297"/>
      <c r="C17" s="1291"/>
      <c r="D17" s="1292"/>
      <c r="E17" s="1292"/>
      <c r="F17" s="1292"/>
      <c r="G17" s="1293"/>
    </row>
    <row r="18" spans="1:7" ht="58.6" customHeight="1" x14ac:dyDescent="0.25">
      <c r="A18" s="1282">
        <v>43473</v>
      </c>
      <c r="B18" s="1283"/>
      <c r="C18" s="1284" t="s">
        <v>1100</v>
      </c>
      <c r="D18" s="1284"/>
      <c r="E18" s="1284"/>
      <c r="F18" s="1284"/>
      <c r="G18" s="1284"/>
    </row>
  </sheetData>
  <mergeCells count="7">
    <mergeCell ref="A18:B18"/>
    <mergeCell ref="C18:G18"/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view="pageBreakPreview" zoomScale="115" zoomScaleNormal="145" zoomScaleSheetLayoutView="115" workbookViewId="0">
      <selection activeCell="C15" sqref="C15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6.25" customWidth="1"/>
    <col min="8" max="8" width="15.375" customWidth="1"/>
    <col min="9" max="9" width="6.875" customWidth="1"/>
    <col min="13" max="13" width="13.75" customWidth="1"/>
    <col min="14" max="14" width="23.125" customWidth="1"/>
    <col min="15" max="15" width="25.75" customWidth="1"/>
  </cols>
  <sheetData>
    <row r="1" spans="1:7" x14ac:dyDescent="0.25">
      <c r="B1" s="1307" t="s">
        <v>686</v>
      </c>
      <c r="C1" s="1307"/>
      <c r="D1" s="1307"/>
      <c r="E1" s="1307"/>
      <c r="F1" s="1307"/>
    </row>
    <row r="2" spans="1:7" ht="25.5" customHeight="1" x14ac:dyDescent="0.25">
      <c r="A2" s="17"/>
      <c r="B2" s="1306" t="s">
        <v>548</v>
      </c>
      <c r="C2" s="94" t="s">
        <v>774</v>
      </c>
      <c r="D2" s="94" t="s">
        <v>838</v>
      </c>
      <c r="E2" s="94" t="s">
        <v>773</v>
      </c>
      <c r="F2" s="94" t="s">
        <v>774</v>
      </c>
      <c r="G2" s="8"/>
    </row>
    <row r="3" spans="1:7" ht="18.7" customHeight="1" x14ac:dyDescent="0.25">
      <c r="A3" s="17"/>
      <c r="B3" s="1306"/>
      <c r="C3" s="94">
        <v>29</v>
      </c>
      <c r="D3" s="94">
        <v>30</v>
      </c>
      <c r="E3" s="94">
        <v>31</v>
      </c>
      <c r="F3" s="94">
        <v>1</v>
      </c>
      <c r="G3" s="8"/>
    </row>
    <row r="4" spans="1:7" ht="25.5" customHeight="1" x14ac:dyDescent="0.25">
      <c r="A4" s="17"/>
      <c r="B4" s="95">
        <v>0.33333333333333331</v>
      </c>
      <c r="C4" s="96"/>
      <c r="D4" s="96"/>
      <c r="E4" s="96"/>
      <c r="F4" s="96"/>
    </row>
    <row r="5" spans="1:7" ht="25.5" customHeight="1" x14ac:dyDescent="0.25">
      <c r="A5" s="17"/>
      <c r="B5" s="95">
        <v>0.375</v>
      </c>
      <c r="C5" s="96"/>
      <c r="D5" s="96"/>
      <c r="E5" s="97"/>
      <c r="F5" s="96"/>
    </row>
    <row r="6" spans="1:7" ht="25.5" customHeight="1" x14ac:dyDescent="0.25">
      <c r="A6" s="17"/>
      <c r="B6" s="95">
        <v>0.41666666666666669</v>
      </c>
      <c r="C6" s="97"/>
      <c r="D6" s="97"/>
      <c r="E6" s="96"/>
      <c r="F6" s="97"/>
    </row>
    <row r="7" spans="1:7" ht="25.5" customHeight="1" x14ac:dyDescent="0.25">
      <c r="A7" s="17"/>
      <c r="B7" s="95">
        <v>0.45833333333333331</v>
      </c>
      <c r="C7" s="96"/>
      <c r="D7" s="96"/>
      <c r="E7" s="96"/>
      <c r="F7" s="96"/>
    </row>
    <row r="8" spans="1:7" ht="25.5" customHeight="1" x14ac:dyDescent="0.25">
      <c r="A8" s="17"/>
      <c r="B8" s="95">
        <v>8.3333333333333329E-2</v>
      </c>
      <c r="C8" s="96"/>
      <c r="D8" s="102"/>
      <c r="E8" s="103"/>
      <c r="F8" s="96"/>
    </row>
    <row r="9" spans="1:7" ht="25.5" customHeight="1" x14ac:dyDescent="0.25">
      <c r="A9" s="17"/>
      <c r="B9" s="95">
        <v>0.125</v>
      </c>
      <c r="C9" s="96"/>
      <c r="D9" s="97"/>
      <c r="E9" s="96"/>
      <c r="F9" s="96"/>
    </row>
    <row r="10" spans="1:7" ht="25.5" customHeight="1" x14ac:dyDescent="0.25">
      <c r="A10" s="17"/>
      <c r="B10" s="95">
        <v>0.16666666666666666</v>
      </c>
      <c r="C10" s="96"/>
      <c r="D10" s="96"/>
      <c r="E10" s="96"/>
      <c r="F10" s="96"/>
    </row>
    <row r="11" spans="1:7" ht="25.5" customHeight="1" x14ac:dyDescent="0.25">
      <c r="A11" s="17"/>
      <c r="B11" s="95">
        <v>0.20833333333333334</v>
      </c>
      <c r="C11" s="96"/>
      <c r="D11" s="96"/>
      <c r="E11" s="96"/>
      <c r="F11" s="96"/>
    </row>
    <row r="12" spans="1:7" x14ac:dyDescent="0.25">
      <c r="B12" s="98"/>
      <c r="C12" s="99"/>
      <c r="D12" s="99"/>
      <c r="E12" s="99"/>
      <c r="F12" s="99"/>
    </row>
    <row r="13" spans="1:7" ht="17.350000000000001" customHeight="1" x14ac:dyDescent="0.25">
      <c r="B13" s="101"/>
      <c r="C13" s="100"/>
      <c r="D13" s="99"/>
      <c r="E13" s="101"/>
      <c r="F13" s="101"/>
    </row>
    <row r="14" spans="1:7" ht="16.5" customHeight="1" x14ac:dyDescent="0.25">
      <c r="B14" s="99"/>
      <c r="C14" s="99"/>
      <c r="D14" s="99"/>
      <c r="E14" s="101"/>
      <c r="F14" s="101"/>
    </row>
    <row r="15" spans="1:7" ht="17.350000000000001" customHeight="1" x14ac:dyDescent="0.25">
      <c r="B15" s="100"/>
      <c r="C15" s="101"/>
      <c r="D15" s="99"/>
      <c r="E15" s="99"/>
      <c r="F15" s="101"/>
    </row>
    <row r="16" spans="1:7" x14ac:dyDescent="0.25">
      <c r="B16" s="100"/>
      <c r="C16" s="99"/>
      <c r="D16" s="99"/>
      <c r="E16" s="99"/>
      <c r="F16" s="99"/>
    </row>
    <row r="17" spans="2:18" ht="14.95" thickBot="1" x14ac:dyDescent="0.3">
      <c r="B17" s="100"/>
      <c r="C17" s="99"/>
      <c r="D17" s="99"/>
      <c r="E17" s="99"/>
      <c r="F17" s="99"/>
    </row>
    <row r="18" spans="2:18" ht="15.8" customHeight="1" thickBot="1" x14ac:dyDescent="0.3">
      <c r="B18" s="100"/>
      <c r="C18" s="101"/>
      <c r="D18" s="99"/>
      <c r="E18" s="99"/>
      <c r="F18" s="99"/>
      <c r="I18" s="1303" t="s">
        <v>928</v>
      </c>
      <c r="J18" s="1304"/>
      <c r="K18" s="1304"/>
      <c r="L18" s="1304"/>
      <c r="M18" s="1304"/>
      <c r="N18" s="1304"/>
      <c r="O18" s="1305"/>
      <c r="P18" s="272"/>
      <c r="Q18" s="272"/>
      <c r="R18" s="272"/>
    </row>
    <row r="19" spans="2:18" ht="15.8" customHeight="1" thickBot="1" x14ac:dyDescent="0.3">
      <c r="B19" s="100"/>
      <c r="C19" s="99"/>
      <c r="D19" s="99"/>
      <c r="E19" s="99"/>
      <c r="F19" s="99"/>
      <c r="I19" s="273" t="s">
        <v>922</v>
      </c>
      <c r="J19" s="274" t="s">
        <v>923</v>
      </c>
      <c r="K19" s="274" t="s">
        <v>548</v>
      </c>
      <c r="L19" s="1301" t="s">
        <v>240</v>
      </c>
      <c r="M19" s="1302"/>
      <c r="N19" s="278" t="s">
        <v>924</v>
      </c>
      <c r="O19" s="279"/>
      <c r="P19" s="272"/>
      <c r="Q19" s="272"/>
      <c r="R19" s="272"/>
    </row>
    <row r="20" spans="2:18" ht="14.95" thickBot="1" x14ac:dyDescent="0.3">
      <c r="C20" s="18"/>
      <c r="D20" s="18"/>
      <c r="E20" s="18"/>
      <c r="F20" s="76"/>
      <c r="I20" s="275">
        <v>1</v>
      </c>
      <c r="J20" s="276">
        <v>43441</v>
      </c>
      <c r="K20" s="277" t="s">
        <v>925</v>
      </c>
      <c r="L20" s="277" t="s">
        <v>929</v>
      </c>
      <c r="M20" s="277"/>
      <c r="N20" s="277" t="s">
        <v>926</v>
      </c>
      <c r="O20" s="277" t="s">
        <v>927</v>
      </c>
      <c r="P20" s="272"/>
      <c r="Q20" s="272"/>
      <c r="R20" s="272"/>
    </row>
    <row r="21" spans="2:18" ht="14.95" thickBot="1" x14ac:dyDescent="0.3">
      <c r="D21" s="15"/>
      <c r="I21" s="275">
        <v>2</v>
      </c>
      <c r="J21" s="276">
        <v>43445</v>
      </c>
      <c r="K21" s="277" t="s">
        <v>925</v>
      </c>
      <c r="L21" s="277" t="s">
        <v>929</v>
      </c>
      <c r="M21" s="277"/>
      <c r="N21" s="277" t="s">
        <v>926</v>
      </c>
      <c r="O21" s="277" t="s">
        <v>927</v>
      </c>
      <c r="P21" s="272"/>
      <c r="Q21" s="272"/>
      <c r="R21" s="272"/>
    </row>
    <row r="22" spans="2:18" ht="14.95" thickBot="1" x14ac:dyDescent="0.3">
      <c r="D22" s="15"/>
      <c r="I22" s="275">
        <v>3</v>
      </c>
      <c r="J22" s="276">
        <v>43446</v>
      </c>
      <c r="K22" s="277" t="s">
        <v>925</v>
      </c>
      <c r="L22" s="277" t="s">
        <v>929</v>
      </c>
      <c r="M22" s="277"/>
      <c r="N22" s="277" t="s">
        <v>926</v>
      </c>
      <c r="O22" s="277" t="s">
        <v>927</v>
      </c>
      <c r="P22" s="272"/>
      <c r="Q22" s="272"/>
      <c r="R22" s="272"/>
    </row>
    <row r="23" spans="2:18" ht="14.95" customHeight="1" thickBot="1" x14ac:dyDescent="0.3">
      <c r="D23" s="15"/>
      <c r="I23" s="275">
        <v>4</v>
      </c>
      <c r="J23" s="276">
        <v>43448</v>
      </c>
      <c r="K23" s="277" t="s">
        <v>925</v>
      </c>
      <c r="L23" s="277" t="s">
        <v>929</v>
      </c>
      <c r="M23" s="277" t="s">
        <v>930</v>
      </c>
      <c r="N23" s="277" t="s">
        <v>926</v>
      </c>
      <c r="O23" s="277" t="s">
        <v>927</v>
      </c>
      <c r="P23" s="272"/>
      <c r="Q23" s="272"/>
      <c r="R23" s="272"/>
    </row>
    <row r="24" spans="2:18" ht="14.95" customHeight="1" thickBot="1" x14ac:dyDescent="0.3">
      <c r="D24" s="15"/>
      <c r="I24" s="275">
        <v>5</v>
      </c>
      <c r="J24" s="276">
        <v>43449</v>
      </c>
      <c r="K24" s="277" t="s">
        <v>925</v>
      </c>
      <c r="L24" s="277" t="s">
        <v>929</v>
      </c>
      <c r="M24" s="277" t="s">
        <v>930</v>
      </c>
      <c r="N24" s="277" t="s">
        <v>926</v>
      </c>
      <c r="O24" s="277" t="s">
        <v>927</v>
      </c>
      <c r="P24" s="272"/>
      <c r="Q24" s="272"/>
      <c r="R24" s="272"/>
    </row>
    <row r="25" spans="2:18" ht="14.95" customHeight="1" thickBot="1" x14ac:dyDescent="0.3">
      <c r="D25" s="15"/>
      <c r="I25" s="275">
        <v>6</v>
      </c>
      <c r="J25" s="276">
        <v>43450</v>
      </c>
      <c r="K25" s="277" t="s">
        <v>925</v>
      </c>
      <c r="L25" s="277"/>
      <c r="M25" s="277" t="s">
        <v>930</v>
      </c>
      <c r="N25" s="277" t="s">
        <v>926</v>
      </c>
      <c r="O25" s="277" t="s">
        <v>927</v>
      </c>
      <c r="P25" s="272"/>
      <c r="Q25" s="272"/>
      <c r="R25" s="272"/>
    </row>
    <row r="26" spans="2:18" ht="14.95" thickBot="1" x14ac:dyDescent="0.3">
      <c r="D26" s="15"/>
      <c r="I26" s="275">
        <v>7</v>
      </c>
      <c r="J26" s="276">
        <v>43451</v>
      </c>
      <c r="K26" s="277" t="s">
        <v>925</v>
      </c>
      <c r="L26" s="277" t="s">
        <v>929</v>
      </c>
      <c r="M26" s="277" t="s">
        <v>930</v>
      </c>
      <c r="N26" s="277" t="s">
        <v>926</v>
      </c>
      <c r="O26" s="277" t="s">
        <v>927</v>
      </c>
      <c r="P26" s="272"/>
      <c r="Q26" s="272"/>
      <c r="R26" s="272"/>
    </row>
    <row r="27" spans="2:18" ht="14.95" thickBot="1" x14ac:dyDescent="0.3">
      <c r="D27" s="15"/>
      <c r="I27" s="275">
        <v>8</v>
      </c>
      <c r="J27" s="276">
        <v>43453</v>
      </c>
      <c r="K27" s="277" t="s">
        <v>925</v>
      </c>
      <c r="L27" s="277" t="s">
        <v>929</v>
      </c>
      <c r="M27" s="277" t="s">
        <v>930</v>
      </c>
      <c r="N27" s="277" t="s">
        <v>926</v>
      </c>
      <c r="O27" s="277" t="s">
        <v>927</v>
      </c>
      <c r="P27" s="272"/>
      <c r="Q27" s="272"/>
      <c r="R27" s="272"/>
    </row>
    <row r="28" spans="2:18" ht="14.95" thickBot="1" x14ac:dyDescent="0.3">
      <c r="I28" s="275">
        <v>9</v>
      </c>
      <c r="J28" s="276">
        <v>43455</v>
      </c>
      <c r="K28" s="277" t="s">
        <v>925</v>
      </c>
      <c r="L28" s="277" t="s">
        <v>929</v>
      </c>
      <c r="M28" s="277" t="s">
        <v>930</v>
      </c>
      <c r="N28" s="277" t="s">
        <v>926</v>
      </c>
      <c r="O28" s="277" t="s">
        <v>927</v>
      </c>
      <c r="P28" s="272"/>
      <c r="Q28" s="272"/>
      <c r="R28" s="272"/>
    </row>
    <row r="29" spans="2:18" ht="14.95" thickBot="1" x14ac:dyDescent="0.3">
      <c r="I29" s="275">
        <v>10</v>
      </c>
      <c r="J29" s="276">
        <v>43458</v>
      </c>
      <c r="K29" s="277" t="s">
        <v>925</v>
      </c>
      <c r="L29" s="277" t="s">
        <v>929</v>
      </c>
      <c r="M29" s="277" t="s">
        <v>930</v>
      </c>
      <c r="N29" s="277" t="s">
        <v>926</v>
      </c>
      <c r="O29" s="277" t="s">
        <v>927</v>
      </c>
      <c r="P29" s="272"/>
      <c r="Q29" s="272"/>
      <c r="R29" s="272"/>
    </row>
    <row r="30" spans="2:18" ht="14.95" thickBot="1" x14ac:dyDescent="0.3">
      <c r="I30" s="275">
        <v>11</v>
      </c>
      <c r="J30" s="276">
        <v>43460</v>
      </c>
      <c r="K30" s="277" t="s">
        <v>925</v>
      </c>
      <c r="L30" s="277" t="s">
        <v>929</v>
      </c>
      <c r="M30" s="277" t="s">
        <v>930</v>
      </c>
      <c r="N30" s="277" t="s">
        <v>926</v>
      </c>
      <c r="O30" s="277" t="s">
        <v>927</v>
      </c>
      <c r="P30" s="272"/>
      <c r="Q30" s="272"/>
      <c r="R30" s="272"/>
    </row>
    <row r="31" spans="2:18" ht="14.95" thickBot="1" x14ac:dyDescent="0.3">
      <c r="I31" s="275">
        <v>12</v>
      </c>
      <c r="J31" s="276">
        <v>43462</v>
      </c>
      <c r="K31" s="277" t="s">
        <v>925</v>
      </c>
      <c r="L31" s="277" t="s">
        <v>929</v>
      </c>
      <c r="M31" s="277" t="s">
        <v>930</v>
      </c>
      <c r="N31" s="277" t="s">
        <v>926</v>
      </c>
      <c r="O31" s="277" t="s">
        <v>927</v>
      </c>
      <c r="P31" s="272"/>
      <c r="Q31" s="272"/>
      <c r="R31" s="272"/>
    </row>
    <row r="32" spans="2:18" ht="14.95" thickBot="1" x14ac:dyDescent="0.3">
      <c r="I32" s="275">
        <v>13</v>
      </c>
      <c r="J32" s="276">
        <v>43464</v>
      </c>
      <c r="K32" s="277" t="s">
        <v>925</v>
      </c>
      <c r="L32" s="277"/>
      <c r="M32" s="277" t="s">
        <v>930</v>
      </c>
      <c r="N32" s="277" t="s">
        <v>932</v>
      </c>
      <c r="O32" s="277" t="s">
        <v>933</v>
      </c>
      <c r="P32" s="272"/>
      <c r="Q32" s="272"/>
      <c r="R32" s="272"/>
    </row>
    <row r="33" spans="9:18" ht="14.95" thickBot="1" x14ac:dyDescent="0.3">
      <c r="I33" s="275">
        <v>14</v>
      </c>
      <c r="J33" s="276">
        <v>43465</v>
      </c>
      <c r="K33" s="277" t="s">
        <v>925</v>
      </c>
      <c r="L33" s="277" t="s">
        <v>929</v>
      </c>
      <c r="M33" s="277" t="s">
        <v>930</v>
      </c>
      <c r="N33" s="277" t="s">
        <v>926</v>
      </c>
      <c r="O33" s="277" t="s">
        <v>927</v>
      </c>
      <c r="P33" s="272"/>
      <c r="Q33" s="272"/>
      <c r="R33" s="272"/>
    </row>
    <row r="34" spans="9:18" ht="14.95" thickBot="1" x14ac:dyDescent="0.3">
      <c r="I34" s="275">
        <v>15</v>
      </c>
      <c r="J34" s="276">
        <v>43467</v>
      </c>
      <c r="K34" s="277" t="s">
        <v>925</v>
      </c>
      <c r="L34" s="277"/>
      <c r="M34" s="277" t="s">
        <v>930</v>
      </c>
      <c r="N34" s="277" t="s">
        <v>926</v>
      </c>
      <c r="O34" s="277" t="s">
        <v>927</v>
      </c>
      <c r="P34" s="272"/>
      <c r="Q34" s="272"/>
      <c r="R34" s="272"/>
    </row>
    <row r="35" spans="9:18" x14ac:dyDescent="0.25">
      <c r="I35" s="1298" t="s">
        <v>931</v>
      </c>
      <c r="J35" s="1299"/>
      <c r="K35" s="1299"/>
      <c r="L35" s="1299"/>
      <c r="M35" s="1299"/>
      <c r="N35" s="1299"/>
      <c r="O35" s="1300"/>
      <c r="P35" s="272"/>
      <c r="Q35" s="272"/>
      <c r="R35" s="272"/>
    </row>
  </sheetData>
  <mergeCells count="5">
    <mergeCell ref="I35:O35"/>
    <mergeCell ref="L19:M19"/>
    <mergeCell ref="I18:O18"/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8"/>
  <sheetViews>
    <sheetView topLeftCell="A4" zoomScale="145" zoomScaleNormal="145" workbookViewId="0">
      <selection activeCell="C9" sqref="C9"/>
    </sheetView>
  </sheetViews>
  <sheetFormatPr baseColWidth="10" defaultRowHeight="14.3" x14ac:dyDescent="0.25"/>
  <cols>
    <col min="1" max="1" width="27.25" style="819" customWidth="1"/>
    <col min="2" max="2" width="11" style="819"/>
    <col min="3" max="3" width="10.375" style="819" customWidth="1"/>
    <col min="4" max="4" width="11.5" style="819" customWidth="1"/>
    <col min="5" max="16384" width="11" style="819"/>
  </cols>
  <sheetData>
    <row r="1" spans="1:22" x14ac:dyDescent="0.25">
      <c r="A1" s="819" t="s">
        <v>497</v>
      </c>
    </row>
    <row r="3" spans="1:22" x14ac:dyDescent="0.25">
      <c r="B3" s="1313" t="s">
        <v>14</v>
      </c>
      <c r="C3" s="1314"/>
      <c r="D3" s="1314"/>
      <c r="E3" s="1312" t="s">
        <v>9</v>
      </c>
      <c r="F3" s="1308"/>
      <c r="G3" s="1308"/>
      <c r="H3" s="1313" t="s">
        <v>439</v>
      </c>
      <c r="I3" s="1314"/>
      <c r="J3" s="1314"/>
      <c r="K3" s="1312" t="s">
        <v>22</v>
      </c>
      <c r="L3" s="1308"/>
      <c r="M3" s="1308"/>
      <c r="N3" s="1313" t="s">
        <v>15</v>
      </c>
      <c r="O3" s="1314"/>
      <c r="P3" s="1314"/>
      <c r="Q3" s="1312" t="s">
        <v>20</v>
      </c>
      <c r="R3" s="1308"/>
      <c r="S3" s="1308"/>
      <c r="T3" s="1313" t="s">
        <v>1433</v>
      </c>
      <c r="U3" s="1314"/>
      <c r="V3" s="1314"/>
    </row>
    <row r="4" spans="1:22" s="823" customFormat="1" ht="21.75" customHeight="1" x14ac:dyDescent="0.25">
      <c r="B4" s="824" t="s">
        <v>1432</v>
      </c>
      <c r="C4" s="824" t="s">
        <v>1427</v>
      </c>
      <c r="D4" s="824" t="s">
        <v>1428</v>
      </c>
      <c r="E4" s="822" t="s">
        <v>1432</v>
      </c>
      <c r="F4" s="822" t="s">
        <v>1427</v>
      </c>
      <c r="G4" s="822" t="s">
        <v>1428</v>
      </c>
      <c r="H4" s="824" t="s">
        <v>1432</v>
      </c>
      <c r="I4" s="824" t="s">
        <v>1427</v>
      </c>
      <c r="J4" s="824" t="s">
        <v>1428</v>
      </c>
      <c r="K4" s="822" t="s">
        <v>1432</v>
      </c>
      <c r="L4" s="822" t="s">
        <v>1427</v>
      </c>
      <c r="M4" s="822" t="s">
        <v>1428</v>
      </c>
      <c r="N4" s="824" t="s">
        <v>1432</v>
      </c>
      <c r="O4" s="824" t="s">
        <v>1427</v>
      </c>
      <c r="P4" s="824" t="s">
        <v>1428</v>
      </c>
      <c r="Q4" s="822" t="s">
        <v>1432</v>
      </c>
      <c r="R4" s="822" t="s">
        <v>1427</v>
      </c>
      <c r="S4" s="822" t="s">
        <v>1428</v>
      </c>
      <c r="T4" s="824" t="s">
        <v>1432</v>
      </c>
      <c r="U4" s="824" t="s">
        <v>1427</v>
      </c>
      <c r="V4" s="824" t="s">
        <v>1428</v>
      </c>
    </row>
    <row r="5" spans="1:22" x14ac:dyDescent="0.25">
      <c r="A5" s="818" t="s">
        <v>1430</v>
      </c>
      <c r="B5" s="825">
        <v>172</v>
      </c>
      <c r="C5" s="825">
        <v>20</v>
      </c>
      <c r="D5" s="825">
        <v>60</v>
      </c>
      <c r="E5" s="818">
        <v>76</v>
      </c>
      <c r="F5" s="818">
        <v>36</v>
      </c>
      <c r="G5" s="818">
        <v>36</v>
      </c>
      <c r="H5" s="825">
        <v>12</v>
      </c>
      <c r="I5" s="825">
        <v>0</v>
      </c>
      <c r="J5" s="825">
        <v>0</v>
      </c>
      <c r="K5" s="818">
        <v>80</v>
      </c>
      <c r="L5" s="818">
        <v>0</v>
      </c>
      <c r="M5" s="818">
        <v>20</v>
      </c>
      <c r="N5" s="825">
        <v>30</v>
      </c>
      <c r="O5" s="825">
        <v>0</v>
      </c>
      <c r="P5" s="825">
        <v>0</v>
      </c>
      <c r="Q5" s="818">
        <v>150</v>
      </c>
      <c r="R5" s="818">
        <v>12</v>
      </c>
      <c r="S5" s="818">
        <v>24</v>
      </c>
      <c r="T5" s="825">
        <v>24</v>
      </c>
      <c r="U5" s="825">
        <v>0</v>
      </c>
      <c r="V5" s="825">
        <v>0</v>
      </c>
    </row>
    <row r="6" spans="1:22" x14ac:dyDescent="0.25">
      <c r="A6" s="818" t="s">
        <v>1431</v>
      </c>
      <c r="B6" s="826">
        <v>290</v>
      </c>
      <c r="C6" s="826">
        <v>107</v>
      </c>
      <c r="D6" s="826">
        <v>80</v>
      </c>
      <c r="E6" s="810">
        <v>89</v>
      </c>
      <c r="F6" s="810">
        <v>0</v>
      </c>
      <c r="G6" s="810">
        <v>24</v>
      </c>
      <c r="H6" s="826">
        <v>0</v>
      </c>
      <c r="I6" s="826">
        <v>0</v>
      </c>
      <c r="J6" s="826">
        <v>0</v>
      </c>
      <c r="K6" s="810">
        <v>0</v>
      </c>
      <c r="L6" s="810">
        <v>0</v>
      </c>
      <c r="M6" s="810">
        <v>0</v>
      </c>
      <c r="N6" s="826">
        <v>0</v>
      </c>
      <c r="O6" s="826">
        <v>0</v>
      </c>
      <c r="P6" s="826">
        <v>0</v>
      </c>
      <c r="Q6" s="810">
        <v>20</v>
      </c>
      <c r="R6" s="810">
        <v>20</v>
      </c>
      <c r="S6" s="810">
        <v>20</v>
      </c>
      <c r="T6" s="826">
        <v>0</v>
      </c>
      <c r="U6" s="826">
        <v>0</v>
      </c>
      <c r="V6" s="826">
        <v>0</v>
      </c>
    </row>
    <row r="7" spans="1:22" s="821" customFormat="1" ht="19.05" customHeight="1" x14ac:dyDescent="0.25">
      <c r="A7" s="820" t="s">
        <v>810</v>
      </c>
      <c r="B7" s="820">
        <f>SUM(B5:B6)</f>
        <v>462</v>
      </c>
      <c r="C7" s="820">
        <f t="shared" ref="C7:D7" si="0">SUM(C5:C6)</f>
        <v>127</v>
      </c>
      <c r="D7" s="820">
        <f t="shared" si="0"/>
        <v>140</v>
      </c>
      <c r="E7" s="820">
        <f t="shared" ref="E7" si="1">SUM(E5:E6)</f>
        <v>165</v>
      </c>
      <c r="F7" s="820">
        <f t="shared" ref="F7" si="2">SUM(F5:F6)</f>
        <v>36</v>
      </c>
      <c r="G7" s="820">
        <f t="shared" ref="G7:H7" si="3">SUM(G5:G6)</f>
        <v>60</v>
      </c>
      <c r="H7" s="820">
        <f t="shared" si="3"/>
        <v>12</v>
      </c>
      <c r="I7" s="820">
        <f t="shared" ref="I7" si="4">SUM(I5:I6)</f>
        <v>0</v>
      </c>
      <c r="J7" s="820">
        <f t="shared" ref="J7" si="5">SUM(J5:J6)</f>
        <v>0</v>
      </c>
      <c r="K7" s="820">
        <f t="shared" ref="K7" si="6">SUM(K5:K6)</f>
        <v>80</v>
      </c>
      <c r="L7" s="820">
        <f t="shared" ref="L7" si="7">SUM(L5:L6)</f>
        <v>0</v>
      </c>
      <c r="M7" s="820">
        <f t="shared" ref="M7" si="8">SUM(M5:M6)</f>
        <v>20</v>
      </c>
      <c r="N7" s="820">
        <f t="shared" ref="N7" si="9">SUM(N5:N6)</f>
        <v>30</v>
      </c>
      <c r="O7" s="820">
        <f t="shared" ref="O7" si="10">SUM(O5:O6)</f>
        <v>0</v>
      </c>
      <c r="P7" s="820">
        <f t="shared" ref="P7" si="11">SUM(P5:P6)</f>
        <v>0</v>
      </c>
      <c r="Q7" s="820">
        <f t="shared" ref="Q7" si="12">SUM(Q5:Q6)</f>
        <v>170</v>
      </c>
      <c r="R7" s="820">
        <f t="shared" ref="R7" si="13">SUM(R5:R6)</f>
        <v>32</v>
      </c>
      <c r="S7" s="820">
        <f t="shared" ref="S7" si="14">SUM(S5:S6)</f>
        <v>44</v>
      </c>
      <c r="T7" s="820">
        <f t="shared" ref="T7" si="15">SUM(T5:T6)</f>
        <v>24</v>
      </c>
      <c r="U7" s="820">
        <f t="shared" ref="U7" si="16">SUM(U5:U6)</f>
        <v>0</v>
      </c>
      <c r="V7" s="820">
        <f t="shared" ref="V7" si="17">SUM(V5:V6)</f>
        <v>0</v>
      </c>
    </row>
    <row r="8" spans="1:22" x14ac:dyDescent="0.25">
      <c r="H8" s="831">
        <v>120000</v>
      </c>
      <c r="T8" s="831">
        <v>360000</v>
      </c>
    </row>
    <row r="9" spans="1:22" x14ac:dyDescent="0.25">
      <c r="E9" s="1316" t="s">
        <v>1439</v>
      </c>
      <c r="F9" s="1317"/>
      <c r="G9" s="1318"/>
      <c r="K9" s="1308" t="s">
        <v>1437</v>
      </c>
      <c r="L9" s="1308"/>
      <c r="M9" s="1308"/>
      <c r="N9" s="1308" t="s">
        <v>1438</v>
      </c>
      <c r="O9" s="1308"/>
      <c r="P9" s="1308"/>
    </row>
    <row r="11" spans="1:22" x14ac:dyDescent="0.25">
      <c r="A11" s="829" t="s">
        <v>1435</v>
      </c>
      <c r="B11" s="810">
        <v>1268</v>
      </c>
      <c r="C11" s="810">
        <v>192</v>
      </c>
      <c r="D11" s="810">
        <v>332</v>
      </c>
      <c r="E11" s="810">
        <v>202</v>
      </c>
      <c r="F11" s="810">
        <v>60</v>
      </c>
      <c r="G11" s="810">
        <v>60</v>
      </c>
      <c r="H11" s="830"/>
      <c r="I11" s="830"/>
      <c r="J11" s="830"/>
      <c r="K11" s="810">
        <v>100</v>
      </c>
      <c r="L11" s="810">
        <v>0</v>
      </c>
      <c r="M11" s="810">
        <v>20</v>
      </c>
      <c r="N11" s="810">
        <v>24</v>
      </c>
      <c r="O11" s="810">
        <v>8</v>
      </c>
      <c r="P11" s="810">
        <v>0</v>
      </c>
      <c r="Q11" s="810">
        <v>84</v>
      </c>
      <c r="R11" s="810">
        <v>24</v>
      </c>
      <c r="S11" s="810">
        <v>44</v>
      </c>
    </row>
    <row r="12" spans="1:22" x14ac:dyDescent="0.25">
      <c r="A12" s="829" t="s">
        <v>1436</v>
      </c>
      <c r="B12" s="810">
        <v>815</v>
      </c>
      <c r="C12" s="810">
        <v>124</v>
      </c>
      <c r="D12" s="810">
        <v>156</v>
      </c>
      <c r="E12" s="810">
        <v>36</v>
      </c>
      <c r="F12" s="810">
        <v>0</v>
      </c>
      <c r="G12" s="810">
        <v>0</v>
      </c>
      <c r="H12" s="830"/>
      <c r="I12" s="830"/>
      <c r="J12" s="830"/>
      <c r="K12" s="810">
        <v>100</v>
      </c>
      <c r="L12" s="810"/>
      <c r="M12" s="810"/>
      <c r="N12" s="810">
        <v>250</v>
      </c>
      <c r="O12" s="810">
        <v>20</v>
      </c>
      <c r="P12" s="810">
        <v>20</v>
      </c>
      <c r="Q12" s="810">
        <v>36</v>
      </c>
      <c r="R12" s="810">
        <v>0</v>
      </c>
      <c r="S12" s="810">
        <v>0</v>
      </c>
    </row>
    <row r="13" spans="1:22" s="828" customFormat="1" ht="16.3" x14ac:dyDescent="0.25">
      <c r="A13" s="832" t="s">
        <v>810</v>
      </c>
      <c r="B13" s="833">
        <f>SUM(B11:B12)</f>
        <v>2083</v>
      </c>
      <c r="C13" s="827">
        <f>SUM(C11:C12)</f>
        <v>316</v>
      </c>
      <c r="D13" s="827">
        <f>SUM(D11:D12)</f>
        <v>488</v>
      </c>
      <c r="E13" s="827">
        <f t="shared" ref="E13:G13" si="18">SUM(E11:E12)</f>
        <v>238</v>
      </c>
      <c r="F13" s="827">
        <f t="shared" si="18"/>
        <v>60</v>
      </c>
      <c r="G13" s="827">
        <f t="shared" si="18"/>
        <v>60</v>
      </c>
      <c r="H13" s="834"/>
      <c r="I13" s="834"/>
      <c r="J13" s="834"/>
      <c r="K13" s="827">
        <f>SUM(K11:K12)</f>
        <v>200</v>
      </c>
      <c r="L13" s="827">
        <f>SUM(L11:L12)</f>
        <v>0</v>
      </c>
      <c r="M13" s="827">
        <f>SUM(M11:M12)</f>
        <v>20</v>
      </c>
      <c r="N13" s="827">
        <f t="shared" ref="N13:P13" si="19">SUM(N11:N12)</f>
        <v>274</v>
      </c>
      <c r="O13" s="827">
        <f t="shared" si="19"/>
        <v>28</v>
      </c>
      <c r="P13" s="827">
        <f t="shared" si="19"/>
        <v>20</v>
      </c>
      <c r="Q13" s="827">
        <f t="shared" ref="Q13" si="20">SUM(Q11:Q12)</f>
        <v>120</v>
      </c>
      <c r="R13" s="827">
        <f t="shared" ref="R13" si="21">SUM(R11:R12)</f>
        <v>24</v>
      </c>
      <c r="S13" s="827">
        <f t="shared" ref="S13" si="22">SUM(S11:S12)</f>
        <v>44</v>
      </c>
    </row>
    <row r="14" spans="1:22" x14ac:dyDescent="0.25">
      <c r="H14" s="830"/>
      <c r="I14" s="830"/>
      <c r="J14" s="830"/>
    </row>
    <row r="15" spans="1:22" x14ac:dyDescent="0.25">
      <c r="A15" s="8" t="s">
        <v>1434</v>
      </c>
      <c r="B15" s="1315" t="s">
        <v>1429</v>
      </c>
      <c r="C15" s="1315"/>
      <c r="D15" s="1315" t="s">
        <v>1427</v>
      </c>
      <c r="E15" s="1315"/>
      <c r="F15" s="1315" t="s">
        <v>1428</v>
      </c>
      <c r="G15" s="1315"/>
    </row>
    <row r="16" spans="1:22" x14ac:dyDescent="0.25">
      <c r="A16" s="810" t="s">
        <v>1430</v>
      </c>
      <c r="B16" s="1308">
        <f>B5+E5+H5+K5+N5+Q5+T5</f>
        <v>544</v>
      </c>
      <c r="C16" s="1308"/>
      <c r="D16" s="1308">
        <f>C5+F5+I5+L5+O5+R5+U5</f>
        <v>68</v>
      </c>
      <c r="E16" s="1308"/>
      <c r="F16" s="1308">
        <f>D5+G5+J5+M5+P5+S5+V5</f>
        <v>140</v>
      </c>
      <c r="G16" s="1308"/>
    </row>
    <row r="17" spans="1:7" x14ac:dyDescent="0.25">
      <c r="A17" s="810" t="s">
        <v>1431</v>
      </c>
      <c r="B17" s="1308">
        <f>B6+E6+H6+K6+N6+Q6+T6</f>
        <v>399</v>
      </c>
      <c r="C17" s="1308"/>
      <c r="D17" s="1308">
        <f>C6+F6+I6+L6+O6+R6+U6</f>
        <v>127</v>
      </c>
      <c r="E17" s="1308"/>
      <c r="F17" s="1308">
        <f>D6+G6+J6+M6+P6+S6+V6</f>
        <v>124</v>
      </c>
      <c r="G17" s="1308"/>
    </row>
    <row r="18" spans="1:7" s="828" customFormat="1" ht="16.3" x14ac:dyDescent="0.25">
      <c r="A18" s="827" t="s">
        <v>810</v>
      </c>
      <c r="B18" s="1309">
        <f>SUM(B16:B17)</f>
        <v>943</v>
      </c>
      <c r="C18" s="1309"/>
      <c r="D18" s="1310">
        <f>SUM(D16:D17)</f>
        <v>195</v>
      </c>
      <c r="E18" s="1311"/>
      <c r="F18" s="1310">
        <f>SUM(F16:F17)</f>
        <v>264</v>
      </c>
      <c r="G18" s="1311"/>
    </row>
  </sheetData>
  <mergeCells count="22">
    <mergeCell ref="Q3:S3"/>
    <mergeCell ref="T3:V3"/>
    <mergeCell ref="B15:C15"/>
    <mergeCell ref="B16:C16"/>
    <mergeCell ref="B17:C17"/>
    <mergeCell ref="D15:E15"/>
    <mergeCell ref="D16:E16"/>
    <mergeCell ref="D17:E17"/>
    <mergeCell ref="F15:G15"/>
    <mergeCell ref="B3:D3"/>
    <mergeCell ref="E3:G3"/>
    <mergeCell ref="H3:J3"/>
    <mergeCell ref="K3:M3"/>
    <mergeCell ref="N3:P3"/>
    <mergeCell ref="N9:P9"/>
    <mergeCell ref="E9:G9"/>
    <mergeCell ref="K9:M9"/>
    <mergeCell ref="F16:G16"/>
    <mergeCell ref="F17:G17"/>
    <mergeCell ref="B18:C18"/>
    <mergeCell ref="D18:E18"/>
    <mergeCell ref="F18:G18"/>
  </mergeCells>
  <pageMargins left="0.25" right="0.25" top="0.75" bottom="0.75" header="0.3" footer="0.3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ANGELY</vt:lpstr>
      <vt:lpstr>HORARIO</vt:lpstr>
      <vt:lpstr>PROMOSALUD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2019-02-27T13:36:51Z</cp:lastPrinted>
  <dcterms:created xsi:type="dcterms:W3CDTF">2018-06-28T17:29:48Z</dcterms:created>
  <dcterms:modified xsi:type="dcterms:W3CDTF">2019-04-26T13:46:26Z</dcterms:modified>
</cp:coreProperties>
</file>