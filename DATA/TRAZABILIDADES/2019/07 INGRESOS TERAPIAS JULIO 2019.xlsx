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Admin\Desktop\INGRESOS\2019\"/>
    </mc:Choice>
  </mc:AlternateContent>
  <bookViews>
    <workbookView xWindow="0" yWindow="0" windowWidth="19562" windowHeight="8450" activeTab="3"/>
  </bookViews>
  <sheets>
    <sheet name="MONTERIA" sheetId="9" r:id="rId1"/>
    <sheet name="MPIOS" sheetId="10" r:id="rId2"/>
    <sheet name="NEP MPIOS" sheetId="4" r:id="rId3"/>
    <sheet name="NEP MTR" sheetId="3" r:id="rId4"/>
    <sheet name="VM + TF" sheetId="18" r:id="rId5"/>
    <sheet name="PERMANENTES" sheetId="11" r:id="rId6"/>
    <sheet name="RUTA FIN DE SEMANA" sheetId="19" r:id="rId7"/>
    <sheet name="TURNO VEREDAS" sheetId="21" r:id="rId8"/>
    <sheet name="EGRESOS" sheetId="17" r:id="rId9"/>
    <sheet name="FALLECIDOS" sheetId="16" r:id="rId10"/>
    <sheet name="ANGELY" sheetId="12" r:id="rId11"/>
  </sheets>
  <definedNames>
    <definedName name="_xlnm._FilterDatabase" localSheetId="8" hidden="1">EGRESOS!$A$1:$S$1</definedName>
    <definedName name="_xlnm._FilterDatabase" localSheetId="0" hidden="1">MONTERIA!$B$1:$T$68</definedName>
    <definedName name="_xlnm._FilterDatabase" localSheetId="1" hidden="1">MPIOS!$B$1:$T$60</definedName>
    <definedName name="_xlnm._FilterDatabase" localSheetId="2" hidden="1">'NEP MPIOS'!$A$1:$O$207</definedName>
    <definedName name="_xlnm._FilterDatabase" localSheetId="3" hidden="1">'NEP MTR'!$A$1:$O$195</definedName>
    <definedName name="_xlnm._FilterDatabase" localSheetId="5" hidden="1">PERMANENTES!$B$1:$Q$200</definedName>
    <definedName name="_xlnm._FilterDatabase" localSheetId="4" hidden="1">'VM + TF'!$B$1:$T$21</definedName>
    <definedName name="x_x__MailAutoSig" localSheetId="1">MPIOS!#REF!</definedName>
    <definedName name="x_x__MailAutoSig" localSheetId="4">'VM + TF'!#REF!</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11" i="12" l="1"/>
  <c r="E13" i="12" s="1"/>
  <c r="F11" i="12"/>
  <c r="F13" i="12" s="1"/>
  <c r="G11" i="12"/>
  <c r="G13" i="12" s="1"/>
  <c r="D11" i="12"/>
  <c r="D13" i="12" s="1"/>
</calcChain>
</file>

<file path=xl/comments1.xml><?xml version="1.0" encoding="utf-8"?>
<comments xmlns="http://schemas.openxmlformats.org/spreadsheetml/2006/main">
  <authors>
    <author>Windows User</author>
  </authors>
  <commentList>
    <comment ref="B166" authorId="0" shapeId="0">
      <text>
        <r>
          <rPr>
            <b/>
            <sz val="9"/>
            <color indexed="10"/>
            <rFont val="Tahoma"/>
            <family val="2"/>
          </rPr>
          <t>Windows User:</t>
        </r>
        <r>
          <rPr>
            <sz val="9"/>
            <color indexed="10"/>
            <rFont val="Tahoma"/>
            <family val="2"/>
          </rPr>
          <t xml:space="preserve">
PDTE REVISAR CARPETA PARA SOLICITAR LA JEFE KELLY TF-TO-TL ANTES DEL 25/11/2018</t>
        </r>
      </text>
    </comment>
  </commentList>
</comments>
</file>

<file path=xl/sharedStrings.xml><?xml version="1.0" encoding="utf-8"?>
<sst xmlns="http://schemas.openxmlformats.org/spreadsheetml/2006/main" count="6773" uniqueCount="2791">
  <si>
    <t>TELEFONO</t>
  </si>
  <si>
    <t>FECHA DE INICIO</t>
  </si>
  <si>
    <t>FECHA DE EGRESO</t>
  </si>
  <si>
    <t>OBSERVACIONES</t>
  </si>
  <si>
    <t>TF</t>
  </si>
  <si>
    <t>TR</t>
  </si>
  <si>
    <t>CLAUDIA ROMAN</t>
  </si>
  <si>
    <t>AURA DE LA ESPRIELLA</t>
  </si>
  <si>
    <t>TO</t>
  </si>
  <si>
    <t>CERETE</t>
  </si>
  <si>
    <t>BRINY JALAL</t>
  </si>
  <si>
    <t>APELLIDOS</t>
  </si>
  <si>
    <t>MUNICIPIO</t>
  </si>
  <si>
    <t>SESIONES</t>
  </si>
  <si>
    <t>MONTERIA</t>
  </si>
  <si>
    <t>MONTELIBANO</t>
  </si>
  <si>
    <t>MONICA DE LA OSSA</t>
  </si>
  <si>
    <t>MANUEL VICENTE</t>
  </si>
  <si>
    <t>DANIELA GARCES</t>
  </si>
  <si>
    <t>MOMIL</t>
  </si>
  <si>
    <t>PLANETA RICA</t>
  </si>
  <si>
    <t>LORICA</t>
  </si>
  <si>
    <t>CIENAGA DE ORO</t>
  </si>
  <si>
    <t>BIAVELSIS VIDAL</t>
  </si>
  <si>
    <t>CHINU</t>
  </si>
  <si>
    <t>TIERRALTA</t>
  </si>
  <si>
    <t>KAREN CORDERO</t>
  </si>
  <si>
    <t xml:space="preserve">NOMBRE </t>
  </si>
  <si>
    <t>PAQUETE</t>
  </si>
  <si>
    <t xml:space="preserve">TERAPEUTA </t>
  </si>
  <si>
    <t>OBSERVACION</t>
  </si>
  <si>
    <t>VICTORIA ELENA</t>
  </si>
  <si>
    <t>DIAZ DE HOYOS</t>
  </si>
  <si>
    <t>CRONICO</t>
  </si>
  <si>
    <t>JOSE JOAQUIN</t>
  </si>
  <si>
    <t>GARCES DELGADO</t>
  </si>
  <si>
    <t>ANA TERESA</t>
  </si>
  <si>
    <t>GARCIA DE GRANDETT</t>
  </si>
  <si>
    <t>WILLIAN ENRIQUE</t>
  </si>
  <si>
    <t>LOPEZ VARGAS</t>
  </si>
  <si>
    <t xml:space="preserve">JOSE ANGEL </t>
  </si>
  <si>
    <t>PUCHE DIAZ</t>
  </si>
  <si>
    <t>YESICA MARIA</t>
  </si>
  <si>
    <t>PUCHE MEDRANO</t>
  </si>
  <si>
    <t>MARIA MERY BERTHEL</t>
  </si>
  <si>
    <t xml:space="preserve">JAIME ANTONIO </t>
  </si>
  <si>
    <t>AURA MONTALVO</t>
  </si>
  <si>
    <t>BULA HOYOS</t>
  </si>
  <si>
    <t xml:space="preserve">SUSANA BUELVAS </t>
  </si>
  <si>
    <t>JOSE DANIEL</t>
  </si>
  <si>
    <t>SOTO MARTINEZ</t>
  </si>
  <si>
    <t>ELVIA MANUELA</t>
  </si>
  <si>
    <t>NARANJO DE AVILEZ</t>
  </si>
  <si>
    <t>ELENA JOSEFINA</t>
  </si>
  <si>
    <t>LOPEZ DE MUSKUS</t>
  </si>
  <si>
    <t>ROSALMINA HELENA</t>
  </si>
  <si>
    <t>HOYOS DE ANGULO</t>
  </si>
  <si>
    <t>DELIA ESTHER</t>
  </si>
  <si>
    <t>MEDRANO DE MARTINEZ</t>
  </si>
  <si>
    <t>MANUELA DE LOS REYES</t>
  </si>
  <si>
    <t>BULA DE REINO</t>
  </si>
  <si>
    <t>JOSE HERIBERTO</t>
  </si>
  <si>
    <t>OTERO SOTO</t>
  </si>
  <si>
    <t>BEDA MARGARITA</t>
  </si>
  <si>
    <t>ORTIZ SUAREZ</t>
  </si>
  <si>
    <t>NEUROLOGICO</t>
  </si>
  <si>
    <t>MARTHA MILENA</t>
  </si>
  <si>
    <t>ESPINOSA QUIÑONEZ</t>
  </si>
  <si>
    <t>MONICA MENDOZA</t>
  </si>
  <si>
    <t xml:space="preserve">ALFREDO </t>
  </si>
  <si>
    <t>HERNANDO ANTONIO</t>
  </si>
  <si>
    <t>OTERO GRACIA</t>
  </si>
  <si>
    <t>CORRALES CARRILLO</t>
  </si>
  <si>
    <t xml:space="preserve">NESTOR SEGUNDO </t>
  </si>
  <si>
    <t>DIKSON TAMARA</t>
  </si>
  <si>
    <t>ESAU ALEJANDRO</t>
  </si>
  <si>
    <t>MARTINEZ NEGRETE</t>
  </si>
  <si>
    <t>JUANA EVANGELISTA</t>
  </si>
  <si>
    <t>CORREA DE REYES</t>
  </si>
  <si>
    <t xml:space="preserve">LILIA ESTHER </t>
  </si>
  <si>
    <t>SAAVEDRA SARMIENTO</t>
  </si>
  <si>
    <t>MANUEL TOMAS</t>
  </si>
  <si>
    <t>POLO RAMOS</t>
  </si>
  <si>
    <t>ADELA</t>
  </si>
  <si>
    <t>GONZALEZ DE AGUIRRE</t>
  </si>
  <si>
    <t xml:space="preserve">FRANCE ELENA </t>
  </si>
  <si>
    <t>ARROYO ARGEL</t>
  </si>
  <si>
    <t>ELIDA MARIA</t>
  </si>
  <si>
    <t>MARTINEZ MORELO</t>
  </si>
  <si>
    <t xml:space="preserve">ONELIA </t>
  </si>
  <si>
    <t>YEPES DE SOTO</t>
  </si>
  <si>
    <t>JOSE ANTONIO</t>
  </si>
  <si>
    <t>GOMEZ PEREZ</t>
  </si>
  <si>
    <t xml:space="preserve">RODRIGO JOSE </t>
  </si>
  <si>
    <t xml:space="preserve">ALFREDO FRANCISCO </t>
  </si>
  <si>
    <t>GARI YANES</t>
  </si>
  <si>
    <t>SAN PELAYO</t>
  </si>
  <si>
    <t>NELSON ENRIQUE</t>
  </si>
  <si>
    <t>MARTINEZ HERNANDEZ</t>
  </si>
  <si>
    <t>REMBERTO RENE</t>
  </si>
  <si>
    <t>RAMOS ORTEGA</t>
  </si>
  <si>
    <t>NURYS MARIA</t>
  </si>
  <si>
    <t>MORELO COGOLLO</t>
  </si>
  <si>
    <t xml:space="preserve">DANIEL ESTEBAN </t>
  </si>
  <si>
    <t>ARGEL YANEZ</t>
  </si>
  <si>
    <t>VALENCIA</t>
  </si>
  <si>
    <t>YOLANDA MARIA</t>
  </si>
  <si>
    <t>CASTELLANOS OLIVEROS</t>
  </si>
  <si>
    <t>DIOSELINA ROSA</t>
  </si>
  <si>
    <t>ORTEGA BARRIOS</t>
  </si>
  <si>
    <t>PUEBLO NUEVO</t>
  </si>
  <si>
    <t>LUISA ARGUMEDO</t>
  </si>
  <si>
    <t xml:space="preserve">PEDRO </t>
  </si>
  <si>
    <t>MARTINEZ ORTEGA</t>
  </si>
  <si>
    <t>DORA ESTHER</t>
  </si>
  <si>
    <t>NUÑEZ DIAZ</t>
  </si>
  <si>
    <t>VERONICA CECILIA</t>
  </si>
  <si>
    <t xml:space="preserve">ALMENTERO ALMENTERO </t>
  </si>
  <si>
    <t>SAN ANTERO</t>
  </si>
  <si>
    <t xml:space="preserve">FANNY </t>
  </si>
  <si>
    <t>ALVAREZ DE MARTINEZ</t>
  </si>
  <si>
    <t>REYES RODRIGUEZ</t>
  </si>
  <si>
    <t xml:space="preserve">MANUEL DEL CRISTO </t>
  </si>
  <si>
    <t xml:space="preserve">DAZA VILLADIEGO </t>
  </si>
  <si>
    <t>MARIA MATILDE</t>
  </si>
  <si>
    <t>ROJAS DE GERMAN</t>
  </si>
  <si>
    <t>NARA ABUABARA</t>
  </si>
  <si>
    <t>EDINSON DEL CRISTO</t>
  </si>
  <si>
    <t>PORTACIO RAMIREZ</t>
  </si>
  <si>
    <t>LEIDY ALVAREZ</t>
  </si>
  <si>
    <t>MARIA ELENA</t>
  </si>
  <si>
    <t>TAMARA DE PITALUA</t>
  </si>
  <si>
    <t>MANUEL DE LOS SANTOS</t>
  </si>
  <si>
    <t>SOLA GENES</t>
  </si>
  <si>
    <t>PAYARES PACHECO</t>
  </si>
  <si>
    <t>JESUS ELIAS</t>
  </si>
  <si>
    <t>PAVA MARTINEZ</t>
  </si>
  <si>
    <t>ALMA RUTH</t>
  </si>
  <si>
    <t>ECHEVERRI DE PEÑA</t>
  </si>
  <si>
    <t>MARTIN JOSE</t>
  </si>
  <si>
    <t>CAVADIA ESPITIA</t>
  </si>
  <si>
    <t xml:space="preserve">JESUS DAVID </t>
  </si>
  <si>
    <t>SERPA MARTINEZ</t>
  </si>
  <si>
    <t>JUANA MARIA</t>
  </si>
  <si>
    <t>PITALUA DE MELENDRES</t>
  </si>
  <si>
    <t>CARMELA DE JESUS</t>
  </si>
  <si>
    <t>JIMENEZ RIOS</t>
  </si>
  <si>
    <t xml:space="preserve">OLGA </t>
  </si>
  <si>
    <t>LOZANO DE AZOATEGUI</t>
  </si>
  <si>
    <t>OSCAR DAVID</t>
  </si>
  <si>
    <t>GARCIA CRUZ</t>
  </si>
  <si>
    <t>BALBOA PEDRO</t>
  </si>
  <si>
    <t>FLOREZ GOMEZ</t>
  </si>
  <si>
    <t>IGNACIO ANTONIO</t>
  </si>
  <si>
    <t>VILLADIEGO SOTO</t>
  </si>
  <si>
    <t xml:space="preserve">ROGELIO </t>
  </si>
  <si>
    <t>CESAR AUGUSTO</t>
  </si>
  <si>
    <t>FERNANDEZ PADILLA</t>
  </si>
  <si>
    <t>JOSE CARLOS</t>
  </si>
  <si>
    <t>VILARO RAMOS</t>
  </si>
  <si>
    <t xml:space="preserve">PEDRO PABLO </t>
  </si>
  <si>
    <t>RIOS CORDERO</t>
  </si>
  <si>
    <t xml:space="preserve">ZAMIRA ELENA </t>
  </si>
  <si>
    <t xml:space="preserve">MACHADO CUADRO </t>
  </si>
  <si>
    <t>RAFAEL IGNACIO</t>
  </si>
  <si>
    <t>MENDOZA BERROCAL</t>
  </si>
  <si>
    <t>MARIBEL</t>
  </si>
  <si>
    <t>MADERA MADERA</t>
  </si>
  <si>
    <t>FERMINA SUSANA</t>
  </si>
  <si>
    <t>DURANGO DE MENDOZA</t>
  </si>
  <si>
    <t>DORA VICTORIA</t>
  </si>
  <si>
    <t>MERCADO DE BUELVAS</t>
  </si>
  <si>
    <t>MANUEL DE JESUS</t>
  </si>
  <si>
    <t>ALVAREZ RODRIGUEZ</t>
  </si>
  <si>
    <t>LUPO JOSE</t>
  </si>
  <si>
    <t>PETRONA  MARIA</t>
  </si>
  <si>
    <t xml:space="preserve">CUITIVA PICO </t>
  </si>
  <si>
    <t>ADELFA DEL SOCORRO</t>
  </si>
  <si>
    <t>SALAZAR ALVAREZ</t>
  </si>
  <si>
    <t xml:space="preserve">HERMINA </t>
  </si>
  <si>
    <t>LOZANO DE GOMEZ</t>
  </si>
  <si>
    <t>BERTA ELENA</t>
  </si>
  <si>
    <t>NARANJO OCHOA</t>
  </si>
  <si>
    <t xml:space="preserve">ESTEFANIA </t>
  </si>
  <si>
    <t>GUERRERO GOMEZ</t>
  </si>
  <si>
    <t>LIGIA RAQUEL</t>
  </si>
  <si>
    <t>SALGADO OQUENDO</t>
  </si>
  <si>
    <t xml:space="preserve">DARIO </t>
  </si>
  <si>
    <t>FERNANDEZ AVILA</t>
  </si>
  <si>
    <t xml:space="preserve">NERIS ISABEL </t>
  </si>
  <si>
    <t>MORALES MENDOZA</t>
  </si>
  <si>
    <t xml:space="preserve">NORMA CECILIA </t>
  </si>
  <si>
    <t>ARELLANO GARZON</t>
  </si>
  <si>
    <t xml:space="preserve">MARIA </t>
  </si>
  <si>
    <t>ACOSTA DE MORELO</t>
  </si>
  <si>
    <t>ELISA MATILDE</t>
  </si>
  <si>
    <t>FERNANDEZ GONZALEZ</t>
  </si>
  <si>
    <t>MAHOL ANTONIO</t>
  </si>
  <si>
    <t>MUÑOZ MUÑOZ</t>
  </si>
  <si>
    <t>OLGA DEL CARMEN</t>
  </si>
  <si>
    <t>MONTALVO NARVAEZ</t>
  </si>
  <si>
    <t>LESLE ANTONIO</t>
  </si>
  <si>
    <t>MERCADO SUAREZ</t>
  </si>
  <si>
    <t>ALFREDO RAMON</t>
  </si>
  <si>
    <t>SIERRA RIVERA</t>
  </si>
  <si>
    <t>JAIFA</t>
  </si>
  <si>
    <t>NADER DE CHEJNE</t>
  </si>
  <si>
    <t>TIBY AMIGO</t>
  </si>
  <si>
    <t xml:space="preserve">RUBY DEL CARMEN </t>
  </si>
  <si>
    <t>SOL ANYELA</t>
  </si>
  <si>
    <t>OLGA TOMASA</t>
  </si>
  <si>
    <t>ARRIETA DE LLORENTE</t>
  </si>
  <si>
    <t>MOÑITOS</t>
  </si>
  <si>
    <t>NOEL  ALARCON</t>
  </si>
  <si>
    <t>TS</t>
  </si>
  <si>
    <t>TL</t>
  </si>
  <si>
    <t>BERASTEGUI</t>
  </si>
  <si>
    <t>YANETH DEL CARMEN</t>
  </si>
  <si>
    <t>ROMERO GUERRERO</t>
  </si>
  <si>
    <t xml:space="preserve">JAMER </t>
  </si>
  <si>
    <t>LUGO PAEZ</t>
  </si>
  <si>
    <t>JENNIFER MARTINEZ</t>
  </si>
  <si>
    <t>DIRECCIÓN</t>
  </si>
  <si>
    <t>CALLE 15  #26-20 B/SAN PEDRO</t>
  </si>
  <si>
    <t>TIPO DE TERAPIA</t>
  </si>
  <si>
    <t>CLL 62 A #8-41</t>
  </si>
  <si>
    <t>calle  17 #8-51</t>
  </si>
  <si>
    <t>B/PUENTE 1 MZ 130 LT 8</t>
  </si>
  <si>
    <t>B/SANTANDER DG 13 TRNASV 1</t>
  </si>
  <si>
    <t xml:space="preserve">MANUEL SILVESTRE </t>
  </si>
  <si>
    <t>MIRANDA GUERRA</t>
  </si>
  <si>
    <t>B/NUEVA CLL 17  03</t>
  </si>
  <si>
    <t>PARQUE CENTENARIO CLL 18 # 6B-32</t>
  </si>
  <si>
    <t>SAHAGUN</t>
  </si>
  <si>
    <t>CLLE 14 #13-01</t>
  </si>
  <si>
    <t>CLL 24 # 5A-18 B/SAN MARTIN</t>
  </si>
  <si>
    <t>CRA 5B#14-60</t>
  </si>
  <si>
    <t>CLL 20 #1J-03</t>
  </si>
  <si>
    <t>CRA 5 #6-70 PABLO VI</t>
  </si>
  <si>
    <t>CALLE 15-11 B/CENTRO</t>
  </si>
  <si>
    <t>B/SANTA TERESA</t>
  </si>
  <si>
    <t>LICETH ACOSTA</t>
  </si>
  <si>
    <t>MA 124 LT 7 ETAPA 13 B/LA PRADERA</t>
  </si>
  <si>
    <t>CRA 19 #9-19  B/6MARZO</t>
  </si>
  <si>
    <t>CLL 2 # 16-51 B/CENTRO</t>
  </si>
  <si>
    <t>CLL 3 #89-103 B/SANTO DOMINGO</t>
  </si>
  <si>
    <t>CLL 21 # 11-79 B/CENTRO</t>
  </si>
  <si>
    <t>CRA 16 #12 B - 32B/FATIMA</t>
  </si>
  <si>
    <t>CLL 2 B # 26-38 B/CANDELARIA</t>
  </si>
  <si>
    <t>CALLE 16 3-64</t>
  </si>
  <si>
    <t>ANA VALENTINA</t>
  </si>
  <si>
    <t>HOYOS DE MERCADO</t>
  </si>
  <si>
    <t>CRA 12 #16-3 B/CENTRO</t>
  </si>
  <si>
    <t>CRA 10 #59-18B/CASTELLANA</t>
  </si>
  <si>
    <t>7747784-3013550244</t>
  </si>
  <si>
    <t>CALLE 25 #10C-42</t>
  </si>
  <si>
    <t xml:space="preserve">CALLE 9 #7-81 </t>
  </si>
  <si>
    <t>CRA 11 #20-22 B/CORINTO</t>
  </si>
  <si>
    <t>CRA 17 CALLE 16 ETAPA 3</t>
  </si>
  <si>
    <t>CRA 20 #8A-40B/SANTA TERESA</t>
  </si>
  <si>
    <t>CRA 25 #17-46</t>
  </si>
  <si>
    <t>LAS MARCELITAS RABO LARGO</t>
  </si>
  <si>
    <t>CORREGIMIENTO SAN ISIDRO</t>
  </si>
  <si>
    <t>VEREDA CARRILLO</t>
  </si>
  <si>
    <t>VDA EL TAPON CERETE</t>
  </si>
  <si>
    <t>3145240242 NEDYS-3157604475</t>
  </si>
  <si>
    <t>CALLE 14 #13-1</t>
  </si>
  <si>
    <t>CRA 1 #1-8B/SAN JOSE</t>
  </si>
  <si>
    <t>CRA 8 #14-24</t>
  </si>
  <si>
    <t xml:space="preserve">TF </t>
  </si>
  <si>
    <t>CALLE 14 #9-2 CENTRO</t>
  </si>
  <si>
    <t>CALLE 20 #1J-3</t>
  </si>
  <si>
    <t>CRA 5 B #14-60</t>
  </si>
  <si>
    <t>B/SAN ROQUE</t>
  </si>
  <si>
    <t>CRA 12 # 7B -0 B/BOSQUE</t>
  </si>
  <si>
    <t>CALLE 14 # 4-18</t>
  </si>
  <si>
    <t>CRA 25 # 7 A-149</t>
  </si>
  <si>
    <t>ISLA MARGARITA</t>
  </si>
  <si>
    <t>CORREGIMIENTO LA DOCTRINA</t>
  </si>
  <si>
    <t>CORREGIMIENTO TIERRALTICA</t>
  </si>
  <si>
    <t>MARIELA ESTHER</t>
  </si>
  <si>
    <t>ARIAS DE FRANCO</t>
  </si>
  <si>
    <t>CRA 9 #7-71 B/LA CRUZ</t>
  </si>
  <si>
    <t>VDA NUEVA ESPERANZA</t>
  </si>
  <si>
    <t>DG 4 #8-33B/SANTA LUCIA</t>
  </si>
  <si>
    <t>CALLE 14 F # 138-78</t>
  </si>
  <si>
    <t>B/SANTA LUCIA</t>
  </si>
  <si>
    <t>B/VENEZUELA</t>
  </si>
  <si>
    <t>CRA 4 #7C-4 B/SANTO DOMINGO</t>
  </si>
  <si>
    <t>DUVELINA</t>
  </si>
  <si>
    <t>CRA 11 #21-68 B/POLO</t>
  </si>
  <si>
    <t>B/ROSARIO</t>
  </si>
  <si>
    <t>CALLE ABAJO 6-17</t>
  </si>
  <si>
    <t>TREBOL CALLE 13 D #12A-69</t>
  </si>
  <si>
    <t>VDA LA APARTADA</t>
  </si>
  <si>
    <t>SAN CARLOS</t>
  </si>
  <si>
    <t>VDA LA COROZA ABAJO</t>
  </si>
  <si>
    <t>VDA EL HATO</t>
  </si>
  <si>
    <t>DG 8 TV 4 B/POLICARPA</t>
  </si>
  <si>
    <t>B/URBINA CRA 16 # 15-02</t>
  </si>
  <si>
    <t>CRA 7 #10-58 B/BUENAVISTA</t>
  </si>
  <si>
    <t>URB. SAMARIA CRA 13 #10B-62</t>
  </si>
  <si>
    <t>MZ 78 LT 6 B/LA PRADERA</t>
  </si>
  <si>
    <t xml:space="preserve">B/LA GRANJA DG 15 TV 5 </t>
  </si>
  <si>
    <t>CRA 15 #38-52 B/LA FLORESTA</t>
  </si>
  <si>
    <t xml:space="preserve">CRA 71 # 94-124 TORRE 1 </t>
  </si>
  <si>
    <t>B/CENTRO</t>
  </si>
  <si>
    <t>CALLE 14 S #7-50 B/LOS RECUERDOS</t>
  </si>
  <si>
    <t>3205410403-3145789258</t>
  </si>
  <si>
    <t>CRA 9 #14-3B/LACHARME</t>
  </si>
  <si>
    <t>CALLE 42 #1C-30</t>
  </si>
  <si>
    <t>3132694065-7842507</t>
  </si>
  <si>
    <t>CRA 15 #29-36 B/EL EDEN</t>
  </si>
  <si>
    <t>CRA 3 #22-23B/CHUCHURUBI</t>
  </si>
  <si>
    <t>B/MOCARI EL BOSQUE</t>
  </si>
  <si>
    <t>3145469438-3117664701</t>
  </si>
  <si>
    <t>CALLE 12 #3-28 B/CAMILO TORRES</t>
  </si>
  <si>
    <t>VDA LAS BABILLAS</t>
  </si>
  <si>
    <t>CALLE 37 #1W-90 B/JUAN XXIII</t>
  </si>
  <si>
    <t>3016323003-3002805978</t>
  </si>
  <si>
    <t>B/EDMUNDO LOPEZ TV 16 B # 18-32</t>
  </si>
  <si>
    <t>3205728380-3114099369</t>
  </si>
  <si>
    <t>CRA 2 W #35-28 B/ JUAN XXIII</t>
  </si>
  <si>
    <t>MA 7 LT 3 B/VILLA ANA</t>
  </si>
  <si>
    <t>3217398203-3006083323</t>
  </si>
  <si>
    <t>CALLE 40M #7-53 B/NARIÑO</t>
  </si>
  <si>
    <t>B/MOGAMBITO</t>
  </si>
  <si>
    <t>CRA 7 #124-39 B/ LOS CEDROS</t>
  </si>
  <si>
    <t>DG 18 #04-78 B/LA GRANJA</t>
  </si>
  <si>
    <t>DG 24 #4-68 B/LA GRANJA</t>
  </si>
  <si>
    <t>LUCIA HERNANDEZ</t>
  </si>
  <si>
    <t xml:space="preserve">ANA JOSEFA </t>
  </si>
  <si>
    <t>ALVARADO DEL TORO</t>
  </si>
  <si>
    <t>CRA 8 # 7-81 B/  LOS ANGELES</t>
  </si>
  <si>
    <t>OSPINA ROMERO</t>
  </si>
  <si>
    <t>SANDRA ACEVEDO</t>
  </si>
  <si>
    <t>EDITH GAMARRA</t>
  </si>
  <si>
    <t>#</t>
  </si>
  <si>
    <t>NOMBRE</t>
  </si>
  <si>
    <t>APELLIDO</t>
  </si>
  <si>
    <t>TIPO ID</t>
  </si>
  <si>
    <t>NUMERO ID</t>
  </si>
  <si>
    <t>EPS</t>
  </si>
  <si>
    <t>DIRECCION</t>
  </si>
  <si>
    <t>FECHA DE ENTREGA</t>
  </si>
  <si>
    <t xml:space="preserve">SESIONES </t>
  </si>
  <si>
    <t>TERAPIAS AUTORIZADAS</t>
  </si>
  <si>
    <t>FRECUENCIA TTO</t>
  </si>
  <si>
    <t>CC</t>
  </si>
  <si>
    <t>SALUDVIDA</t>
  </si>
  <si>
    <t>HECTOR FABIO</t>
  </si>
  <si>
    <t>JALLER SUAREZ</t>
  </si>
  <si>
    <t>20 SS X MES X 3 MESES</t>
  </si>
  <si>
    <t>SANITAS</t>
  </si>
  <si>
    <t>LUIS FERNANDO</t>
  </si>
  <si>
    <t>TI</t>
  </si>
  <si>
    <t>RC</t>
  </si>
  <si>
    <t>COLSANITAS</t>
  </si>
  <si>
    <t>ILCIA MARIA</t>
  </si>
  <si>
    <t>CUADRADO GOMEZ</t>
  </si>
  <si>
    <t>MARIA PRIMERA</t>
  </si>
  <si>
    <t>REYES VARGAS</t>
  </si>
  <si>
    <t>MUTUALSER</t>
  </si>
  <si>
    <t>SAN BERNARDO</t>
  </si>
  <si>
    <t>MARIA BERTHEL</t>
  </si>
  <si>
    <t>PTE QUE CADA 2 SS DEBE PAGAR UN BONO DE 33.300</t>
  </si>
  <si>
    <t xml:space="preserve">SIN CORTE HASTA TERMINAR </t>
  </si>
  <si>
    <t>CAROLINA BARCO</t>
  </si>
  <si>
    <t xml:space="preserve">B/LAURELES  CLL 23 CRA 24 </t>
  </si>
  <si>
    <t>BRAVO BANDA</t>
  </si>
  <si>
    <t>LUCIANA</t>
  </si>
  <si>
    <t>GARCIA YANEZ</t>
  </si>
  <si>
    <t xml:space="preserve">DIEGO RAUL </t>
  </si>
  <si>
    <t>JESSICA RIVERA</t>
  </si>
  <si>
    <t>ARBOLEDA LOPEZ</t>
  </si>
  <si>
    <t>LORGIA DEL CARMEN</t>
  </si>
  <si>
    <t xml:space="preserve">JOSE DAVID </t>
  </si>
  <si>
    <t>INGRID VIOLETH</t>
  </si>
  <si>
    <t>GUZMAN GARCIA</t>
  </si>
  <si>
    <t xml:space="preserve">AMERICA ROSA </t>
  </si>
  <si>
    <t>TIBISAY AMIGO</t>
  </si>
  <si>
    <t>NOEL ALARCON</t>
  </si>
  <si>
    <t>KELLY DURANGO</t>
  </si>
  <si>
    <t>PUERTO LIBERTADOR</t>
  </si>
  <si>
    <t>BUENAVISTA</t>
  </si>
  <si>
    <t xml:space="preserve">CORREGIMIENTO BERASTEGUI </t>
  </si>
  <si>
    <t>ARGEL TORRES</t>
  </si>
  <si>
    <t xml:space="preserve">ANGELY DEL CARMEN </t>
  </si>
  <si>
    <t>ENTREGA DE EVIDENCIAS</t>
  </si>
  <si>
    <t>TERAPEUTA ENCARGADO</t>
  </si>
  <si>
    <t>JAIME PETRO</t>
  </si>
  <si>
    <t>DIGNA ISABEL</t>
  </si>
  <si>
    <t>DIAZ REYES</t>
  </si>
  <si>
    <t xml:space="preserve">WALBERTO </t>
  </si>
  <si>
    <t>VELEZ TRESPALACIOS</t>
  </si>
  <si>
    <t xml:space="preserve">SANITAS </t>
  </si>
  <si>
    <t>3016099592-3012168910</t>
  </si>
  <si>
    <t xml:space="preserve">DEIMER JOSE </t>
  </si>
  <si>
    <t xml:space="preserve">CAUSIL POLO </t>
  </si>
  <si>
    <t>HOGAR DE PASO</t>
  </si>
  <si>
    <t>DARLY ISABEL</t>
  </si>
  <si>
    <t>ROSARIO ROSARIO</t>
  </si>
  <si>
    <t>TUCHIN</t>
  </si>
  <si>
    <t>MANUEL GREGORIO</t>
  </si>
  <si>
    <t xml:space="preserve">BARBOZA MENDOZA </t>
  </si>
  <si>
    <t>DANYS MAILER</t>
  </si>
  <si>
    <t>SUAREZ RUBIO</t>
  </si>
  <si>
    <t xml:space="preserve">OSVALDO ENRIQUE </t>
  </si>
  <si>
    <t>PACHECO PULGARIN</t>
  </si>
  <si>
    <t xml:space="preserve">JORGE ELIAS </t>
  </si>
  <si>
    <t>SAEZ RUIZ</t>
  </si>
  <si>
    <t xml:space="preserve">JOSE FERNANDO </t>
  </si>
  <si>
    <t>CASTILLO MARTINEZ</t>
  </si>
  <si>
    <t>NAFER ENRIQUE</t>
  </si>
  <si>
    <t>ZUÑIGA RAMIREZ</t>
  </si>
  <si>
    <t xml:space="preserve"> </t>
  </si>
  <si>
    <t xml:space="preserve">ANSELMO JOSE </t>
  </si>
  <si>
    <t>PERALTA LOPEZ</t>
  </si>
  <si>
    <t>3105116392                 (elina lopez)-3508909991</t>
  </si>
  <si>
    <t>RUTH MARINA</t>
  </si>
  <si>
    <t>BOLAÑOS DE GARCES</t>
  </si>
  <si>
    <t>3104648678 (HIJA AMANDA)</t>
  </si>
  <si>
    <t xml:space="preserve">SENAIRA </t>
  </si>
  <si>
    <t>DOMICO BAILARIN</t>
  </si>
  <si>
    <t>SUSANA DEL PILAR</t>
  </si>
  <si>
    <t>BURGOS DE GARCIA</t>
  </si>
  <si>
    <t xml:space="preserve">ALICIA </t>
  </si>
  <si>
    <t>ARGEL LOPEZ</t>
  </si>
  <si>
    <t>3145729298-3218195872</t>
  </si>
  <si>
    <t xml:space="preserve">SALOME </t>
  </si>
  <si>
    <t>SALGADO</t>
  </si>
  <si>
    <t>TF-TR</t>
  </si>
  <si>
    <t>DEFINIR CONTINUIDAD</t>
  </si>
  <si>
    <t>ALVARO ENRIQUE</t>
  </si>
  <si>
    <t xml:space="preserve"> SALGADO RUBIO</t>
  </si>
  <si>
    <t xml:space="preserve">EMILIO JOSE </t>
  </si>
  <si>
    <t xml:space="preserve">CHAVEZ MEJIA </t>
  </si>
  <si>
    <t>3207970830 ANA CAMILA HERMANA</t>
  </si>
  <si>
    <t>LINA MARCELA</t>
  </si>
  <si>
    <t>TAMARA ORTIZ</t>
  </si>
  <si>
    <t xml:space="preserve">PAOLA </t>
  </si>
  <si>
    <t>HERNANDEZ</t>
  </si>
  <si>
    <t xml:space="preserve">MIRIAM LUCIA </t>
  </si>
  <si>
    <t>GOMEZ DE FLOREZ</t>
  </si>
  <si>
    <t>LORIZ</t>
  </si>
  <si>
    <t>KARDUZ KANDALAFT</t>
  </si>
  <si>
    <t>COOMEVA</t>
  </si>
  <si>
    <t>3003225812-3135030967</t>
  </si>
  <si>
    <t>DE ORO REGINO</t>
  </si>
  <si>
    <t>AYAPEL</t>
  </si>
  <si>
    <t>STEFANY LOZANO</t>
  </si>
  <si>
    <t>LUCIA RAQUEL</t>
  </si>
  <si>
    <t>ANAYA DE QUINTERO</t>
  </si>
  <si>
    <t>CALLE 12 #11-59 CENTRO</t>
  </si>
  <si>
    <t xml:space="preserve">SUSANA MARIA </t>
  </si>
  <si>
    <t>RODRIGUEZ BANDA</t>
  </si>
  <si>
    <t>CALLE 5 #17 B/SAN RAFAEL</t>
  </si>
  <si>
    <t xml:space="preserve">BLANCA LILIA </t>
  </si>
  <si>
    <t>COGOLLO HERRERA</t>
  </si>
  <si>
    <t>B/SANTA FE MZ 21 LT 4</t>
  </si>
  <si>
    <t>NOBLE GUARDIOLA</t>
  </si>
  <si>
    <t>YESSICA RIVERA</t>
  </si>
  <si>
    <t>MARIA MARCEGOBIA</t>
  </si>
  <si>
    <t>PEREZ NISPERUZA</t>
  </si>
  <si>
    <t>TV 3 # 22-21 B/LA GRANJA</t>
  </si>
  <si>
    <t>B/SAN MARTIN</t>
  </si>
  <si>
    <t xml:space="preserve">JOSEFA MARIA </t>
  </si>
  <si>
    <t>JULIAO ARTEAGA</t>
  </si>
  <si>
    <t>CL 3 NRO 9 32</t>
  </si>
  <si>
    <t>ERLINDA ACOSTA</t>
  </si>
  <si>
    <t>LUIS MIGUEL</t>
  </si>
  <si>
    <t>MESTRA RAMOS</t>
  </si>
  <si>
    <t>DIAGNOSTICO</t>
  </si>
  <si>
    <t>JAIRO EMIRO</t>
  </si>
  <si>
    <t>CARE HERRERA</t>
  </si>
  <si>
    <t>CL 13 CR 3 Y 4 NRO 4 14 B</t>
  </si>
  <si>
    <t>BERTHA SUSANA</t>
  </si>
  <si>
    <t>DORIA GUERRA</t>
  </si>
  <si>
    <t xml:space="preserve">CRA 18 # 8-14 B/6 DE MARZO </t>
  </si>
  <si>
    <t>3107094691-7811468</t>
  </si>
  <si>
    <t>EPOC</t>
  </si>
  <si>
    <t>SECUELAS ACV</t>
  </si>
  <si>
    <t>TRANSV 27 A #31-3 MZ 59 LT 20 B/CANTACLARO</t>
  </si>
  <si>
    <t>3135916872-3107385599</t>
  </si>
  <si>
    <t>PCI</t>
  </si>
  <si>
    <t>POLINEUROPATIA</t>
  </si>
  <si>
    <t>ACV</t>
  </si>
  <si>
    <t>EPILEPSIA</t>
  </si>
  <si>
    <t>HEMIPARESIA ESPASTICA IZQUIERDA</t>
  </si>
  <si>
    <t>TEC SEVERO</t>
  </si>
  <si>
    <t>PARKINSON</t>
  </si>
  <si>
    <t>FX CADERA</t>
  </si>
  <si>
    <t>ANEURISMA</t>
  </si>
  <si>
    <t>ALZHEIMER</t>
  </si>
  <si>
    <t>SECUELAS DE ACV</t>
  </si>
  <si>
    <t xml:space="preserve">DIAGNOSTICO </t>
  </si>
  <si>
    <t>ESCLEROSIS MULTIPLE</t>
  </si>
  <si>
    <t>TEC</t>
  </si>
  <si>
    <t>FX CADERA DERECHA</t>
  </si>
  <si>
    <t>DEMENCIA SENIL</t>
  </si>
  <si>
    <t>HEMORRAGIA SUBARACNOIDEA</t>
  </si>
  <si>
    <t>LESION RAQUIMEDULAR C5-C6</t>
  </si>
  <si>
    <t>TEC - POLITRUMATISMO</t>
  </si>
  <si>
    <t>GONARTROSIS</t>
  </si>
  <si>
    <t>FX FEMUR</t>
  </si>
  <si>
    <t>HEMIPLEJIA</t>
  </si>
  <si>
    <t>HERIDA POR PROYECTIL ARMA DE FUEGO</t>
  </si>
  <si>
    <t>HIPOXIA CEREBRAL</t>
  </si>
  <si>
    <t>SECUELAS DE HIPOXIA CEREBRAL</t>
  </si>
  <si>
    <t>PARAPLEJIA</t>
  </si>
  <si>
    <t>ENCEFALOPATIA</t>
  </si>
  <si>
    <t>PARALISIS FACIAL</t>
  </si>
  <si>
    <t xml:space="preserve">CUADRIPARESIA </t>
  </si>
  <si>
    <t>ARTROSIS</t>
  </si>
  <si>
    <t>ACV - ALZHEIMER</t>
  </si>
  <si>
    <t xml:space="preserve">DB MELLITUS </t>
  </si>
  <si>
    <t>SECUELAS ACV - CEGUERA CRONICA</t>
  </si>
  <si>
    <t>MIELOPATIA NO ESPECIFICADA</t>
  </si>
  <si>
    <t xml:space="preserve">ACV </t>
  </si>
  <si>
    <t>ACV - OSTEOPENIA CRONICA</t>
  </si>
  <si>
    <t>MIELITIS</t>
  </si>
  <si>
    <t>SX GASTON</t>
  </si>
  <si>
    <t>POLIARTROSIS</t>
  </si>
  <si>
    <t>CUADRIPARESIA</t>
  </si>
  <si>
    <t>ACV + ALZHEIMER</t>
  </si>
  <si>
    <t>CA EPITALIAL</t>
  </si>
  <si>
    <t>DISTROFIA MUSCUALR</t>
  </si>
  <si>
    <t>LX MEDULAR</t>
  </si>
  <si>
    <t>SECUELAS ACV- AMPUTACION INFRAPATELAR</t>
  </si>
  <si>
    <t>SECUELAS HIDROCEFALIA</t>
  </si>
  <si>
    <t>ECV</t>
  </si>
  <si>
    <t>POP FX CADERA - EPOC- ACV</t>
  </si>
  <si>
    <t>RECIBIDO</t>
  </si>
  <si>
    <t>VICTOR MANUEL</t>
  </si>
  <si>
    <t>MIRANDA DE TOSCANO</t>
  </si>
  <si>
    <t>3004902910-3177736938</t>
  </si>
  <si>
    <t>B/6 DE MARZO CALLE 14 # 19-25</t>
  </si>
  <si>
    <t>la prof. Solicita TS porq sospecha de maltratocon la paciente</t>
  </si>
  <si>
    <t>EMPERATRIZ</t>
  </si>
  <si>
    <t>GARCIA DE RAMOS</t>
  </si>
  <si>
    <t>FADY VERGARA</t>
  </si>
  <si>
    <t>20 SS MES C/U X 6 MESES</t>
  </si>
  <si>
    <t>DISTROFIA MUSCULAR</t>
  </si>
  <si>
    <t>JESUS SIERRA</t>
  </si>
  <si>
    <t>EL PUEBLITO</t>
  </si>
  <si>
    <t xml:space="preserve"> FIGUEROA MARTINEZ</t>
  </si>
  <si>
    <t>ARLIS ADRIANA</t>
  </si>
  <si>
    <t>AGAMEZ DICKSON</t>
  </si>
  <si>
    <t>SESIONES TOTAL</t>
  </si>
  <si>
    <t>SESIONES MENSUAL</t>
  </si>
  <si>
    <t>SESIONES MENSUALES</t>
  </si>
  <si>
    <t>SESIONES  TOTAL</t>
  </si>
  <si>
    <t>MARIA MODESTA</t>
  </si>
  <si>
    <t>ESPITIA NORIEGA</t>
  </si>
  <si>
    <t>CA + ACV</t>
  </si>
  <si>
    <t>3107209159-3006806943</t>
  </si>
  <si>
    <t>WILLIAN CESAR</t>
  </si>
  <si>
    <t>JALAL AGAMEZ</t>
  </si>
  <si>
    <t>DIABETES</t>
  </si>
  <si>
    <t>B/LA CANDELARIA CLL 15 #8-56</t>
  </si>
  <si>
    <t>SE ENVIA UN ASPIRADOR EL 12/10/2018</t>
  </si>
  <si>
    <t>HILDA MARIA</t>
  </si>
  <si>
    <t xml:space="preserve"> MORELOS MONTERROSA</t>
  </si>
  <si>
    <t>ISQUEMIA TRAUMATICA</t>
  </si>
  <si>
    <t xml:space="preserve">CORREGIMIENTO SANTA LUCIA </t>
  </si>
  <si>
    <t xml:space="preserve">ELIA ROSA </t>
  </si>
  <si>
    <t>MATHIEU DE MADERA</t>
  </si>
  <si>
    <t>CRA 6 # 21-63 B/LA LUCHA</t>
  </si>
  <si>
    <t>TULIA ESTER</t>
  </si>
  <si>
    <t>VERGARA</t>
  </si>
  <si>
    <t>B/CALLE  LARGA CRA 13 #10-03</t>
  </si>
  <si>
    <t xml:space="preserve">EDIHT MARIA </t>
  </si>
  <si>
    <t>ARGEL LUNAS</t>
  </si>
  <si>
    <t>HIDROCEFALO COMUNICANTE</t>
  </si>
  <si>
    <t>RAMIRO ROBERTO</t>
  </si>
  <si>
    <t>RAMOS HERNANDEZ</t>
  </si>
  <si>
    <t>CALLE 21 #11-88 B/JERUSALEN</t>
  </si>
  <si>
    <t>REGINA DEL ROSARIO</t>
  </si>
  <si>
    <t>NILMA ROSA</t>
  </si>
  <si>
    <t>CARRASCO CARMONA</t>
  </si>
  <si>
    <t>CR 15 9 A 58 BARRIO AV SANTANDER</t>
  </si>
  <si>
    <t>FELIPA BENICIA</t>
  </si>
  <si>
    <t>ARRIETA DE BERASTEGUI</t>
  </si>
  <si>
    <t>CALLE 16 #9C-22 B/SANTA PAULA</t>
  </si>
  <si>
    <t>INFARTO CEREBRAL</t>
  </si>
  <si>
    <t xml:space="preserve">FLOR MARIA </t>
  </si>
  <si>
    <t>GARCIA DE BULA</t>
  </si>
  <si>
    <t>HTA</t>
  </si>
  <si>
    <t>B/PAYARICA  CALLE 17 #12-5</t>
  </si>
  <si>
    <t>OCTAVIO LUIS</t>
  </si>
  <si>
    <t>MONTIEL MENDEZ</t>
  </si>
  <si>
    <t>DEMENCIA+ACV</t>
  </si>
  <si>
    <t>MZ 39 LT 12 B/SANTA FE</t>
  </si>
  <si>
    <t>RAFAEL EMIRO</t>
  </si>
  <si>
    <t>HOYOS QUINTANA</t>
  </si>
  <si>
    <t>HUMBERTO MANUEL</t>
  </si>
  <si>
    <t>SALGADO GUERRA</t>
  </si>
  <si>
    <t>PARALISIS DE BELL</t>
  </si>
  <si>
    <t>CALLE 70 BIS # 77J-65 SUR</t>
  </si>
  <si>
    <t>DUEÑAS PADRON</t>
  </si>
  <si>
    <t>B/VENUS CRA 19 #12-43</t>
  </si>
  <si>
    <t>3145264711-7857386</t>
  </si>
  <si>
    <t>LOPEZ LUGO</t>
  </si>
  <si>
    <t>DARIS VICTORIA</t>
  </si>
  <si>
    <t>BULA COGOLLO</t>
  </si>
  <si>
    <t>YERLIS YULIETH</t>
  </si>
  <si>
    <t>MARTINEZ MONTALVO</t>
  </si>
  <si>
    <t>PCI + NEUMONIA</t>
  </si>
  <si>
    <t>ELIZABETH SHIRLEY</t>
  </si>
  <si>
    <t>BARRETO VEGA</t>
  </si>
  <si>
    <t>calle  42 # 10a -36 b/laureles</t>
  </si>
  <si>
    <t>LUIS ALFONSO</t>
  </si>
  <si>
    <t>NEGRETTE MATTOS</t>
  </si>
  <si>
    <t>B/EL POBLADO CALLE 20 #25B-120</t>
  </si>
  <si>
    <t>MARIA JOSE GUZMAN</t>
  </si>
  <si>
    <t>ENF. DESMIELINIZANTE</t>
  </si>
  <si>
    <t>CA COLON</t>
  </si>
  <si>
    <t>ARTRITIS REUMATOIDE</t>
  </si>
  <si>
    <t>MENINGITIS</t>
  </si>
  <si>
    <t>ZULEIMA GOMEZ</t>
  </si>
  <si>
    <t>ANILLO VIAL</t>
  </si>
  <si>
    <t>T. PSICOLOGICA</t>
  </si>
  <si>
    <t>T. FISICA</t>
  </si>
  <si>
    <t>T. FONOAUDIOLOGICA</t>
  </si>
  <si>
    <t xml:space="preserve">T. OCUPACIONAL </t>
  </si>
  <si>
    <t>ANGELY ARGEL</t>
  </si>
  <si>
    <t>TOTAL</t>
  </si>
  <si>
    <t>MES</t>
  </si>
  <si>
    <t xml:space="preserve">MARIA EFIGENIA </t>
  </si>
  <si>
    <t>HERAZO DE OTERO</t>
  </si>
  <si>
    <t>JOSEFA MARIA</t>
  </si>
  <si>
    <t>PEREZ CERPA</t>
  </si>
  <si>
    <t>LAS VILLAS CALLE 25 # 3W-52</t>
  </si>
  <si>
    <t>B/LAURELES</t>
  </si>
  <si>
    <t>VRIANA LILEY</t>
  </si>
  <si>
    <t>LOZANO ARGUMEDO</t>
  </si>
  <si>
    <t>PARALISIS CEREBRAL ESPASTICA</t>
  </si>
  <si>
    <t>JOSE MANUEL</t>
  </si>
  <si>
    <t>BERRIO THERAN</t>
  </si>
  <si>
    <t>Calle 18 Cra 4B- B/ La Inmaculada</t>
  </si>
  <si>
    <t>MANUEL MARIA</t>
  </si>
  <si>
    <t>MACHADO CASTRO</t>
  </si>
  <si>
    <t>CALLE 21 #8A-83 B/BALBOA</t>
  </si>
  <si>
    <t>EUNICE MARIA</t>
  </si>
  <si>
    <t>RESTAN DE GARCIA</t>
  </si>
  <si>
    <t>ENF. CONVULSIVA</t>
  </si>
  <si>
    <t>7839577- 3173627651</t>
  </si>
  <si>
    <t xml:space="preserve"> CALLE 29 N 16-124 B/PASATIEMPO</t>
  </si>
  <si>
    <t>20 ss al mes x 3 meses</t>
  </si>
  <si>
    <t>CINDY DE LA OSSA</t>
  </si>
  <si>
    <t>NAIRA ERAZO</t>
  </si>
  <si>
    <t xml:space="preserve"> ID</t>
  </si>
  <si>
    <t>ENEYDA JOAQUINA</t>
  </si>
  <si>
    <t>HUMANEZ DE MUÑOZ</t>
  </si>
  <si>
    <t>LINFEDEMA</t>
  </si>
  <si>
    <t>CLLE 35 14 B 44 BARRIO FLORESTA</t>
  </si>
  <si>
    <t>MIRTA SUSANA</t>
  </si>
  <si>
    <t>CASTAÑO DE BERROCAL</t>
  </si>
  <si>
    <t>ENF. RENAL CRONICA</t>
  </si>
  <si>
    <t xml:space="preserve">LEONOR MARIA </t>
  </si>
  <si>
    <t>PEREZ DE ESPITIA</t>
  </si>
  <si>
    <t>CA CEREBELO</t>
  </si>
  <si>
    <t>3135938281-7826207</t>
  </si>
  <si>
    <t>CALLE 26 N 9-76</t>
  </si>
  <si>
    <t>MORELO VILORIA</t>
  </si>
  <si>
    <t>JOSE LUIS</t>
  </si>
  <si>
    <t>HEMORRAGIA INTRACRANEAL</t>
  </si>
  <si>
    <t>CLL 2 BARRIO HIQUERON</t>
  </si>
  <si>
    <t>LUIS EDUARDO</t>
  </si>
  <si>
    <t>MURILLO MARIMON</t>
  </si>
  <si>
    <t>SEC. DE DEFICIENCIAS NUTRICIONALES</t>
  </si>
  <si>
    <t>APARICIO DE RAMIREZ</t>
  </si>
  <si>
    <t>DOLOR CRONICO</t>
  </si>
  <si>
    <t>BERTA REGINA</t>
  </si>
  <si>
    <t xml:space="preserve">YANERIS DEL CARMEN </t>
  </si>
  <si>
    <t>OLIVERO VARGAS</t>
  </si>
  <si>
    <t>PC ESPASTICA</t>
  </si>
  <si>
    <t>3107021259-3213122218</t>
  </si>
  <si>
    <t>BRR LA PAZ CL 14 16</t>
  </si>
  <si>
    <t>RUBEN</t>
  </si>
  <si>
    <t>AGUAS ZABALETA</t>
  </si>
  <si>
    <t>KR 17 A 3 88 BRR EL CARMEN</t>
  </si>
  <si>
    <t>RODRIGO MIGUEL</t>
  </si>
  <si>
    <t>ARROYO CORREA</t>
  </si>
  <si>
    <t>RH MARCHA</t>
  </si>
  <si>
    <t>BRR SANTANDER TRAS 2 SUR NO 11</t>
  </si>
  <si>
    <t>EVENTO</t>
  </si>
  <si>
    <t>SX RETT</t>
  </si>
  <si>
    <t>EUNICE ISABEL</t>
  </si>
  <si>
    <t>MARTELO DE VELEZ</t>
  </si>
  <si>
    <t>7825087 NORIS MAMA</t>
  </si>
  <si>
    <t>RAMON ROBERTO</t>
  </si>
  <si>
    <t>MARTINEZ  PADILLA</t>
  </si>
  <si>
    <t xml:space="preserve">CRA 12 #8-29 B/LA CRUZ </t>
  </si>
  <si>
    <t xml:space="preserve"> 3115878280-3114276090</t>
  </si>
  <si>
    <t>EL PASO DE LAS FLORES VEREDA</t>
  </si>
  <si>
    <t>3184015878-3007413232</t>
  </si>
  <si>
    <t>GALEANO ALEMAN</t>
  </si>
  <si>
    <t>calle 38 # 10-70 centro</t>
  </si>
  <si>
    <t xml:space="preserve">MIRIAM </t>
  </si>
  <si>
    <t>SALCEDO MUÑOZ</t>
  </si>
  <si>
    <t>TRANSV 13 B # 63-14</t>
  </si>
  <si>
    <t>BERNARDA ISABEL</t>
  </si>
  <si>
    <t>PEREZ AVILA</t>
  </si>
  <si>
    <t>FX EPIFISIS HUMERO</t>
  </si>
  <si>
    <t>3124150797-3208281951</t>
  </si>
  <si>
    <t>CALLE 1 EL CEDRO</t>
  </si>
  <si>
    <t>LORENIS GUZMAN</t>
  </si>
  <si>
    <t>3128106569- 3114375210</t>
  </si>
  <si>
    <t>ARBOLETES</t>
  </si>
  <si>
    <t>DIEGO TOSCANO</t>
  </si>
  <si>
    <t>ANGELICA MARTINEZ</t>
  </si>
  <si>
    <t>DIGNA ROSA</t>
  </si>
  <si>
    <t>PEÑATA DE RHENALS</t>
  </si>
  <si>
    <t>CA</t>
  </si>
  <si>
    <t>LUIS ALBERTO</t>
  </si>
  <si>
    <t>RUIZ PAYARES</t>
  </si>
  <si>
    <t>SECUELAS INFARTO CEREBRAL</t>
  </si>
  <si>
    <t>CRA 18 N 6 21 BARRIO SAN RAFAEL</t>
  </si>
  <si>
    <t>ESQUIZOFRENIA PARANOIDE</t>
  </si>
  <si>
    <t xml:space="preserve">B/CENTRO  # 6-48  </t>
  </si>
  <si>
    <t>LOPEZ ARTEAGA</t>
  </si>
  <si>
    <t>12 X MES X 3 MESES</t>
  </si>
  <si>
    <t>FELIPE MANUEL</t>
  </si>
  <si>
    <t>PINTO MARTELO</t>
  </si>
  <si>
    <t>CRA 12 #2-5 B/NUEVA GRANADA</t>
  </si>
  <si>
    <t>12 SS DE C/U X 3 MESES</t>
  </si>
  <si>
    <t>TROMBOSIS VENOSA PROFUNDA</t>
  </si>
  <si>
    <t>ALVARO DE JESUS</t>
  </si>
  <si>
    <t>CALAD AGUDELO</t>
  </si>
  <si>
    <t>VIA TRONCAL CLL 7 N 12 101</t>
  </si>
  <si>
    <t>ANDRES DE LOS REYES</t>
  </si>
  <si>
    <t>DERRAME PLEURAL</t>
  </si>
  <si>
    <t>B/EL CAÑITO CALLE 6B #11B-19</t>
  </si>
  <si>
    <t>REGINA SOFIA</t>
  </si>
  <si>
    <t>ARUACHAN DE VARGAS</t>
  </si>
  <si>
    <t>CALLE 64 #5-17B/EL RECREO</t>
  </si>
  <si>
    <t>MARIA CRISTINA</t>
  </si>
  <si>
    <t>MEZA GUZMAN</t>
  </si>
  <si>
    <t>GD 4 #13-106 B/P5</t>
  </si>
  <si>
    <t>MANUEL RAMON</t>
  </si>
  <si>
    <t>GONZALES BURGOS</t>
  </si>
  <si>
    <t>IVU</t>
  </si>
  <si>
    <t>MZ 33 LT 19 B/FURATENA</t>
  </si>
  <si>
    <t>MIRIAM DEL CARMEN</t>
  </si>
  <si>
    <t>ANA CARMELA</t>
  </si>
  <si>
    <t>NAAR DE MARTINEZ</t>
  </si>
  <si>
    <t>CRA 2 CAALLE 2 # 21-05 LA PALMA</t>
  </si>
  <si>
    <t>NELLY DEL CARMEN</t>
  </si>
  <si>
    <t>SIBAJA JIMENEZ</t>
  </si>
  <si>
    <t>SECUELAS QUEMADURA 29%</t>
  </si>
  <si>
    <t>CRA 7 #24-14 B/COLON</t>
  </si>
  <si>
    <t>JUAN CLIMACO</t>
  </si>
  <si>
    <t>PATERNINA GUZMAN</t>
  </si>
  <si>
    <t>ENDER DAVIER</t>
  </si>
  <si>
    <t>HERNANDEZ ROJAS</t>
  </si>
  <si>
    <t>CALLE 10 #32-06 B/VILLA NAZARE</t>
  </si>
  <si>
    <t>VIVIANA PAOLA</t>
  </si>
  <si>
    <t>ROMERO REYES</t>
  </si>
  <si>
    <t>BRONQUITIS</t>
  </si>
  <si>
    <t>B/9 ENERO</t>
  </si>
  <si>
    <t xml:space="preserve">TULIA ESTHER </t>
  </si>
  <si>
    <t>COGOLLO DE RUIZ</t>
  </si>
  <si>
    <t>DG 18 #5-4</t>
  </si>
  <si>
    <t>OSTEOARTROSIS</t>
  </si>
  <si>
    <t>FELICIA JACINTA</t>
  </si>
  <si>
    <t>UPARELA DE CORTES</t>
  </si>
  <si>
    <t>CALLE 18 # 14-08 B/VILLA LIBIA</t>
  </si>
  <si>
    <t>CAUCASIA</t>
  </si>
  <si>
    <t>CARMEN PEINADO</t>
  </si>
  <si>
    <t>CRA  7 # 23-12 B/CHUCHURUBI</t>
  </si>
  <si>
    <t xml:space="preserve">CALLE 19 KRA 13 ESQUINA BARRIO SAN JUAN </t>
  </si>
  <si>
    <t>MARIA CONSUELO</t>
  </si>
  <si>
    <t>ANGULO LOPEZ</t>
  </si>
  <si>
    <t>CALLE 18 #13-51</t>
  </si>
  <si>
    <t>3157962661-3217061636</t>
  </si>
  <si>
    <t>LUZ MARINA</t>
  </si>
  <si>
    <t>CASTELLAR MEZA</t>
  </si>
  <si>
    <t>FX DE FEMUR DERECHO</t>
  </si>
  <si>
    <t>3015332180-3103611645</t>
  </si>
  <si>
    <t>CRA 4 #95-85 B/MOCARI LAS PARCELAS</t>
  </si>
  <si>
    <t>LLORENTE DE COGOLLO</t>
  </si>
  <si>
    <t>CARMEN</t>
  </si>
  <si>
    <t xml:space="preserve">7824792-3145520161 </t>
  </si>
  <si>
    <t>CALLE 43 N°1B-73 B/SUCRE</t>
  </si>
  <si>
    <t xml:space="preserve"> REINA ALDANA</t>
  </si>
  <si>
    <t>LINDA MILENA</t>
  </si>
  <si>
    <t xml:space="preserve"> MARIA DEL SOCORRO</t>
  </si>
  <si>
    <t>PEREZ DE HOYOS</t>
  </si>
  <si>
    <t>3008145832-3008145932</t>
  </si>
  <si>
    <t>CALLE 12 NRO 11-74 BARR CENTRO</t>
  </si>
  <si>
    <t>FIDEL ENRIQUE</t>
  </si>
  <si>
    <t>PEREZ MARTINEZ</t>
  </si>
  <si>
    <t>MARIA LOURDES</t>
  </si>
  <si>
    <t>ARCIA SIERRA</t>
  </si>
  <si>
    <t>CRA 13 # 16-24 B/SAN LUIS</t>
  </si>
  <si>
    <t xml:space="preserve">7722706-3206452328
</t>
  </si>
  <si>
    <t>JACKELINE</t>
  </si>
  <si>
    <t>SIERRA PERNA</t>
  </si>
  <si>
    <t>3106649786-3012109861</t>
  </si>
  <si>
    <t>DILAN JAVIER</t>
  </si>
  <si>
    <t>CUADRIPLEJIA ESPASTICA</t>
  </si>
  <si>
    <t>3 PALMAS VIA TIERRALTA</t>
  </si>
  <si>
    <t>ELA</t>
  </si>
  <si>
    <t>EVER LUIS</t>
  </si>
  <si>
    <t>TRAUMATISMO RAQUIMEDULAR</t>
  </si>
  <si>
    <t>SUSANA BUELVAS</t>
  </si>
  <si>
    <t>POLITRAUMATISMO</t>
  </si>
  <si>
    <t>HERIDA POR ARMA DE FUEGO</t>
  </si>
  <si>
    <t>ACV ISQUEMICO</t>
  </si>
  <si>
    <t>ARACHE</t>
  </si>
  <si>
    <t>JORGE EFRAIN</t>
  </si>
  <si>
    <t>GONZALEZ REGINO</t>
  </si>
  <si>
    <t>PARKINSON-ALZHEIMER</t>
  </si>
  <si>
    <t>MARTHA DIAZ</t>
  </si>
  <si>
    <t>NEDY DEL ROSARIO</t>
  </si>
  <si>
    <t>MONTECINO MADERA</t>
  </si>
  <si>
    <t>ANEURISMA + HEMORRAGIA SUBARACNOIDEA</t>
  </si>
  <si>
    <t>3205536944-3216505439</t>
  </si>
  <si>
    <t>CALLE 26 F #25-43 B/NUEVA COLOMBIA</t>
  </si>
  <si>
    <t>SECUELAS DE TEC</t>
  </si>
  <si>
    <t>FX CUELLO DE FEMUR</t>
  </si>
  <si>
    <t>DESIDERIO DORIA</t>
  </si>
  <si>
    <t>NEILA ROSA</t>
  </si>
  <si>
    <t>RAMOS DORIA</t>
  </si>
  <si>
    <t>LESION DE SITIOS CONTIGUOS DE LA VEJIGA</t>
  </si>
  <si>
    <t>CRA 15 26-23 -BARRIO : NUEVO CAMPO ALEGRE</t>
  </si>
  <si>
    <t>PLINIO RAMON</t>
  </si>
  <si>
    <t>PEREZ</t>
  </si>
  <si>
    <t>CARDIOMIOPATIA</t>
  </si>
  <si>
    <t>BARRIO EL CARMEN CALLE
17C NRO 2-51</t>
  </si>
  <si>
    <t>CL 70 BIS NRO 77J 65</t>
  </si>
  <si>
    <t>CENOVIA ALMANZA</t>
  </si>
  <si>
    <t>PDTE VALORACIÓN POR ESPECIALISTA</t>
  </si>
  <si>
    <t>VALORACIONES</t>
  </si>
  <si>
    <t>UNICOR</t>
  </si>
  <si>
    <t>ELVIA CRISTINA</t>
  </si>
  <si>
    <t>VERGARA DE PORTACIO</t>
  </si>
  <si>
    <t>3215473774 - 3103629338</t>
  </si>
  <si>
    <t>CRRA 8 # 40- 34 BARRIO NARIÑO</t>
  </si>
  <si>
    <t>GLECIA ELENA</t>
  </si>
  <si>
    <t>YEPES DE SEPULVEDA</t>
  </si>
  <si>
    <t xml:space="preserve">calle 6 # 17-33 Barrio Alto Prado </t>
  </si>
  <si>
    <t>BEATRIZ MARIA</t>
  </si>
  <si>
    <t>QUIÑONEZ DIAZ</t>
  </si>
  <si>
    <t>CLL 37 N°6W-18 JUAN 23</t>
  </si>
  <si>
    <t>ANA GABRIELA</t>
  </si>
  <si>
    <t>BUELVAS DORIA</t>
  </si>
  <si>
    <t>B/MI RANCHITO MZ 53 LT 26</t>
  </si>
  <si>
    <t>3153372901- 310488750</t>
  </si>
  <si>
    <t>hospitalizada informa la FT biavelsi 12/02/2019, desde el 09/02/2019</t>
  </si>
  <si>
    <t>cALLE PRINCIPAL CIENAGA DE ORO</t>
  </si>
  <si>
    <t>SABAS DE LOS SANTOS</t>
  </si>
  <si>
    <t>TUIRAN VARGAS</t>
  </si>
  <si>
    <t>ANA ISABEL</t>
  </si>
  <si>
    <t>ARGUMEDO DE SIBAJA</t>
  </si>
  <si>
    <t>B/JUAN XXIII CALLE 6W-28</t>
  </si>
  <si>
    <t>3003423507-7951599</t>
  </si>
  <si>
    <t xml:space="preserve">DELMIRO </t>
  </si>
  <si>
    <t>VARGAS VARGAS</t>
  </si>
  <si>
    <t>MIELITIS+VIH</t>
  </si>
  <si>
    <t>MZ C LT48 B/EL ALIVIO</t>
  </si>
  <si>
    <t>3007360240-3116594036</t>
  </si>
  <si>
    <t>B/SAN ROQUE CALLE 12 #16-22    3005024497</t>
  </si>
  <si>
    <t>se realiza TF c/12h  por orden medica</t>
  </si>
  <si>
    <t>IDALIDES</t>
  </si>
  <si>
    <t>PACHECO LOPEZ</t>
  </si>
  <si>
    <t>BRONCONEUMONIA</t>
  </si>
  <si>
    <t>3135261421-3124533790</t>
  </si>
  <si>
    <t>MZ 5 LT 4 BR REPUBLICA DE PANAMA</t>
  </si>
  <si>
    <t>LUIS GUILLERMO</t>
  </si>
  <si>
    <t>FABRA NEGRETE</t>
  </si>
  <si>
    <t>MZ I BLOQUE5 APTO 108 B/LOS RECUERDOS</t>
  </si>
  <si>
    <t>3135165579-3135328837</t>
  </si>
  <si>
    <t>MAIRA ALEJANDRA</t>
  </si>
  <si>
    <t>PADILLA ROMERO</t>
  </si>
  <si>
    <t>CALLE 23 CRA 13 APTO 26 B/EL DORADO</t>
  </si>
  <si>
    <t>3145961484-3206708010</t>
  </si>
  <si>
    <t>12 SS X MES X 3 MESES</t>
  </si>
  <si>
    <t>CEDULA</t>
  </si>
  <si>
    <t>FRANCISCO JAVIER</t>
  </si>
  <si>
    <t>FLOREZ CAMACHO</t>
  </si>
  <si>
    <t>7822830-3044755435</t>
  </si>
  <si>
    <t>CALLE 32 # 10-65 B/ CENTRO</t>
  </si>
  <si>
    <t>QUINTINA MARIA</t>
  </si>
  <si>
    <t>HERNANDEZ LEON</t>
  </si>
  <si>
    <t xml:space="preserve"> MZ 3 LOTE 14 BARRIO LA VID</t>
  </si>
  <si>
    <t>MYRIAM CECILIA</t>
  </si>
  <si>
    <t>BUELVAS DE CORRALES</t>
  </si>
  <si>
    <t>CA PIEL</t>
  </si>
  <si>
    <t>3013217742 3014660845</t>
  </si>
  <si>
    <t xml:space="preserve">CALLE 51 # 14 D -16 MONTE VERDE </t>
  </si>
  <si>
    <t>fallece informa daniel el 23022019</t>
  </si>
  <si>
    <t>JOSEFA ISABEL</t>
  </si>
  <si>
    <t>CADRAZCO BLANQUICETH</t>
  </si>
  <si>
    <t>HEMANGIOMA</t>
  </si>
  <si>
    <t>3006552937-3157392681</t>
  </si>
  <si>
    <t>CALLE 37 #10-04</t>
  </si>
  <si>
    <t xml:space="preserve">NAYIBES DEL CARMEN </t>
  </si>
  <si>
    <t xml:space="preserve">MONTES FAJARDO </t>
  </si>
  <si>
    <t>EL CAÑITO</t>
  </si>
  <si>
    <t>320 391 4693</t>
  </si>
  <si>
    <t>FALLECIO INFORMA FT JAIME 25/02/2019</t>
  </si>
  <si>
    <t>VoBo para el mes de marzo 27/02/2019</t>
  </si>
  <si>
    <t xml:space="preserve">ORFELINA </t>
  </si>
  <si>
    <t>ALVAREZ MORENO</t>
  </si>
  <si>
    <t>PROMOSALUD</t>
  </si>
  <si>
    <t xml:space="preserve">3184374454 HIJO ERIBERTO </t>
  </si>
  <si>
    <t xml:space="preserve">FANNY ESTER </t>
  </si>
  <si>
    <t xml:space="preserve">SUAREZ VERTEL </t>
  </si>
  <si>
    <t>MIOSITIS - FIBROSIS QUISTICA</t>
  </si>
  <si>
    <t xml:space="preserve">3045741119 HERMANA MARY </t>
  </si>
  <si>
    <t>HIDALGO ELIAS</t>
  </si>
  <si>
    <t>VELEZ SIMONDS</t>
  </si>
  <si>
    <t>LESION RAQUIMEDULAR C4-C5</t>
  </si>
  <si>
    <t>PAQ 01/02/2019 VALIDO HASTA EL 31/07/2019 X 6 MESES 30 SS MENSUALES, 180 TOTAL</t>
  </si>
  <si>
    <t>JOSEFA NOLIS</t>
  </si>
  <si>
    <t>CANTERO MARTINEZ</t>
  </si>
  <si>
    <t>3106026392-3128649046</t>
  </si>
  <si>
    <t xml:space="preserve">GABRIEL </t>
  </si>
  <si>
    <t>SPATH ASAB</t>
  </si>
  <si>
    <t>RESECCIÓN TUMORAL  CEREBRO</t>
  </si>
  <si>
    <t>ORTEGA PACHECO</t>
  </si>
  <si>
    <t xml:space="preserve">PROMOSALUD </t>
  </si>
  <si>
    <t>POP TUMOR CEREBRAL</t>
  </si>
  <si>
    <t xml:space="preserve">ORDEN VIGENTE POR 6 MESES DESDE FEBRERO A JULIO DE 2019. RECIBIDA EL 20/02/2019 CON TF 20, TL20, TR 60 POR MES </t>
  </si>
  <si>
    <t>LISETH ACOSTA</t>
  </si>
  <si>
    <t xml:space="preserve">ROBERT DE JESUS </t>
  </si>
  <si>
    <t>GALVAN PETRO</t>
  </si>
  <si>
    <t xml:space="preserve">EULOGIA VICTORIA </t>
  </si>
  <si>
    <t xml:space="preserve">SANCHEZ BUELVAS </t>
  </si>
  <si>
    <t>ATAXIA CEREBELOSA</t>
  </si>
  <si>
    <t>HELDA ROSA</t>
  </si>
  <si>
    <t>ROMERO DE OTERO</t>
  </si>
  <si>
    <t>PARKINSON + ALZHEIMER</t>
  </si>
  <si>
    <t>EDELMIRA ROSA</t>
  </si>
  <si>
    <t>ECHEVARRIA</t>
  </si>
  <si>
    <t xml:space="preserve">PAQUETE X 4 MESES INICIA EL 01/01/2019 Y FINALIZA 30/04/2019 CON TF Y TL 20SS DE C/U MENSUALES </t>
  </si>
  <si>
    <t xml:space="preserve">GLORIA STELLA </t>
  </si>
  <si>
    <t>MARTINEZ MEDRANO</t>
  </si>
  <si>
    <t>PAQUETE X 6 MESES: INICIA  15/02/2019 AL 31/07/2019</t>
  </si>
  <si>
    <t>JUAN GUILLERMO</t>
  </si>
  <si>
    <t>ROMERO CORENA</t>
  </si>
  <si>
    <t>B/SAN JOSE CALLE 9 # 10-09    3218279582</t>
  </si>
  <si>
    <t>TATIANA QUIÑONEZ</t>
  </si>
  <si>
    <t xml:space="preserve">Del 28/01/2019 al 05/02/2019:   8 ss 
Del 06/02/2019 al 05/03/2019:  24 ss 
Del 06/03/2019 al 05/04/2019:  24 ss 
Del 06/04/2019 al 05/05/2019:  16 ss </t>
  </si>
  <si>
    <t>BLANCA ROSA</t>
  </si>
  <si>
    <t>MARTINEZ DE PEREZ</t>
  </si>
  <si>
    <t xml:space="preserve">ANGELICA MARTINEZ </t>
  </si>
  <si>
    <t>ROBERTO MANUEL</t>
  </si>
  <si>
    <t>FUENTES</t>
  </si>
  <si>
    <t xml:space="preserve">LUIS ALBERTO </t>
  </si>
  <si>
    <t>BULA SALAZAR</t>
  </si>
  <si>
    <t>ORDEN QUE INICIA EL 01/02/2019 Y FINALIZA EL 30/04/2019  60 ss de c/u</t>
  </si>
  <si>
    <t>DANIEL DARIO</t>
  </si>
  <si>
    <t>PEREZ DE LA ROSA</t>
  </si>
  <si>
    <t>INFARTO MEDULAR</t>
  </si>
  <si>
    <t>B/SANTA LUCIA TV 2 A #26-65</t>
  </si>
  <si>
    <t>MYRYAM ODILI</t>
  </si>
  <si>
    <t>PINEDA DORIA</t>
  </si>
  <si>
    <t>B/LA PRADERA MZ 109 Lt 9 etapa 2</t>
  </si>
  <si>
    <t>JUAN DIEGO</t>
  </si>
  <si>
    <t>HERNANDEZ ESPITIA</t>
  </si>
  <si>
    <t>DISTROFIA MUSCULAR DE DUCHENNE</t>
  </si>
  <si>
    <t>KM 7 VIA CERETE</t>
  </si>
  <si>
    <t>ELEODORO ENRIQUE</t>
  </si>
  <si>
    <t>BERRIO CUELLO</t>
  </si>
  <si>
    <t>B/NUEVA ESPERANZA MZ 24 LT 34</t>
  </si>
  <si>
    <t>3137765506-3233178895</t>
  </si>
  <si>
    <t>EDITH DEL CARMEN</t>
  </si>
  <si>
    <t>BALLESTERO DE HOYOS</t>
  </si>
  <si>
    <t>DORSALGIA</t>
  </si>
  <si>
    <t>CALLE 6 # 18-46 B/6 MARZO</t>
  </si>
  <si>
    <t>3116558216-3126717584</t>
  </si>
  <si>
    <t>ARSOBIA SOFIA</t>
  </si>
  <si>
    <t>ECHEVERRIA HERNANDEZ</t>
  </si>
  <si>
    <t>CALLE 23 #6-41 B/SAN MARTIN</t>
  </si>
  <si>
    <t>3205156245-3014817953</t>
  </si>
  <si>
    <t xml:space="preserve">Paciente con corte mesual  TF 20- TO 20 Y FONO 20    X 6 MESES </t>
  </si>
  <si>
    <t xml:space="preserve">IRENE MARIA </t>
  </si>
  <si>
    <t>ABDALA MARTINEZ</t>
  </si>
  <si>
    <t>MATEO GOMEZ</t>
  </si>
  <si>
    <t>3226006856-8985826</t>
  </si>
  <si>
    <t>ELIAS</t>
  </si>
  <si>
    <t xml:space="preserve">NASSIF HAMATY </t>
  </si>
  <si>
    <t>3126944646-3128935234</t>
  </si>
  <si>
    <t>CALLE 21 #11-26 B/JERUSALEM</t>
  </si>
  <si>
    <t>MACEA PEREZ</t>
  </si>
  <si>
    <t>B/SANTA FE MZ35 LT 2</t>
  </si>
  <si>
    <t>PDTE CON LA NUEA ORDEN ELSITA ME INFORMA EL 28/02/2019</t>
  </si>
  <si>
    <t>SE REALIZA 20 SS DE C/U X 6 MESES</t>
  </si>
  <si>
    <t>JAIRO DARIO</t>
  </si>
  <si>
    <t>LAMBERTINEZ NAVARRO</t>
  </si>
  <si>
    <t>NEUMONIA+ANEURISMA</t>
  </si>
  <si>
    <t>CALLE 28 # 11W-24 B/EL DORADO</t>
  </si>
  <si>
    <t>ORDEN VIGENTE POR 3 MESES DESDE MARZO 20 SS C/U  HASTA MAYO</t>
  </si>
  <si>
    <t>DANNAGREY MARTINEZ</t>
  </si>
  <si>
    <t>MIGUEL ANTONIO</t>
  </si>
  <si>
    <t>MARQUEZ HERNANDEZ</t>
  </si>
  <si>
    <t>DEBORA JUDITH</t>
  </si>
  <si>
    <t>CONTRERAS LOPEZ</t>
  </si>
  <si>
    <t>CRA11N 31 34 BARRIO CENTRO</t>
  </si>
  <si>
    <t>HECTOR ANDRES</t>
  </si>
  <si>
    <t>CANTILLO OTERO</t>
  </si>
  <si>
    <t>CA CEREBRAL</t>
  </si>
  <si>
    <t>MARGARITA MARIA</t>
  </si>
  <si>
    <t>LAGARES RAMOS</t>
  </si>
  <si>
    <t>IRA</t>
  </si>
  <si>
    <t>ELVIRA LUCIA</t>
  </si>
  <si>
    <t>BANDA HUMANES</t>
  </si>
  <si>
    <t>FRANCIA HELENA</t>
  </si>
  <si>
    <t>AVILA DE JULIO</t>
  </si>
  <si>
    <t>CORREGIMIENTO BAJO LIMON</t>
  </si>
  <si>
    <t>EUGENIA</t>
  </si>
  <si>
    <t>NAVAJA DE MESQUIDA</t>
  </si>
  <si>
    <t>SANTANDER MOMIL</t>
  </si>
  <si>
    <t>TRAQUEOSTOMIA</t>
  </si>
  <si>
    <t>3205932473-3116532298</t>
  </si>
  <si>
    <t xml:space="preserve">MANUEL </t>
  </si>
  <si>
    <t>MORELO TUIRAN</t>
  </si>
  <si>
    <t>HIC</t>
  </si>
  <si>
    <t>B/LAS MARIAS</t>
  </si>
  <si>
    <t>FX PERTROCANTERICA</t>
  </si>
  <si>
    <t>JORGE LUIS</t>
  </si>
  <si>
    <t>MZ 6 LT 10 B/SANTA ELENA</t>
  </si>
  <si>
    <t>TF 20 SS AL MES X 3 MESES</t>
  </si>
  <si>
    <t>EDUARDO DEMETRIO</t>
  </si>
  <si>
    <t>SOFAN ASIAS</t>
  </si>
  <si>
    <t>MZ 65 LT 4 ETP 7 B/LA PRADERA</t>
  </si>
  <si>
    <t>3135744345-3145782263</t>
  </si>
  <si>
    <t>PDTE ORDEN 20 SS TF X 6 MESES, MARZO, ABRIL, MAYO , JUNIO, JULIO Y AGOSTO.</t>
  </si>
  <si>
    <t>ALBERTO MANUEL</t>
  </si>
  <si>
    <t>NEGRETE VEGA</t>
  </si>
  <si>
    <t>3146375942-3175904860</t>
  </si>
  <si>
    <t>B/EL EDEN CRA 15 C # 34A-76</t>
  </si>
  <si>
    <t>FALLECIO INFORMA FT SUSANA  04/03/2019</t>
  </si>
  <si>
    <t>NEUROPATIA</t>
  </si>
  <si>
    <t xml:space="preserve">CALLE 76 NUMERO 2-85 BARRIO SAN FRANCISCO </t>
  </si>
  <si>
    <t xml:space="preserve">B/BOSTON DIAGONAL 3N 16A-59 </t>
  </si>
  <si>
    <t>3006585730-3003746226-3188886377</t>
  </si>
  <si>
    <t xml:space="preserve">B/EDMUNDO LOPEZ ETAPA 9 #19-39 </t>
  </si>
  <si>
    <t>SAEZ GERMAN</t>
  </si>
  <si>
    <t>DOMINGO JOSE</t>
  </si>
  <si>
    <t>JORGE ENRIQUE</t>
  </si>
  <si>
    <t xml:space="preserve">ANDRADE </t>
  </si>
  <si>
    <t>3205767718-3216630629-7817960</t>
  </si>
  <si>
    <t>3205482161-3145385070</t>
  </si>
  <si>
    <t>B/EDMUNDO LOPEZ TRANS 22 # 14-100</t>
  </si>
  <si>
    <t>B/CHUCHURUBI CALLE 22 # 4-19</t>
  </si>
  <si>
    <t>FUENTES GARCES</t>
  </si>
  <si>
    <t>PASATIEMPO CALLE 22 #18A-512</t>
  </si>
  <si>
    <t>MANUEL ESTEBAN</t>
  </si>
  <si>
    <t>MERCADO LEON</t>
  </si>
  <si>
    <t>CENTRO CRA 11 # 31-34</t>
  </si>
  <si>
    <t>FLOREZ FERNANDEZ</t>
  </si>
  <si>
    <t>MARCO ANTONIO</t>
  </si>
  <si>
    <t>B/EDMUNDO LOPEZ ETAPA 4 DG 11 # 30-82</t>
  </si>
  <si>
    <t>TABOADA GUTIERREZ</t>
  </si>
  <si>
    <t>ALVARO ANTONIO</t>
  </si>
  <si>
    <t>B/FLORESTA CRA 15 B #36-41</t>
  </si>
  <si>
    <t>PEREZ DIAZ</t>
  </si>
  <si>
    <t>LAUREANO</t>
  </si>
  <si>
    <t>POP ANEURISMA</t>
  </si>
  <si>
    <t>B/EL PRADO DG 2A #9-44</t>
  </si>
  <si>
    <t>MONTES PACHECO</t>
  </si>
  <si>
    <t>GERMAN EMIRO</t>
  </si>
  <si>
    <t>7957761-3016796634</t>
  </si>
  <si>
    <t>JARAMILLO PICO</t>
  </si>
  <si>
    <t>ERASMO</t>
  </si>
  <si>
    <t>B/PRIMERO DE MAYO MZ 3 LT 15</t>
  </si>
  <si>
    <t>ARISTIZABAL RAMIREZ</t>
  </si>
  <si>
    <t>JESUS</t>
  </si>
  <si>
    <t>ALBA MARINA</t>
  </si>
  <si>
    <t>HERNANDEZ PERNETH</t>
  </si>
  <si>
    <t>RETIRO DE LOS INDIOS</t>
  </si>
  <si>
    <t>FRENTE AL BANCO AGRARIO</t>
  </si>
  <si>
    <t>B/PASATIEMPO CALLE 27 #17-44</t>
  </si>
  <si>
    <t>WALBERTO ANTONIO</t>
  </si>
  <si>
    <t>VILLADIEGO RAMIREZ</t>
  </si>
  <si>
    <t>B/BOSTON DG 3 # 16-17</t>
  </si>
  <si>
    <t>BARRIO POLICARPA DIAGONAL 8</t>
  </si>
  <si>
    <t>LUIS CARMELO</t>
  </si>
  <si>
    <t>SOTO PICO</t>
  </si>
  <si>
    <t>B/COSTA DE ORO CALLE 28 # 15-18</t>
  </si>
  <si>
    <t>MARQUEZ GONZALEZ</t>
  </si>
  <si>
    <t>B/PRIMERO D MAYO MZ 11 LT8</t>
  </si>
  <si>
    <t>ARJONA HINCAPIE</t>
  </si>
  <si>
    <t>CENTRO 25 #10-26</t>
  </si>
  <si>
    <t>RODRIGUEZ MONTES</t>
  </si>
  <si>
    <t>RAUL RICARDO</t>
  </si>
  <si>
    <t>3107094649-3107094649</t>
  </si>
  <si>
    <t>B/SUCRE CRA 1 A # 43-30</t>
  </si>
  <si>
    <t>LOZANO MESTRA</t>
  </si>
  <si>
    <t>ANA MELISA</t>
  </si>
  <si>
    <t>INCONTINENCIA URINARIA</t>
  </si>
  <si>
    <t>K10W 23 15</t>
  </si>
  <si>
    <t>3136095545 -3126166796</t>
  </si>
  <si>
    <t>ARRIETA RICARDO</t>
  </si>
  <si>
    <t>JUAN FELIPE</t>
  </si>
  <si>
    <t>3013563685 - 3105949709</t>
  </si>
  <si>
    <t>CRA 2 88 21 BARRIO 7 DE MAYO</t>
  </si>
  <si>
    <t>ARTROSIS SECUNDARIAS</t>
  </si>
  <si>
    <t>PEREZ PADILLA</t>
  </si>
  <si>
    <t>ROSA ELENA</t>
  </si>
  <si>
    <t>LA CAMPIÑA MZ 13 LT 6</t>
  </si>
  <si>
    <t>BELTRAN DE MENDOZA</t>
  </si>
  <si>
    <t>CARLOTA CRISTINA</t>
  </si>
  <si>
    <t>CRA14B N38 48</t>
  </si>
  <si>
    <t>3106939680 - 7898333</t>
  </si>
  <si>
    <t>NUÑEZ GUERRA</t>
  </si>
  <si>
    <t>GLACIA ELVIRA</t>
  </si>
  <si>
    <t>7810632-3135415020</t>
  </si>
  <si>
    <t>B/SUCRE CRA 1 A # 43 A - 90</t>
  </si>
  <si>
    <t>MOLINA DE ESTRADA</t>
  </si>
  <si>
    <t>ANA LUCIA</t>
  </si>
  <si>
    <t>CERMEÑO DE CARRASCAL</t>
  </si>
  <si>
    <t>HIPOTIROIDISMO</t>
  </si>
  <si>
    <t>7825049-3008174887</t>
  </si>
  <si>
    <t>B/VILLA CLARA CRA 9 A #22-55</t>
  </si>
  <si>
    <t>EDIFICIO FERBEL RECREO</t>
  </si>
  <si>
    <t>3145099493- 7956297</t>
  </si>
  <si>
    <t>BULA DE NEGRETE</t>
  </si>
  <si>
    <t>B/LA FLORESTA CALLE 36 3 14C-50</t>
  </si>
  <si>
    <t>MARTINEZ DE RAMOS</t>
  </si>
  <si>
    <t>RAFAELA</t>
  </si>
  <si>
    <t>B/LA GRANJA DG 12 #7-74</t>
  </si>
  <si>
    <t>ELIZABET TEODORA</t>
  </si>
  <si>
    <t>VEGA DE FIGUEROA</t>
  </si>
  <si>
    <t>B/SUCRE CALLE 42 A # 1B-84</t>
  </si>
  <si>
    <t>BRIANA INFORMA 30 TF, 30 PS, 30 TL, Y 40TO</t>
  </si>
  <si>
    <t>JUANA GUALBERTA</t>
  </si>
  <si>
    <t>TAPIA DE MARTINEZ</t>
  </si>
  <si>
    <t>3116982336-3015057135</t>
  </si>
  <si>
    <t>AGUDELO DIAZ</t>
  </si>
  <si>
    <t>MARIELA</t>
  </si>
  <si>
    <t>7945762-3146585460</t>
  </si>
  <si>
    <t>B/LA RIVERA MZ 5 LT 3</t>
  </si>
  <si>
    <t>QUINTERO DE URAN</t>
  </si>
  <si>
    <t>FANNY REBECA</t>
  </si>
  <si>
    <t>CENTRO CALLE 35 # 12-11B</t>
  </si>
  <si>
    <t>MARIA FILOMENA</t>
  </si>
  <si>
    <t>CORDERO AVILES</t>
  </si>
  <si>
    <t>CENTRO CRA 10 A # 40-32</t>
  </si>
  <si>
    <t>FRENYS CANDELARIA</t>
  </si>
  <si>
    <t>LOPEZ CASTELLANOS</t>
  </si>
  <si>
    <t>POLIMIOSITIS</t>
  </si>
  <si>
    <t>CENTRO CALLE 35 CRA 7 ESQUINA</t>
  </si>
  <si>
    <t>COGOLLO COGOLLO</t>
  </si>
  <si>
    <t>ELIZABETH</t>
  </si>
  <si>
    <t>3205182332-3215477345</t>
  </si>
  <si>
    <t>B/SANTA FE</t>
  </si>
  <si>
    <t>FERNANDEZ RODRIGUEZ</t>
  </si>
  <si>
    <t>JAIME</t>
  </si>
  <si>
    <t>TX MEDULA ESPINAL</t>
  </si>
  <si>
    <t>CENTRO CALLE 21 # 8-57</t>
  </si>
  <si>
    <t>WELINGTON JOSE</t>
  </si>
  <si>
    <t>GUERRA MARQUEZ</t>
  </si>
  <si>
    <t>B/P 5  DG 6 # 10B-46</t>
  </si>
  <si>
    <t>fallece informa ft jaime 07/03/2019</t>
  </si>
  <si>
    <t>MANUEL DIONISIO</t>
  </si>
  <si>
    <t>TORREGLOSA CAUSIL</t>
  </si>
  <si>
    <t>3206321852-3205080201</t>
  </si>
  <si>
    <t>B/LA VICTORIA MZ 8 LT 5</t>
  </si>
  <si>
    <t>ORDEN VIGENTE POR 6 MESES DESDE MARZO A  AGOSTO 2019 CON TF 20 SS</t>
  </si>
  <si>
    <t xml:space="preserve">MIGUEL VICENTE </t>
  </si>
  <si>
    <t>UPARELA PEREZ</t>
  </si>
  <si>
    <t xml:space="preserve">B/SAN ANTONIO </t>
  </si>
  <si>
    <t>B/BUENA VISTA CALLE 11 A # 8E-45</t>
  </si>
  <si>
    <t>MARGARITA DEL CARMEN</t>
  </si>
  <si>
    <t>DIAZ LUNA</t>
  </si>
  <si>
    <t>FX DE CADERA DERECHA</t>
  </si>
  <si>
    <t>URB EL LIMONAR  CLL 33 NR 36 A - 20</t>
  </si>
  <si>
    <t>3104703490 - 3175270881</t>
  </si>
  <si>
    <t>ROSA AMELIA</t>
  </si>
  <si>
    <t>ORTEGA VERGARA</t>
  </si>
  <si>
    <t>B/RANCHO GRANDE MZ 18 LT8</t>
  </si>
  <si>
    <t>3002122954-7862808</t>
  </si>
  <si>
    <t>MARIA CONCEPCIÓN</t>
  </si>
  <si>
    <t>GONZALEZ HOYOS</t>
  </si>
  <si>
    <t>CA ENDOCERVIX</t>
  </si>
  <si>
    <t>3103867212-3114209734</t>
  </si>
  <si>
    <t>B/FLORESTA CALLE 18 #33</t>
  </si>
  <si>
    <t> 6639381</t>
  </si>
  <si>
    <t>DOMINGA</t>
  </si>
  <si>
    <t>NARVAEZ CORREA</t>
  </si>
  <si>
    <t>B/SAN SEBASTIAN</t>
  </si>
  <si>
    <t>PEREIRA TORRES</t>
  </si>
  <si>
    <t>ORDEN 03/03/2019 VIGENTE POR 6 MESES DESDE MARZO A  AGOSTO 2019 CON TF Y TO 20 SS</t>
  </si>
  <si>
    <t>ODEN VIGENTE POR  6 MESES HASTA MAYO</t>
  </si>
  <si>
    <t xml:space="preserve">CARMEN </t>
  </si>
  <si>
    <t>ARGEL MESTRA</t>
  </si>
  <si>
    <t>vereda el tapao via sabanal</t>
  </si>
  <si>
    <t>HOSPITALIZADO INFORMA FT JAIME EL 11/03/2019</t>
  </si>
  <si>
    <t>7834512-3146665740</t>
  </si>
  <si>
    <t>ARICINDA ROSA</t>
  </si>
  <si>
    <t>PICO DE GONZALEZ</t>
  </si>
  <si>
    <t>CONTUSION DE LA REGION LUMBOSACRA Y PELVIS</t>
  </si>
  <si>
    <t>CALLE 31 #1 A W -49 B/CAMPOALEGRE</t>
  </si>
  <si>
    <t>3114069818-3143150513</t>
  </si>
  <si>
    <t>LETTY ISABEL</t>
  </si>
  <si>
    <t>MARTINEZ DEL TORO</t>
  </si>
  <si>
    <t>3023836001-3145265915</t>
  </si>
  <si>
    <r>
      <t xml:space="preserve">CALLE 10 # 2-46 BARRIO: </t>
    </r>
    <r>
      <rPr>
        <sz val="8"/>
        <color theme="1"/>
        <rFont val="Calibri"/>
        <family val="2"/>
        <scheme val="minor"/>
      </rPr>
      <t>CENTRO CALLE SAGRADO CORAZON DE JESUS</t>
    </r>
  </si>
  <si>
    <t>VDA LA CHAMARRA</t>
  </si>
  <si>
    <t xml:space="preserve">VDA EL VIRAL CRA 3 CALLE 5 #1-53       </t>
  </si>
  <si>
    <t>3104586228-3126350322</t>
  </si>
  <si>
    <t>ORDEN VIGENTE ENTREGADA EL 12/03/2019  X 3 MESES MARZO, ABRIL Y MAYO</t>
  </si>
  <si>
    <t>MILADIS ADELA</t>
  </si>
  <si>
    <t>ESTRELLA GOMEZ</t>
  </si>
  <si>
    <t>CALLE 20 CRA 6 Y 7 C/SAN MARTIN</t>
  </si>
  <si>
    <t>3012695251-3117091127-3126110691</t>
  </si>
  <si>
    <t>ARMEIDA DEL CARMEN</t>
  </si>
  <si>
    <t>B/BOLIVAR CALLE 21 #8A-26</t>
  </si>
  <si>
    <t>3233671666-3162834898</t>
  </si>
  <si>
    <t>VICTOR HUGO</t>
  </si>
  <si>
    <t>NEGRETE JIMENEZ</t>
  </si>
  <si>
    <t>B/LA GRANJA TRANSV 7 # 12-34</t>
  </si>
  <si>
    <t>3145334352-3206389424</t>
  </si>
  <si>
    <t>JULIA</t>
  </si>
  <si>
    <t>VILLEGAS DE BUCHELI</t>
  </si>
  <si>
    <t>LUMBALGIA</t>
  </si>
  <si>
    <t>CALLE 43 B #16A-65 B/MONTEVERDE 2 CASA 1</t>
  </si>
  <si>
    <t>OSCAR EMILIO</t>
  </si>
  <si>
    <t>MENDOZA SAEZ</t>
  </si>
  <si>
    <t>TUMOR DE COMPORTAMIENTO INCIERTO</t>
  </si>
  <si>
    <t>PLAZA SAN NICOLAS 3128049749-3506895004</t>
  </si>
  <si>
    <t xml:space="preserve">JOSE ISABEL </t>
  </si>
  <si>
    <t>MENDOZA SUAREZ</t>
  </si>
  <si>
    <t>INSUFICIENCIA RESPIRATORIA</t>
  </si>
  <si>
    <t>COVEÑAS</t>
  </si>
  <si>
    <t>3126137162-3205455357</t>
  </si>
  <si>
    <t xml:space="preserve">TR DIARIA X 3 MESES, FI 16/03/2019 Y FE15/06/2019,      </t>
  </si>
  <si>
    <t>ELENA ROSA</t>
  </si>
  <si>
    <t>RAMOS ESCOBAR</t>
  </si>
  <si>
    <t>B/SAN LUIS CALLE 18 #8-34</t>
  </si>
  <si>
    <t>ROBERTO ANTONIO</t>
  </si>
  <si>
    <t>GONZALEZ GRANDETT</t>
  </si>
  <si>
    <t>CALLE 39 #20-12</t>
  </si>
  <si>
    <t>C/12H</t>
  </si>
  <si>
    <t>3103569557-3218628465 miriam hija</t>
  </si>
  <si>
    <t>MAXIMO RAFAEL</t>
  </si>
  <si>
    <t>RAMOS LOPEZ</t>
  </si>
  <si>
    <t>B/SAN RAFAEL CRA 16 #4-23</t>
  </si>
  <si>
    <t>FANNY</t>
  </si>
  <si>
    <t>PAEZ DE ESQUIVEL</t>
  </si>
  <si>
    <t>INSUF VENOSA</t>
  </si>
  <si>
    <t>B/EL DORADO CALLE 29 # 17 A W - 25</t>
  </si>
  <si>
    <t>MIRNA ROCIO</t>
  </si>
  <si>
    <t>RICARDO DE AYAZO</t>
  </si>
  <si>
    <t>DERMATOMIOSITIS</t>
  </si>
  <si>
    <t>B/CENTRO #5-12</t>
  </si>
  <si>
    <t>FANNY ISABEL</t>
  </si>
  <si>
    <t>GARCIA MESTRE</t>
  </si>
  <si>
    <t>VDA LAS GUAMAS</t>
  </si>
  <si>
    <t>3215523615
3114132265</t>
  </si>
  <si>
    <t>BRENDA BEDOYA</t>
  </si>
  <si>
    <t>12 SS C/U X MES X 3 MESES</t>
  </si>
  <si>
    <t>DEGIOVANNI MUÑOZ</t>
  </si>
  <si>
    <t>AUGUSTO ANTONIO</t>
  </si>
  <si>
    <t>20 SS C/U X 4 MESES DE FEBRERO A MAYO 2019</t>
  </si>
  <si>
    <t>MARINA ISABEL</t>
  </si>
  <si>
    <t>LARA TORRES</t>
  </si>
  <si>
    <t>DOLOR ARTICULAR</t>
  </si>
  <si>
    <t>CRA 13 A CALLE 2 B/SAN JUAN</t>
  </si>
  <si>
    <t>ULISES MANUEL</t>
  </si>
  <si>
    <t>ALMANZA ALVAREZ</t>
  </si>
  <si>
    <t>B/CENTRO CALLE 28 # 8-41</t>
  </si>
  <si>
    <t>PEDRO ANTONIO</t>
  </si>
  <si>
    <t>ALMANZA PACHECO</t>
  </si>
  <si>
    <t>CA OSEO</t>
  </si>
  <si>
    <t>CRA 16 #2-51B/LAS COLINAS    3126266942</t>
  </si>
  <si>
    <t>pdte autorizar  evento, porque la usuaria tiene orden especialista en carpeta traida el 20/03/2019, con tf 20ss, total 180ss</t>
  </si>
  <si>
    <t>CECILIA DEL SOCORRO</t>
  </si>
  <si>
    <t>CALIS CHAMORRO</t>
  </si>
  <si>
    <t>B/ San Isidro</t>
  </si>
  <si>
    <t>JESUS DEL CARMEN</t>
  </si>
  <si>
    <t>DESNUTRICION</t>
  </si>
  <si>
    <t>B/GUAYABAL CALLE 18 # 10-25</t>
  </si>
  <si>
    <t>RONAL DAVID</t>
  </si>
  <si>
    <t>B/NUEVA ESP. MZ. 21 LOTE 25</t>
  </si>
  <si>
    <t>ROSA</t>
  </si>
  <si>
    <t>DIAZ DE SARMIENTO</t>
  </si>
  <si>
    <t>FX FEMUR IZQ</t>
  </si>
  <si>
    <t>URB BONANZA CALLE 31 # 39-60</t>
  </si>
  <si>
    <t>12 ssx 3 mesesg</t>
  </si>
  <si>
    <t xml:space="preserve">OMAR </t>
  </si>
  <si>
    <t>TORRES AYAZO</t>
  </si>
  <si>
    <t>B/VILLA CAMPESTRE CALLE 44 #15A-17</t>
  </si>
  <si>
    <t>PTE ENTREGADO POR JEFE YESENIA, Y CORROBORA CON BRIANA Q ELLA PIDE LA AUTORIZACION A UNICOR</t>
  </si>
  <si>
    <t>HERNAN</t>
  </si>
  <si>
    <t>MUÑOZ JULIO</t>
  </si>
  <si>
    <t>isabel banda 3229736382</t>
  </si>
  <si>
    <t>NADIS RAMOS</t>
  </si>
  <si>
    <t>TAMBIEN TENIA TF Y TO, PERO NO HAY EN ESA ZONA</t>
  </si>
  <si>
    <t xml:space="preserve">                                                                                                                                                                                                                                                                                                                                                                                                                                                                                                                                                                                                                                                                                                                                                                                                                                                                                                                                                                                                                                                                                                                                                                                                                                                                                                                                                                                                                                                                                                                                                                                                                                                                                                                                                                                                                                                                                                                                                                                                                                                                                                                                                                                                                                                                                                                                                                                                                                                                                                                                                                                                                                                                                                                                                                                                                                                                                                                                                                                                                                                                                                                                                                                                                                                                                                                                                                                                                                                                                                                                                                                                                                                                                                                                                                                                                                                                                                                                                                                                                                                                                                                                                                                                                                                                                                                                                                                                                                                                                                                                                                                                                                                                                                                                                                                                                                                                                                                                                                                                                                                                                                                                                                                                                                                                                                                                                                                                                                                                                                                                                                                                                                                                                                                                                                                                                                                                                                                                                                                                                                                                                                                                                                                                                                                                                                                                                                                                                                                                                                                                                                                                                                                                                                                                                                                                                                                                                                                                                                                                                                                                                                                                                                                                                                                                                                                                                                                                                                                                                                                                                                                                                                                                                                                                                                                                                                                                                                                                                                                                                                                                                                                                                                                                                                                                                                                                                                                                                                                                                                                                                                                                                                                                                                                                                                                                                                                                                                                                                                                                                                                                                                                                                                                                                                                                                                                                                                                                                                                                                                                                                                                                                                                                                                                                                                                                                                                                                                                                                                                                                                                                                                                                                                                                                                                                                                                                                                                                                                                                                                                                                                                                                                                                                                                                                                                                                                                                                                                                                                                                                                                                                                                                                                                                                                                                                                                                                                                                                                                                                                                                                                                                                                                                                                                                                                                                                                                                                                                                                                                                                                                                                                                                                                                                                                                                                                                                                                                                                                                                                                                                                                                                                                                                                                                                                                                                                                                                                                                                                                                                                                                                                                                                                                                                                                                                                                                                                                                                                                                                                                                                                                                                                                                                                                                                                                                                                                                                                                                                                                                                                                                                                                                                                                                                                                                                                                       </t>
  </si>
  <si>
    <t>7858877-3106242516-3178066186</t>
  </si>
  <si>
    <t xml:space="preserve">IGNACIO </t>
  </si>
  <si>
    <t>FOLIACO DIAZ</t>
  </si>
  <si>
    <t>HEMORRAGIA INTRECEREBRAL</t>
  </si>
  <si>
    <t>VDA RIO CEDRO</t>
  </si>
  <si>
    <t>JAIRO ALFONSO</t>
  </si>
  <si>
    <t>HERNANDEZ MARTELO</t>
  </si>
  <si>
    <t>CORREGIMIENTO LOS GOMEZ</t>
  </si>
  <si>
    <t>3137882862-3002025227</t>
  </si>
  <si>
    <t>JAQUELINE DE LAS MERCEDES</t>
  </si>
  <si>
    <t>ORTIZ FIGUEROA</t>
  </si>
  <si>
    <t>CA MAMA</t>
  </si>
  <si>
    <t>MZ 3 LT 3 B/NUEVA ESPERANZA</t>
  </si>
  <si>
    <t>3014837932-3002112013</t>
  </si>
  <si>
    <t>TR C/12 H X 30 DIAS</t>
  </si>
  <si>
    <t xml:space="preserve">DILIA DE JESUS </t>
  </si>
  <si>
    <t>DOVAL CALDERIN</t>
  </si>
  <si>
    <t>PEDRO PASCUAL</t>
  </si>
  <si>
    <t>PACHECO FUENTES</t>
  </si>
  <si>
    <t xml:space="preserve">CALLE 0 # 11-30 B/SAN MARCOS                                                                                                                                                                                                                                                                                                                                                                                                                                                                                                                                                                                                                                                                                                                                                                                                                                                                                                                                                                                                                                                                                                                                                                                                                                                                                                                                                                                                                                                                                                                                                                                                                                                                                                                                                                                                                                                                                                                                                                                                                                                                                                                                                                                                                                                                                                                                                                                                                                                                                                                                                                                                                                                                                                                                                                                                                                                                                                                                                                                                                                                                                                                                                                                                                                                                                                                                                                                                                                                                                                                                                                                                                                                                                                                                                                                                                                                                                                                                                                                                                                                                                                                                                                                                                                                                                                                                                                                                                                                                                                                                                                                                                                                                                                                                                                                                                                                                                                                                                                                                                                                                                                                                                                                                                                                                                                                                                                                                                                                                                                                                                                                                                                                                                                                                                                                                                                                                                                                                                                                                                                                                                                                                                                                                                                                                                                                                                                                                                                                                                                                                                                                                                                                                                                                                                                                                                                                                                                                                                                                                                                                                                                                                                                                                                                                                                                                                                                                                                                                                                                                                                                                                                                                                                                                                                                                                                                                                                                                                                                                                                                                                                                                                                                                                                                                                                                                                                                                                                                                                                                                                         </t>
  </si>
  <si>
    <t>TR 1 X DIA X 15 DIAS</t>
  </si>
  <si>
    <t>Hospitalizada desde el 18/03/2019 informa FT Laura- FALLECE INFORMA FT JAIME26/03/2019</t>
  </si>
  <si>
    <t>6 DFE MARZO</t>
  </si>
  <si>
    <t>SANTA HELENA</t>
  </si>
  <si>
    <t>40 SS en abril, mayo y 10 en junio</t>
  </si>
  <si>
    <t>DELIMIRO RAFAEL</t>
  </si>
  <si>
    <t>MARTINEZ PACHECO</t>
  </si>
  <si>
    <t>HEMIPARESIA IZQUIERDA</t>
  </si>
  <si>
    <t>CRA 5 C # 21-40</t>
  </si>
  <si>
    <t>3135702211-3133195565</t>
  </si>
  <si>
    <t>PEDRO ARQUIMEDES</t>
  </si>
  <si>
    <t>ALVAREZ ALVAREZ</t>
  </si>
  <si>
    <t>3215429720-3185722876</t>
  </si>
  <si>
    <t>TR C/12 H X 5 DIAS</t>
  </si>
  <si>
    <t>20 SS EN MARZO Y 10 SS EN ABRIL</t>
  </si>
  <si>
    <t xml:space="preserve">tiene  ASPIRADOR </t>
  </si>
  <si>
    <t>OSORIO YANEZ</t>
  </si>
  <si>
    <t>CALLE 29  A#26A-69 B/PARAISO</t>
  </si>
  <si>
    <t>orden q recibo el 29/03/2019 SE FACTURA EN ABRIL</t>
  </si>
  <si>
    <t>B/LACHARME CRA 8 B # 14-64</t>
  </si>
  <si>
    <t>PERDOMO NISPERUZA</t>
  </si>
  <si>
    <t>TR C/12 H X 7 DIAS</t>
  </si>
  <si>
    <t>ENELDA BELISA</t>
  </si>
  <si>
    <t>ARGUMEDO QUIÑONEZ</t>
  </si>
  <si>
    <t>CA  CEREBRAL</t>
  </si>
  <si>
    <t>Cra 10 # 61b-23 torre 2 apto503Edificio sandalo b/Castellana 3017921282</t>
  </si>
  <si>
    <t>MARITZA DEL SOCORRO</t>
  </si>
  <si>
    <t>ARRIETA ROMERO</t>
  </si>
  <si>
    <t>B/MINUTO DE DIOS</t>
  </si>
  <si>
    <t xml:space="preserve">HERMINIO MANUEL </t>
  </si>
  <si>
    <t>MORELO MARTINEZ</t>
  </si>
  <si>
    <t>Garzones, calle 6 # 113 orilla del canal, b/2 de marzo, 3137678393-3003685777</t>
  </si>
  <si>
    <t>MARIA ANDREA</t>
  </si>
  <si>
    <t>LEGUIZAMON CARVAJAL</t>
  </si>
  <si>
    <t>HERNANDEZ BELLO</t>
  </si>
  <si>
    <t>PARAPARESIA</t>
  </si>
  <si>
    <t>SEVERA BERENJENA</t>
  </si>
  <si>
    <t>3116682091---3132040261</t>
  </si>
  <si>
    <t>TF 12 SS X MES X 2 MESES</t>
  </si>
  <si>
    <t>ROMERO TORDECILLA</t>
  </si>
  <si>
    <t>MIELOPATIA</t>
  </si>
  <si>
    <t>fallece informa TL Maria 01/04/2019</t>
  </si>
  <si>
    <t>EPIFANIA</t>
  </si>
  <si>
    <t>VARGAS ROMERO</t>
  </si>
  <si>
    <t>ECV ISQUEMICO</t>
  </si>
  <si>
    <t>ARIZA DE COA</t>
  </si>
  <si>
    <t>ENCARNACIÓN</t>
  </si>
  <si>
    <t xml:space="preserve"> CRA 14N 48-05 MONTEVERDE</t>
  </si>
  <si>
    <t>BERROCAL DE BERROCAL</t>
  </si>
  <si>
    <t xml:space="preserve">CARMEN ALICIA </t>
  </si>
  <si>
    <t>B/ LA ESPERANZA POR LA
PRIMERA CLL DETRAS DE LA TERMINAL DE TRANSPORTE</t>
  </si>
  <si>
    <t>MARIA DOLORES</t>
  </si>
  <si>
    <t>ARIZA DE DIAZ</t>
  </si>
  <si>
    <t>BRONQUITIS+ALZHEIMER</t>
  </si>
  <si>
    <t xml:space="preserve"> CALLE 61A N 8-48 B/CASTELLANA</t>
  </si>
  <si>
    <t>BERNAL MONTES</t>
  </si>
  <si>
    <t>MARIA</t>
  </si>
  <si>
    <t>B/LAS AGUADAS CLL PRINCIPAL</t>
  </si>
  <si>
    <t>LEONARDO RAMON</t>
  </si>
  <si>
    <t>VARGAS PEINADO</t>
  </si>
  <si>
    <t>VDA PALMA DE VINO LOS PERICOS</t>
  </si>
  <si>
    <t>ANDRES MAURICIO</t>
  </si>
  <si>
    <t>LAMBERTINEZ BERTEL</t>
  </si>
  <si>
    <t>B/URBINA CALLE 16 CRA 15       HOGAR DE PASO FRATERNIDAD</t>
  </si>
  <si>
    <t xml:space="preserve"> 3103629536-3146453894 3156588638</t>
  </si>
  <si>
    <t>KR 17 CLL 16 B/VENUS 3ETAPA</t>
  </si>
  <si>
    <t>3127301374-3162764246</t>
  </si>
  <si>
    <t xml:space="preserve">FALLECIO INFORMA </t>
  </si>
  <si>
    <t>SOL ARIZA</t>
  </si>
  <si>
    <t xml:space="preserve">  VANESA</t>
  </si>
  <si>
    <t xml:space="preserve">ANA JOAQUINA </t>
  </si>
  <si>
    <t>AGUILAR VERTEL</t>
  </si>
  <si>
    <t>MZ 4 LT 19 B LOS EBANOS</t>
  </si>
  <si>
    <t>MIRYAM ESTHER</t>
  </si>
  <si>
    <t>MASS BASTIDAS</t>
  </si>
  <si>
    <t>TV 20 NRO 9/84</t>
  </si>
  <si>
    <t>3003965567-3102470260</t>
  </si>
  <si>
    <t>SX PRIONES</t>
  </si>
  <si>
    <t xml:space="preserve"> HELENA LUCILA</t>
  </si>
  <si>
    <t>3008045465-3215399584</t>
  </si>
  <si>
    <t xml:space="preserve">CL 68 5 51 APT 101 E URB EL                                                                                                                                                                                                                                                                                                                                                                                                                                                                                                                                                                                                                                                                                                                                                                                                                                                                                                                                                                                                                                                                                                                                                                                                                                                                                                                                                                                                                                                                                                                                                                                                                                                                                                                                                                                                                                                                                                                                                                                                                                                                                                                                                                                                                                                                                                                                                                                                                                                                                                                                                                                                                                                                                                                                                                                                                                                                                                                                                                                                                                                                                                                                                                                                                                                                                                                                                                                                                                                                                                                                                                                                                                                                                                                                                                                                                                                                                                                                                                                                                                                                                                                                                                                                                                                                                                                                                                                                                                                                                                                                                                                                                                                                                                                                                                                                                                                                                                                                                                                                                                                                                                                                                                                                                                                                                                                                                                                                                                                                                                                                                                                                                                                                                                                                                                                                                                                                                                                                                                                                                                                                                                                                                                                                                                                                                                                                                                                                                                                                                                                                                                                                                                                                                                                                                                                                                                                                                                                                                                                                                                                                                                                                                                                                                                                                                                                                                                                                                                                                                                                                                                                                                                                                                                                                                                                                                                                                                                                                                                                                                                                                                                                                                                                                                                                                                                                                                                                                                                                                                                                                      </t>
  </si>
  <si>
    <t>CELMIRA ZUNILDA</t>
  </si>
  <si>
    <t>GOMEZ DE ARROYO</t>
  </si>
  <si>
    <t>KR 10 NO 41 40</t>
  </si>
  <si>
    <t xml:space="preserve"> JULIO GUILLERMO</t>
  </si>
  <si>
    <t>CORDOBA REYES</t>
  </si>
  <si>
    <t>CALLE 61 6 99</t>
  </si>
  <si>
    <t>DOMINGO SEGUNDO</t>
  </si>
  <si>
    <t>NUÑEZ HERNANDEZ</t>
  </si>
  <si>
    <t>CR 8A NO 19-10 B//BALBOA</t>
  </si>
  <si>
    <t>JULIO ALEJANDRO</t>
  </si>
  <si>
    <t xml:space="preserve">PASTRANA PACHECO </t>
  </si>
  <si>
    <t>CLL 93 #31-69</t>
  </si>
  <si>
    <t>3107173302- 3206038152</t>
  </si>
  <si>
    <t>CLAUDIO JOSE</t>
  </si>
  <si>
    <t xml:space="preserve">FERNANDEZ FERNANDEZ </t>
  </si>
  <si>
    <t>CA VEJIGA</t>
  </si>
  <si>
    <t>CLLE 34 CON 6 EDIFIO MARIA LA O</t>
  </si>
  <si>
    <t>20 ss mes x 4 meses</t>
  </si>
  <si>
    <t>fallece informa FT YENNIS EL 03/04/2019…………………….NO SE A PODIDO INICIAR DEBIDO A Q SE ENCUENTRA EN SINCELEJO Y UNA VEZ LLEGA SE HOPITALIZA</t>
  </si>
  <si>
    <t>ARNALDO</t>
  </si>
  <si>
    <t>LOPEZ ZARATE</t>
  </si>
  <si>
    <t>NAUN DE JESUS</t>
  </si>
  <si>
    <t>ALVARADO CARDOZO</t>
  </si>
  <si>
    <t xml:space="preserve">ANA GLADIS </t>
  </si>
  <si>
    <t>TUIRAN PEREZ</t>
  </si>
  <si>
    <t xml:space="preserve"> B/ Santa Fe MZ 27  LT 16</t>
  </si>
  <si>
    <t xml:space="preserve">FRANCISCA </t>
  </si>
  <si>
    <t>HERNANDEZ CANTERO</t>
  </si>
  <si>
    <t>VoBo del 03/04/2019 x 3 meses (abril, mayo, junio), total 48ss. entregado por la jefe Yesenia</t>
  </si>
  <si>
    <t>VoBo ABRIL 02/04/2019   entregado por la jefe Yesenia</t>
  </si>
  <si>
    <t>OMAR DAVID</t>
  </si>
  <si>
    <t>NEGRETE HOYOS</t>
  </si>
  <si>
    <t>EVELIN PAOLA</t>
  </si>
  <si>
    <t>CHICA CAVADIA</t>
  </si>
  <si>
    <t>FX 2 VERTEBRA CERVICAL</t>
  </si>
  <si>
    <t>B/LA PRADERA   MZ 95 LT 12 ETAPA 2</t>
  </si>
  <si>
    <t xml:space="preserve">VoBo para abril 29/03/2019                                                 VoBo para abril 05/04/2019                                                           </t>
  </si>
  <si>
    <t>3006894880-3148489020-3178402525</t>
  </si>
  <si>
    <t>3054582930- 3135821479</t>
  </si>
  <si>
    <t xml:space="preserve">MARTINA </t>
  </si>
  <si>
    <t>LUNA MENDOZA</t>
  </si>
  <si>
    <t>LUISA FERNANDA</t>
  </si>
  <si>
    <t>GUEVARA GALVIS</t>
  </si>
  <si>
    <t>COTORRA</t>
  </si>
  <si>
    <t>NUEVO MILENIO B/LA COQUERA 3126234333</t>
  </si>
  <si>
    <t>PUELLO ARIZ</t>
  </si>
  <si>
    <t>SECUELAS ECV</t>
  </si>
  <si>
    <t>FALLECE INFORMA FT BIABELSI EL 06/04/2019</t>
  </si>
  <si>
    <t>B/BOSQUE CRA 10 #9-23  3226987190-3107425906</t>
  </si>
  <si>
    <r>
      <t xml:space="preserve">VoBo 08/04/2019 para el mes de </t>
    </r>
    <r>
      <rPr>
        <b/>
        <sz val="11"/>
        <color theme="8" tint="-0.499984740745262"/>
        <rFont val="Calibri"/>
        <family val="2"/>
        <scheme val="minor"/>
      </rPr>
      <t>ABRIL</t>
    </r>
  </si>
  <si>
    <t xml:space="preserve">YARA </t>
  </si>
  <si>
    <t>BARRIENTOS VALVERDE</t>
  </si>
  <si>
    <t>SECUELAS HERIDA POR ARMA DE FUEGO</t>
  </si>
  <si>
    <t>B/SANTA FE MZ12 LT 9</t>
  </si>
  <si>
    <t>20 ss x mes x 4 meses</t>
  </si>
  <si>
    <t>ANDRES GUILLERMO</t>
  </si>
  <si>
    <t>THERAN PETRO</t>
  </si>
  <si>
    <t>KM 23 VIA PLANETA RICA</t>
  </si>
  <si>
    <t>3XSEMX6M</t>
  </si>
  <si>
    <t>AURELIANO</t>
  </si>
  <si>
    <t>ORTIZ PEREZ</t>
  </si>
  <si>
    <t>Marina Rosa Ortiz 3106551404</t>
  </si>
  <si>
    <t>20 SS MES C/U X 3 MESES</t>
  </si>
  <si>
    <t>CARLOS JOSE</t>
  </si>
  <si>
    <t>MERCADO BORJA</t>
  </si>
  <si>
    <t>CRA 7 # 4-51 B/20 JULIO MOCARI</t>
  </si>
  <si>
    <t>TERESA ISABEL</t>
  </si>
  <si>
    <t>CALVO DE LA OSSA</t>
  </si>
  <si>
    <t>CALLE 17 A # 9 - 25 B/LA JULIA</t>
  </si>
  <si>
    <t>3005541280-3003409514-3103117119</t>
  </si>
  <si>
    <t>GOMEZ ALMANZA</t>
  </si>
  <si>
    <t>DG 4 # 6-84 B/LA GRANJA</t>
  </si>
  <si>
    <t>GUSTAVO MANUEL</t>
  </si>
  <si>
    <t>MEDRANO PEREZ</t>
  </si>
  <si>
    <t>MZ G LT 12 B/PANZENU</t>
  </si>
  <si>
    <t>3145701980-3113786553</t>
  </si>
  <si>
    <t xml:space="preserve">LUCINDA SOFIA </t>
  </si>
  <si>
    <t xml:space="preserve">OTERO DE VERGARA </t>
  </si>
  <si>
    <t>ACV-FX CADERA</t>
  </si>
  <si>
    <t xml:space="preserve">MARCO MANUEL </t>
  </si>
  <si>
    <t>BEDOLLA SANTANA</t>
  </si>
  <si>
    <t>YANETH MARGOTH</t>
  </si>
  <si>
    <t>JIMENEZ SANCHEZ</t>
  </si>
  <si>
    <t>VDA MANGUELITO</t>
  </si>
  <si>
    <t xml:space="preserve"> 3116798371---3113977107</t>
  </si>
  <si>
    <t>RODRIGUEZ</t>
  </si>
  <si>
    <t>SALIM</t>
  </si>
  <si>
    <t>CHADID FERRARY</t>
  </si>
  <si>
    <t>NEUMONICA BACTERIANA</t>
  </si>
  <si>
    <t>P5 DG 4 #10-08</t>
  </si>
  <si>
    <t>3165522967-3057884573</t>
  </si>
  <si>
    <t>TR C/8 H X 3 DIAS</t>
  </si>
  <si>
    <t>RODRIGO ANTONIO</t>
  </si>
  <si>
    <t>ALVAREZ MORALES</t>
  </si>
  <si>
    <t>B/EL ALIVIO MZ P LT18                 3106262078-3012937020</t>
  </si>
  <si>
    <t>ENTREGADO POR DINA LUZ CABEZA EL 10/04/2019 quien informa que el paciente es permanente</t>
  </si>
  <si>
    <t>UBALDA CRISTINA</t>
  </si>
  <si>
    <t>SAMUEL</t>
  </si>
  <si>
    <t>USME MARIN</t>
  </si>
  <si>
    <t xml:space="preserve"> Mz 7 Lt 1 Villa Jimenez</t>
  </si>
  <si>
    <t xml:space="preserve">DEVIS MARIA </t>
  </si>
  <si>
    <t>ESPITIA DE HERNANDEZ</t>
  </si>
  <si>
    <t>CA CERVIX+OSTEOPOROSIS</t>
  </si>
  <si>
    <t xml:space="preserve">RAMONA </t>
  </si>
  <si>
    <t>RODIÑO ESPITIA</t>
  </si>
  <si>
    <t>JOSE MIGUEL</t>
  </si>
  <si>
    <t>CASTRO URANGO</t>
  </si>
  <si>
    <t>SECUELAS ACV+ALZHEIMER</t>
  </si>
  <si>
    <t>EDWIN ENRIQUE</t>
  </si>
  <si>
    <t>RAMIREZ MADERA</t>
  </si>
  <si>
    <t>SECUELAS NEUROLOGICAS TRAUMATISMO MEDULAR</t>
  </si>
  <si>
    <t>GRESIS DEL CARMEN</t>
  </si>
  <si>
    <t>HOYOS URANGO</t>
  </si>
  <si>
    <t>ARLEDIS LUCIA</t>
  </si>
  <si>
    <t>BLANCA NIEVES</t>
  </si>
  <si>
    <t>GONZALEZ RAMOS</t>
  </si>
  <si>
    <t>ESPONDILOLISTESIS + ALZHEIMER</t>
  </si>
  <si>
    <t>FELIX FRANCISCO</t>
  </si>
  <si>
    <t>ESPITIA FLOREZ</t>
  </si>
  <si>
    <t>FALLECIO INFORMA FT KARY 10/04/2019</t>
  </si>
  <si>
    <t>MARIA AGUEDA</t>
  </si>
  <si>
    <t>MARTINEZ RODIÑO</t>
  </si>
  <si>
    <t>EPOC + ALZHEIMER</t>
  </si>
  <si>
    <t>MELANIA</t>
  </si>
  <si>
    <t>DEL TORO NUÑEZ</t>
  </si>
  <si>
    <t>CALLE 2 # 9-38 B/SANTA TERESITA</t>
  </si>
  <si>
    <t xml:space="preserve">GABRIEL ANTONIO </t>
  </si>
  <si>
    <t>ESPITIA CORCHO</t>
  </si>
  <si>
    <t>ANTONIO MARIA</t>
  </si>
  <si>
    <t>REYES CORTES</t>
  </si>
  <si>
    <t xml:space="preserve">JUAN ANTONIO </t>
  </si>
  <si>
    <t>VEGA DORIA</t>
  </si>
  <si>
    <t>Los monos</t>
  </si>
  <si>
    <t>3126113159-</t>
  </si>
  <si>
    <t>NURYS ALEIRA</t>
  </si>
  <si>
    <t>DE LA BARRERA LUNA</t>
  </si>
  <si>
    <t>FABIO ANTONIO</t>
  </si>
  <si>
    <t>TAMARA MARTINEZ</t>
  </si>
  <si>
    <t>B/MOCARI MZ G LT 24 SECOTR PAZ DEL NORTE</t>
  </si>
  <si>
    <t>TR C/6 H X 7 DIAS</t>
  </si>
  <si>
    <t>HULDA</t>
  </si>
  <si>
    <t>PETRO COGOLLO</t>
  </si>
  <si>
    <t>PARKINSON + EPOC</t>
  </si>
  <si>
    <t>CONSORCIA ISABEL</t>
  </si>
  <si>
    <t>CASTELLANOS GARCES</t>
  </si>
  <si>
    <t>B/VILLA MARIA</t>
  </si>
  <si>
    <t>EDUARDO MANUEL</t>
  </si>
  <si>
    <t>AURA LORENZA</t>
  </si>
  <si>
    <t>LOBELO CARMENO</t>
  </si>
  <si>
    <t>NEUMONIA + SECUELAS ACV</t>
  </si>
  <si>
    <t>INFORMA FT CLAUDIA 12/04/2019</t>
  </si>
  <si>
    <t>ANA JULIA</t>
  </si>
  <si>
    <t>MARTINEZ DE BARRIOS</t>
  </si>
  <si>
    <t>FRANCISCO ESTEBAN</t>
  </si>
  <si>
    <t>BALLESTA JIMENEZ</t>
  </si>
  <si>
    <t>22/04/2019 al 05/05/2019: 6 ss                                 06/05/2019 al 05/06/2019: 12 ss                         06/06/2019 al 05/07/2019: 12 ss                                                            06/07/2019 al 05/08/2019: 6ss</t>
  </si>
  <si>
    <t xml:space="preserve">ROCIO CAICEDO </t>
  </si>
  <si>
    <t>ORDEN ENTREGA EL 12/04/2019</t>
  </si>
  <si>
    <t>tf 6 - tl 6</t>
  </si>
  <si>
    <t>BARRIOS PIEDRAHITA</t>
  </si>
  <si>
    <t>MZ A LT4 B/VENECIA</t>
  </si>
  <si>
    <t>3002609509-3126344876</t>
  </si>
  <si>
    <t>TR C/6 H X 6 DIAS</t>
  </si>
  <si>
    <t>LUIS CARLOS</t>
  </si>
  <si>
    <t>GALEANO MADERA</t>
  </si>
  <si>
    <t>Vda Poblado - LA COROZA</t>
  </si>
  <si>
    <t xml:space="preserve">LA FT </t>
  </si>
  <si>
    <t>ELIAS MANUEL</t>
  </si>
  <si>
    <t>CUAVAS GONZALEZ</t>
  </si>
  <si>
    <t>VDA NEIVA</t>
  </si>
  <si>
    <t>3103135143-- 3126951998</t>
  </si>
  <si>
    <t xml:space="preserve">WUALI YOINER </t>
  </si>
  <si>
    <t>SUAREZ DUEÑAS</t>
  </si>
  <si>
    <t>EL QUEMA'O</t>
  </si>
  <si>
    <t>PARAPLEJIA-TRAUMATISMO RAQUIMEDULAR</t>
  </si>
  <si>
    <t>CUADRIPLEJIA-TRAUMATISMO RAQUIMEDULAR</t>
  </si>
  <si>
    <t>ROBIRO DE JESUS</t>
  </si>
  <si>
    <t>3045713341-</t>
  </si>
  <si>
    <t>CARCAMO CASTRO</t>
  </si>
  <si>
    <t>CA PROSTATA</t>
  </si>
  <si>
    <t>VIRGINIA DEL CARMEN</t>
  </si>
  <si>
    <t>HORMISDA CUAVAS</t>
  </si>
  <si>
    <t>CALLE 43 CON 1RA N°43-78 B/SUCRE</t>
  </si>
  <si>
    <t>PEDIR MENSUAL</t>
  </si>
  <si>
    <t>ROSARIO ROMERO</t>
  </si>
  <si>
    <t>EPOC+ALZHEIMER</t>
  </si>
  <si>
    <t>B/LAS DELICIAS</t>
  </si>
  <si>
    <t>3106703618- 3114358430</t>
  </si>
  <si>
    <t>BRINNY JALAL</t>
  </si>
  <si>
    <t>TF 30 X MES + TR 60X MES ….. X 6 MESES</t>
  </si>
  <si>
    <t>CARMEN ROSA</t>
  </si>
  <si>
    <t>QUINTANA DE SOTO</t>
  </si>
  <si>
    <t>3215110014-3214764931-8980206</t>
  </si>
  <si>
    <t>VDA BOCA DE LA CEIBA CRA 1 B # 3-8</t>
  </si>
  <si>
    <t>INICIA EL 22/04/2019 DE ACUASDO CON EL FAMILIAR.SIN EMBARGO LAS FECHAS DEBEN QUEDAR DE ABRIKL PARA FACTURACION</t>
  </si>
  <si>
    <t>SE ENCUENTRA HOSPITALIZADO INFORMA FT JAIME 20/03/2019 - 29/03/2019</t>
  </si>
  <si>
    <t>ANA JOAQUINA</t>
  </si>
  <si>
    <t>LOPEZ IBAÑEZ</t>
  </si>
  <si>
    <t>B/LA CRUZ  #4-78</t>
  </si>
  <si>
    <t>PETRO ORTEGA</t>
  </si>
  <si>
    <t>MZ 22 LOTE 18 BARRIO NUEVA ESPERANZA</t>
  </si>
  <si>
    <t xml:space="preserve">DINA LUZ </t>
  </si>
  <si>
    <t>NIETO FUNES</t>
  </si>
  <si>
    <t xml:space="preserve"> BARRIO LA
VICTORIA MZ 27 LT 6</t>
  </si>
  <si>
    <t>FELIPE BENIGNO</t>
  </si>
  <si>
    <t>FERRER GUTIERREZ</t>
  </si>
  <si>
    <t>FALLECE INFORMA FT AURA EL 16/04/2019</t>
  </si>
  <si>
    <t xml:space="preserve">MARIA LUISA </t>
  </si>
  <si>
    <t>fallece informa FT BRINNY EL 17/04/2019</t>
  </si>
  <si>
    <t>CORCHO GUZMAN</t>
  </si>
  <si>
    <t>ISABEL MARIA</t>
  </si>
  <si>
    <t>ROSARIO DE SIBAJA</t>
  </si>
  <si>
    <t>3106458085-3046060063</t>
  </si>
  <si>
    <t>CRA 2 # 6-33 B/LA COQUERA</t>
  </si>
  <si>
    <t>JAIRO MANUEL</t>
  </si>
  <si>
    <t>JIMENEZ BULA</t>
  </si>
  <si>
    <t>PACIENTE QUE SE SUSPENDE DEBIDO A SOLICITUD REALZIADA POR MUTUAL SER EL PASADO 16/04/2019 VIA CORREO ELECTRONICO</t>
  </si>
  <si>
    <t>TBC+EPOC</t>
  </si>
  <si>
    <t>VDA PALMA DE VINO</t>
  </si>
  <si>
    <t>TR C/12 H X 15 DIAS</t>
  </si>
  <si>
    <t>JOSE ANANIAS</t>
  </si>
  <si>
    <t>HERNANDEZ ROMERO</t>
  </si>
  <si>
    <t>FRATERNIDAD HOGAR DE PASO</t>
  </si>
  <si>
    <t>SECUELAS TEC</t>
  </si>
  <si>
    <t>CONSOLACIÓN CECILIA</t>
  </si>
  <si>
    <t>GONZALEZ GUERRA</t>
  </si>
  <si>
    <t>B/EL PEPO DG 1 # 2 BIS -23</t>
  </si>
  <si>
    <t>ERLINDA CECILIA</t>
  </si>
  <si>
    <t>BRU RINCON</t>
  </si>
  <si>
    <t>NEUMONIA</t>
  </si>
  <si>
    <t>B/SIMON BOLIVAR MZ I LT 6</t>
  </si>
  <si>
    <t>3126313867-3104948652</t>
  </si>
  <si>
    <t>HECTOR MIGUEL</t>
  </si>
  <si>
    <t>B/ EL PARAISO MZ B4 LT 14</t>
  </si>
  <si>
    <t>3147878142 -3142239873</t>
  </si>
  <si>
    <t>FALLECE INFORMA JEFE YESENIA EL 22/04/2019</t>
  </si>
  <si>
    <t>FALLECE INFORMA JEFE YESENIA 20/04/2019</t>
  </si>
  <si>
    <t>ENITH ANTONIA</t>
  </si>
  <si>
    <t xml:space="preserve">CARDENAS DE PENICHE </t>
  </si>
  <si>
    <t xml:space="preserve">VDA VILLA FLORES CERCA A CASA FLORES </t>
  </si>
  <si>
    <t xml:space="preserve">AURA </t>
  </si>
  <si>
    <t>CHICA SEÑA</t>
  </si>
  <si>
    <t>SECTOR LOX BIGHT</t>
  </si>
  <si>
    <t>MATEO</t>
  </si>
  <si>
    <t xml:space="preserve">OLIVERA HERRERA </t>
  </si>
  <si>
    <t>B SANTA ELENA</t>
  </si>
  <si>
    <t>ALANA SOFIA</t>
  </si>
  <si>
    <t>ORTEGA SIERRA</t>
  </si>
  <si>
    <t>3216078022- 3145428184</t>
  </si>
  <si>
    <t>HOMER</t>
  </si>
  <si>
    <t xml:space="preserve">BALLESTEROS FLOREZ </t>
  </si>
  <si>
    <t>CALLE 14 BARRIO ANDES</t>
  </si>
  <si>
    <t>ROSMIRA RAQUEL</t>
  </si>
  <si>
    <t>REDONDO DE HERNANDEZ</t>
  </si>
  <si>
    <t>3135477373-3205074501</t>
  </si>
  <si>
    <t>TR C/4H X 6 DIAS</t>
  </si>
  <si>
    <t>MANUEL DEL CRISTO</t>
  </si>
  <si>
    <t>GOMEZ MACEA</t>
  </si>
  <si>
    <t>CALLE 32 #12-13 HOGAR DE PASO HUESITO SANO</t>
  </si>
  <si>
    <t>FREDY MANUEL</t>
  </si>
  <si>
    <t>BEDOYA USTA</t>
  </si>
  <si>
    <t>FINCA EL SOCORRO</t>
  </si>
  <si>
    <t>NUÑEZ CUADRADO</t>
  </si>
  <si>
    <t>EFRAIN ENRIQUE</t>
  </si>
  <si>
    <t>LOPEZ GARCIA</t>
  </si>
  <si>
    <t>CALLE 16 #17C-11 B/TACASUAN 2</t>
  </si>
  <si>
    <t>3102305783-7868452</t>
  </si>
  <si>
    <t>JOSE MARTIN</t>
  </si>
  <si>
    <t>SALCEDO ARNEDO</t>
  </si>
  <si>
    <t>TR 1 X DIA X 10 DIAS</t>
  </si>
  <si>
    <t>BERTHA</t>
  </si>
  <si>
    <t>MANGONEZ PAEZ</t>
  </si>
  <si>
    <t>FALLECE INFORMA FT STEFANY EL 22/04/2019</t>
  </si>
  <si>
    <t>HOSPITALIZADA, INFORMA FT JAIME EL 22/04/2019</t>
  </si>
  <si>
    <t>SUNILDA DEL CARMEN</t>
  </si>
  <si>
    <t>RAMIREZ BALLESTEROS</t>
  </si>
  <si>
    <t>FECHA DE INICIO EL 22/04/2019 ENTREGADO POR LA JEFE YESENIA</t>
  </si>
  <si>
    <t>Calle 38 con cra 10</t>
  </si>
  <si>
    <t>3147369637-3147312653-3053055474</t>
  </si>
  <si>
    <t>Aut. Por abril-mayo</t>
  </si>
  <si>
    <t>TRASLADADO A URGENCIAS INFORMA FT JAIME EL 23/04/2019</t>
  </si>
  <si>
    <t>EDILBERTO ANTONIO</t>
  </si>
  <si>
    <t>ALVAREZ BELLO</t>
  </si>
  <si>
    <t>VDA TERMOELECTRICA</t>
  </si>
  <si>
    <t>3005634189-3205030153</t>
  </si>
  <si>
    <t>20 SS C/U X 3 MESES</t>
  </si>
  <si>
    <t>INES</t>
  </si>
  <si>
    <t>CARRASCAL MADERA</t>
  </si>
  <si>
    <t>FX RADIO DISTAL</t>
  </si>
  <si>
    <t>VDA EL PROGRESO</t>
  </si>
  <si>
    <t xml:space="preserve"> 3114159213 - 3116377867</t>
  </si>
  <si>
    <t>MARIA GUILLERMINA</t>
  </si>
  <si>
    <t>VARGAS GONZALEZ</t>
  </si>
  <si>
    <t xml:space="preserve">barrio los Robles 2 mz p lote 24 </t>
  </si>
  <si>
    <t>3145880355- 3103537488</t>
  </si>
  <si>
    <t>20 SS MES X 2 MESES</t>
  </si>
  <si>
    <t>LA AUTORIZACIONY LA ORDEN MEDICA LA TRAE LA FONO MARIA BERTHEL A FIN DE MES DE ABRIL.</t>
  </si>
  <si>
    <t>JOAQUINA</t>
  </si>
  <si>
    <t>BOLIVAR</t>
  </si>
  <si>
    <t>EPOC +  ACV</t>
  </si>
  <si>
    <t>8 SS AL MES DE C/U  X 3 MESES,                     eltimo paquete facturar del 25/04 al 24/05</t>
  </si>
  <si>
    <t>FALLECIO INFORMA FT LAURA 22/04/2019</t>
  </si>
  <si>
    <t>fallece INFORMA JEFE YESENIA EL 24/04/2019</t>
  </si>
  <si>
    <t>VALERIA</t>
  </si>
  <si>
    <t>FERNANDEZ MENDOZA</t>
  </si>
  <si>
    <t>HEMORRAGIA GASTROINTESTINAL</t>
  </si>
  <si>
    <t>MZ Z LT 10 B/PANZENU</t>
  </si>
  <si>
    <t xml:space="preserve">BALBINA </t>
  </si>
  <si>
    <t>TAPIA DE YEPES</t>
  </si>
  <si>
    <t xml:space="preserve">3182964924- 3206830180-3126176558 </t>
  </si>
  <si>
    <t>ABIGAIL SUSANA</t>
  </si>
  <si>
    <t>MONTES ROMERO</t>
  </si>
  <si>
    <t>COLOMBOY</t>
  </si>
  <si>
    <t xml:space="preserve">JESUS TADEO </t>
  </si>
  <si>
    <t>MARTINEZ BARRERA</t>
  </si>
  <si>
    <t>IGNACIO RODOLFO</t>
  </si>
  <si>
    <t>AGAMEZ PUENTE</t>
  </si>
  <si>
    <t xml:space="preserve">MERCEDES JULIA </t>
  </si>
  <si>
    <t>ROZO</t>
  </si>
  <si>
    <t>20SS MES X  3 MESES</t>
  </si>
  <si>
    <t xml:space="preserve">JEAN CARLOS </t>
  </si>
  <si>
    <t>BETTIN CARRASCAL</t>
  </si>
  <si>
    <t>SAMPUES</t>
  </si>
  <si>
    <t>CALLE 28 C # 14 D -19 URB LOS LAURELES B/12 OCTUBRE</t>
  </si>
  <si>
    <t>3122100130-3114005697-3046474389</t>
  </si>
  <si>
    <t>RUDY MARQUEZ</t>
  </si>
  <si>
    <t>LUISA MARQUEZ</t>
  </si>
  <si>
    <t>TF 2 X DIA X 30 DIAS</t>
  </si>
  <si>
    <t>NO TENEMOS PROF</t>
  </si>
  <si>
    <t>SE ENCUENTRA HOSPITALIZADA INFORMA FT FREDDY 25/04/2019</t>
  </si>
  <si>
    <t xml:space="preserve">VIVIANA </t>
  </si>
  <si>
    <t>MARQUEZ IZQUIERDO</t>
  </si>
  <si>
    <t>MANGUELITO</t>
  </si>
  <si>
    <t>RICARDO JHOSUE</t>
  </si>
  <si>
    <t>PEREZ TENORIO</t>
  </si>
  <si>
    <t>Mz 38 Lt 22 Santa fe</t>
  </si>
  <si>
    <t>3127172797 - 3113184683</t>
  </si>
  <si>
    <t>ISABEL ZAIDA</t>
  </si>
  <si>
    <t>SEVILLA LOBO</t>
  </si>
  <si>
    <t>B/PORTAL DE ARMERIA</t>
  </si>
  <si>
    <t>TR C/6H X 5 DIAS</t>
  </si>
  <si>
    <t xml:space="preserve">NELSY MIGUELINA </t>
  </si>
  <si>
    <t>ARGUMEDO OYOLA</t>
  </si>
  <si>
    <t>ENCEFALOPATIA NO ESPECIFICADA</t>
  </si>
  <si>
    <t>RABO LARGO</t>
  </si>
  <si>
    <t>JHON DAIDER</t>
  </si>
  <si>
    <t>PILA ESPINOZA</t>
  </si>
  <si>
    <t>JULIO CESAR</t>
  </si>
  <si>
    <t>HTA+DB+EPOC</t>
  </si>
  <si>
    <t xml:space="preserve">calle 28 #21-17  B/SAN JOSE  </t>
  </si>
  <si>
    <t>3219376090-3113770934-3228002461</t>
  </si>
  <si>
    <t>x 4 meses</t>
  </si>
  <si>
    <t>ANGELA MARIA</t>
  </si>
  <si>
    <t>RIOS DE CORONADO</t>
  </si>
  <si>
    <t>BIABELSIS VIDAL</t>
  </si>
  <si>
    <t>3213261396 - 3022386656</t>
  </si>
  <si>
    <t>FX VERTEBRA LUMBAR</t>
  </si>
  <si>
    <t>CATALINA DEL CARMEN</t>
  </si>
  <si>
    <t>SANDON PEDROZA</t>
  </si>
  <si>
    <t>DEMENCIA</t>
  </si>
  <si>
    <t>PADRON CORDERO</t>
  </si>
  <si>
    <t>LUPUS</t>
  </si>
  <si>
    <t>MARTINEZ</t>
  </si>
  <si>
    <t>3136340903-3234389558</t>
  </si>
  <si>
    <t xml:space="preserve"> GUZMAN VERGARA</t>
  </si>
  <si>
    <t>ANA MILENA</t>
  </si>
  <si>
    <t xml:space="preserve"> AGUDELO ARTEAGA</t>
  </si>
  <si>
    <t>B/PANAMA MZ 1 LT 11</t>
  </si>
  <si>
    <t>3152570625-3156466209</t>
  </si>
  <si>
    <t>MARIA FENICIA</t>
  </si>
  <si>
    <t>PEREZ DE BARRIENTOS</t>
  </si>
  <si>
    <t>fx femur derecho</t>
  </si>
  <si>
    <t>Calle 57 # 7-81 castellana</t>
  </si>
  <si>
    <t>301 4310832</t>
  </si>
  <si>
    <t>pdte orden en carpeta del 30/04/2019 con 20 ss x tres meses para iniciar 01/06/2019 y finalizar 30/08/2019</t>
  </si>
  <si>
    <r>
      <rPr>
        <b/>
        <sz val="10"/>
        <color theme="1"/>
        <rFont val="Calibri"/>
        <family val="2"/>
        <scheme val="minor"/>
      </rPr>
      <t xml:space="preserve">pdte orden en carpeta con 8ss de c/u con als sigueintes fechas. (pdte para dfacturar25/04 al 24/05) </t>
    </r>
    <r>
      <rPr>
        <sz val="10"/>
        <color theme="1"/>
        <rFont val="Calibri"/>
        <family val="2"/>
        <scheme val="minor"/>
      </rPr>
      <t>Debido a que el paquete anterior se corrio, las siguientes seran las fechas reales de atencion: mes 1 del  23/04/2019 al 22/05/2019, mes 2 del 23/05/2019 al 22/06/2019, mes 3 del 23/06/2019 al 22/07/2019.                                                                                                                                          fechas en papel para la facturación:  mes 1 del 23/05/2019 al 22/06/2019, mes 2 del 23/06/2019 al 22/07/2019, mes 3 del 23/07/2019 al 22/08/2019.</t>
    </r>
  </si>
  <si>
    <t>fallece el 20/04/2019</t>
  </si>
  <si>
    <t xml:space="preserve">LUIS ALFONSO </t>
  </si>
  <si>
    <t>BERMUDEZ MORENO</t>
  </si>
  <si>
    <t>B/SAN JOSE CRA 16 D # 38-37</t>
  </si>
  <si>
    <t>3127504765-3004082709</t>
  </si>
  <si>
    <t>ELODIA MARIA</t>
  </si>
  <si>
    <t>ARIZA CASARRUBIA</t>
  </si>
  <si>
    <t>POSTQX</t>
  </si>
  <si>
    <t>VDA COROZA CABUYA</t>
  </si>
  <si>
    <t>ARMANDO ANTONIO</t>
  </si>
  <si>
    <t>MARQUEZ MENDOZA</t>
  </si>
  <si>
    <t>castellana calle 58 número 7 -81</t>
  </si>
  <si>
    <t xml:space="preserve">321 539 0981 - 782 5465 </t>
  </si>
  <si>
    <t xml:space="preserve">ORTEGA HERNANDEZ </t>
  </si>
  <si>
    <t>EMMANUEL</t>
  </si>
  <si>
    <t>B VILLA ESPERANZA</t>
  </si>
  <si>
    <t>MARIA EDITH</t>
  </si>
  <si>
    <t xml:space="preserve"> JORGE ELIAS</t>
  </si>
  <si>
    <t>CONDE MADERA</t>
  </si>
  <si>
    <t>JOSE DAVID</t>
  </si>
  <si>
    <t xml:space="preserve">PEÑA LANCE </t>
  </si>
  <si>
    <t xml:space="preserve"> JUANA JOSEFA</t>
  </si>
  <si>
    <t>BRR 20 DE JULIO CRA 10 CLL4 N 5 07</t>
  </si>
  <si>
    <t>seCUELAS ACV</t>
  </si>
  <si>
    <t>PASTRANA DIAZ</t>
  </si>
  <si>
    <t>ESTHER MARIA</t>
  </si>
  <si>
    <t>FX SUBTROCANTERICA</t>
  </si>
  <si>
    <t>GUILLERMO RAFAEL</t>
  </si>
  <si>
    <t xml:space="preserve">ARGEL ORTIZ </t>
  </si>
  <si>
    <t>LC CADERA Y MUSLO</t>
  </si>
  <si>
    <t>CALLE 31 NO 5 61</t>
  </si>
  <si>
    <t>CARMEN BEATRIZ</t>
  </si>
  <si>
    <t xml:space="preserve">MADERA DE MESTRA </t>
  </si>
  <si>
    <t>CALLE 23 10 103 BARRIO CENTRO</t>
  </si>
  <si>
    <t xml:space="preserve"> MERLY SOFIA</t>
  </si>
  <si>
    <t>OVIEDO NAVARRO</t>
  </si>
  <si>
    <t>PCI ESPASTICA</t>
  </si>
  <si>
    <t>LOS GARZONES LAS BABILLAS</t>
  </si>
  <si>
    <t>ARIEL</t>
  </si>
  <si>
    <t xml:space="preserve">MORALES RAMIREZ </t>
  </si>
  <si>
    <t>B DIVINO NIÑO</t>
  </si>
  <si>
    <t>JUAN JOSE</t>
  </si>
  <si>
    <t>GLORIA MARIA</t>
  </si>
  <si>
    <t>PACHECO SEÑA</t>
  </si>
  <si>
    <t>VEREDA SALITRAL</t>
  </si>
  <si>
    <t xml:space="preserve">LOZANO TABOADA </t>
  </si>
  <si>
    <t>vda casa florez</t>
  </si>
  <si>
    <t>EMERITA</t>
  </si>
  <si>
    <t xml:space="preserve">FLOREZ ARRIETA </t>
  </si>
  <si>
    <t>BARRIO SANTAFE MZ 4 LOTE 9 354</t>
  </si>
  <si>
    <t>SIXTA TULIA</t>
  </si>
  <si>
    <t xml:space="preserve">HERNANDEZ DE LOPEZ </t>
  </si>
  <si>
    <t>CGTO TIERRA ALTICA</t>
  </si>
  <si>
    <t xml:space="preserve">LILIA </t>
  </si>
  <si>
    <t>GONZALEZ COGOLLO</t>
  </si>
  <si>
    <t>VILLA CIELO SECTOR EL ANHELO MZ 16 LT 4</t>
  </si>
  <si>
    <t>3126589904-3229320779</t>
  </si>
  <si>
    <t>12 SS AL MES X 3 MESES</t>
  </si>
  <si>
    <t xml:space="preserve">CENILDA </t>
  </si>
  <si>
    <t xml:space="preserve"> JUAN DAVID</t>
  </si>
  <si>
    <t>GARCIA MALDONADO</t>
  </si>
  <si>
    <t>CALLE 59 NUMERO 10 14</t>
  </si>
  <si>
    <t>DALIA YULIETH</t>
  </si>
  <si>
    <t xml:space="preserve">MORELO PACHECO </t>
  </si>
  <si>
    <t>JAIME ANDRES</t>
  </si>
  <si>
    <t xml:space="preserve">ALTAMIRANDA RIASCOS </t>
  </si>
  <si>
    <t>B BRISAS</t>
  </si>
  <si>
    <t xml:space="preserve">EULISES GABRIEL </t>
  </si>
  <si>
    <t>JERONIMO ORTEGA</t>
  </si>
  <si>
    <t>fx femur</t>
  </si>
  <si>
    <t xml:space="preserve"> B/ Santa teresa cll 2 cra 20  </t>
  </si>
  <si>
    <t>CAATH SE PASO INFORMA FT JAIME 03/05/2019</t>
  </si>
  <si>
    <t>JULIAN ANTONIO</t>
  </si>
  <si>
    <t>TR-TF</t>
  </si>
  <si>
    <t>3218252887-3116806999</t>
  </si>
  <si>
    <t>FALLECE INFORMA FREDDY 04/05/2019</t>
  </si>
  <si>
    <t>FALLECIO INFORMA FT AURA MONTALVO EL 06/05/2019</t>
  </si>
  <si>
    <t>JOSE VICENTE</t>
  </si>
  <si>
    <t>GUERRERO COLON</t>
  </si>
  <si>
    <t>B/SAN JOSE LA GAITA CRA 29</t>
  </si>
  <si>
    <t>VICTORIA DEL SOCORRO</t>
  </si>
  <si>
    <t>PACHECO CORONADO</t>
  </si>
  <si>
    <t>AV BOLIVAR 12 # 12-40</t>
  </si>
  <si>
    <t>15 SS X MES C/U X 4 MESES</t>
  </si>
  <si>
    <t>ESTEBANA DEL CARMEN</t>
  </si>
  <si>
    <t>NOBLE RAMOS</t>
  </si>
  <si>
    <t>IRC</t>
  </si>
  <si>
    <t>B/BUENAVISTA CLL 11 # 8 B -26</t>
  </si>
  <si>
    <t>TELESFORO</t>
  </si>
  <si>
    <t xml:space="preserve"> ACOSTA ACOSTA</t>
  </si>
  <si>
    <t>SX POSTTROMBOTICO</t>
  </si>
  <si>
    <t xml:space="preserve"> Mz 105 Lt 6 4 etapa  B/LA PRADERA </t>
  </si>
  <si>
    <t>7897269 - 3017882220</t>
  </si>
  <si>
    <t xml:space="preserve">ELIANA </t>
  </si>
  <si>
    <t>SOTO TORO</t>
  </si>
  <si>
    <t>FALLECIO HACE UN MES INFORMA EL FT JAIME 07/05/2019</t>
  </si>
  <si>
    <t>BULA DE BELLO</t>
  </si>
  <si>
    <t>LAURA ALVAREZ</t>
  </si>
  <si>
    <t>B/NUEVA COLOMBIA</t>
  </si>
  <si>
    <t>MONTERIA: B/SANTA ELENA CALLE 46 #39-68 ETAPA 4 .    TIERRALTA B/EL PRADO CALLE 3   TEL 3134854733</t>
  </si>
  <si>
    <t>HOSPITALIZADA INFORMA FT ZULE EL 07/05/*2019</t>
  </si>
  <si>
    <t>OSORIO ALMANZA</t>
  </si>
  <si>
    <t>FX EPIFISIS HUMERO Y FEMUR</t>
  </si>
  <si>
    <t>ALEX GARCIA</t>
  </si>
  <si>
    <t>DANIELA SANCHEZ</t>
  </si>
  <si>
    <t>NO SE ATIENDE EN MAYO DEBIDO A Q LA PACIENTE PRESENTA MUCHO DOLOR Y EL FAMILIAR DECIDE NO HACERLE LAS TERAPIAS INFORMA FT AURA 04/05/2019</t>
  </si>
  <si>
    <t>NO SE HA PODIDO INCIIAR DEBIDO A QUE NO A SALIDO DE LA CLINICA. Y CUANDO SALE LO ATIENDE MI CASA MI HOSPITAL</t>
  </si>
  <si>
    <t>01/04/2019 AL 30/04/2019</t>
  </si>
  <si>
    <t>FALLECE INFORMA JFE KELLY 08/05/2019</t>
  </si>
  <si>
    <t xml:space="preserve">CALLE 34 # 16-29 B/EL EDEN </t>
  </si>
  <si>
    <t>3116746551-3135889075</t>
  </si>
  <si>
    <t>ANTONIA</t>
  </si>
  <si>
    <t>MARTINEZ PADILLA</t>
  </si>
  <si>
    <t>B/ SANTANDER CRA 7 # 15</t>
  </si>
  <si>
    <t>B/CENTENARIO  CRA 7 # 18-34</t>
  </si>
  <si>
    <t xml:space="preserve">JADER LUIS </t>
  </si>
  <si>
    <t>ACOSTA ABAD</t>
  </si>
  <si>
    <t>B/SAN FERNANDO CALLE 80 B # 13 A</t>
  </si>
  <si>
    <t>BARRIO PASATIEMPO</t>
  </si>
  <si>
    <t>09/05/2019paciente que no se encuentra en monteria, vive en san juan de uraba y no dsea el servicio, se comunica el dr jaime via telefonica con los familaires</t>
  </si>
  <si>
    <t>NO CAMBIO TERAPEUTA</t>
  </si>
  <si>
    <t>REGINELDO JOSE</t>
  </si>
  <si>
    <t>DELGADO LOPEZ</t>
  </si>
  <si>
    <t>3107159522-3232432471</t>
  </si>
  <si>
    <t>B/VILLA ESPERANZA</t>
  </si>
  <si>
    <t>MARIA VALENTINA</t>
  </si>
  <si>
    <t>GARCIA GOMEZ</t>
  </si>
  <si>
    <t>MZ 22 LT 31 B RANCHO GRANDE</t>
  </si>
  <si>
    <t>EUSEBIO JOSE</t>
  </si>
  <si>
    <t>MARTINEZ MADERA</t>
  </si>
  <si>
    <t>fallece informa jefe maira 11/05/2019</t>
  </si>
  <si>
    <t xml:space="preserve">BENITO FILIMON </t>
  </si>
  <si>
    <t>CONDE CONDE</t>
  </si>
  <si>
    <t>CRUZ MARIA</t>
  </si>
  <si>
    <t>ALVAREZ RECUERO</t>
  </si>
  <si>
    <t>B/LA COQUERA CALLE 7 # 1B-11</t>
  </si>
  <si>
    <t>3188604261-3147509350-3116281354</t>
  </si>
  <si>
    <t>BERTILDA ISABEL</t>
  </si>
  <si>
    <t xml:space="preserve">REYES RAMIREZ </t>
  </si>
  <si>
    <t>B/LA EQUIS</t>
  </si>
  <si>
    <t>8 SS MES X 6 MESES</t>
  </si>
  <si>
    <t>DAVID</t>
  </si>
  <si>
    <t>PITALUA SUAREZ</t>
  </si>
  <si>
    <t>SAN SEBASTIAN</t>
  </si>
  <si>
    <t>FALLECIO INFORMA FT CLAUDIA EL 13/05/2019</t>
  </si>
  <si>
    <t>FALLECIO INFORMA TL LEIDY 13/05/2019</t>
  </si>
  <si>
    <t>OLGA ISABEL</t>
  </si>
  <si>
    <t>VELAZQUEZ GUTIERREZ</t>
  </si>
  <si>
    <t>VDA CANTA RANA</t>
  </si>
  <si>
    <t xml:space="preserve">YOLANDA </t>
  </si>
  <si>
    <t>CAMPO BRAVO</t>
  </si>
  <si>
    <t>FX DE CADERA</t>
  </si>
  <si>
    <t xml:space="preserve">finca socorreo via palmira </t>
  </si>
  <si>
    <t>3172303054+  3233063496</t>
  </si>
  <si>
    <t>SEPULVEDA RAMOS</t>
  </si>
  <si>
    <t>304 213 6511-3217096414-3042136511</t>
  </si>
  <si>
    <t>REMPLAZO CADERA</t>
  </si>
  <si>
    <t xml:space="preserve">B/MI REFUGIO CRA 33 # 35-16 </t>
  </si>
  <si>
    <t>3013623089-3012299778</t>
  </si>
  <si>
    <r>
      <t xml:space="preserve">VoBo </t>
    </r>
    <r>
      <rPr>
        <b/>
        <sz val="11"/>
        <color theme="9" tint="-0.249977111117893"/>
        <rFont val="Calibri"/>
        <family val="2"/>
        <scheme val="minor"/>
      </rPr>
      <t xml:space="preserve">MAYO </t>
    </r>
    <r>
      <rPr>
        <sz val="11"/>
        <color theme="1"/>
        <rFont val="Calibri"/>
        <family val="2"/>
        <scheme val="minor"/>
      </rPr>
      <t>14/05/2019  Dr Villalobos</t>
    </r>
  </si>
  <si>
    <t>NESTOR ALBEIRO</t>
  </si>
  <si>
    <t>HERNANDEZ RODAS</t>
  </si>
  <si>
    <t>B/7 DE AGOSTO CALLE 17 # 18-7</t>
  </si>
  <si>
    <t>3178552535-3195636877</t>
  </si>
  <si>
    <t>3023412046- 3023412046</t>
  </si>
  <si>
    <t xml:space="preserve">EL CARITO </t>
  </si>
  <si>
    <t>RUTH DEL CARMEN</t>
  </si>
  <si>
    <t>BALETA NULE</t>
  </si>
  <si>
    <t>BRONQUITIS CRONICA</t>
  </si>
  <si>
    <t>B/EL EDEN DG 19 #15A-27</t>
  </si>
  <si>
    <t>3215432604-3225472898 LILIBETH</t>
  </si>
  <si>
    <t>DELCY DEL CARMEN</t>
  </si>
  <si>
    <t>MACEA YANEZ</t>
  </si>
  <si>
    <t>B/VENECIA POR LA CALLE DE LA BONGA</t>
  </si>
  <si>
    <t>fallecio informa ft yennys 15/05/2019</t>
  </si>
  <si>
    <t>ORDENES</t>
  </si>
  <si>
    <t xml:space="preserve">MZ 11 LT 9 B/NISPERO      </t>
  </si>
  <si>
    <t xml:space="preserve">B/CANDELARIA CALLE 15 A # 6-38                 </t>
  </si>
  <si>
    <t xml:space="preserve">ASILO PERPETUO SOCORRO     </t>
  </si>
  <si>
    <t>3135057426-7850503</t>
  </si>
  <si>
    <t>PDTE VALORACIÓN POR ESPECIALISTA, PARA DAR CONTINUIDAD A LAS TERAPIAS, SOLO ORDENARON 30 SS X 1 MES DEL 16/05/2019 AL 15/06/2019</t>
  </si>
  <si>
    <t>MELIDA</t>
  </si>
  <si>
    <t xml:space="preserve"> ALVAREZ DE TORRALVO </t>
  </si>
  <si>
    <t>CORREGIMEINTO PALO DE AGUA</t>
  </si>
  <si>
    <t>HILDA MERCEDES</t>
  </si>
  <si>
    <t>BUSTAMANTE DE SOTOMAYOR</t>
  </si>
  <si>
    <t>CRA 11 A # 62 B -51</t>
  </si>
  <si>
    <t xml:space="preserve">Paciente con corte mesual  TF 20- TO 20 Y FONO 12    X 4 MESES </t>
  </si>
  <si>
    <t xml:space="preserve">SUSPENDIDA DEL PROGRAMA EL 11/05/2019  DEBIDO A QUE APARECE RETIRADA DE SALUD VIDA </t>
  </si>
  <si>
    <t xml:space="preserve">CARVAJAL MARTINEZ </t>
  </si>
  <si>
    <t xml:space="preserve">B/WILCHES CALLE PPAL </t>
  </si>
  <si>
    <t>3137422716-3145289109</t>
  </si>
  <si>
    <t>RAFAEL ANTONIO</t>
  </si>
  <si>
    <t>PINTO MUÑOZ</t>
  </si>
  <si>
    <t>IRA+CA</t>
  </si>
  <si>
    <t>3206855146-3145583696</t>
  </si>
  <si>
    <t>B/LA GRANJA DG15 #4-96</t>
  </si>
  <si>
    <t>FIDELIA ALEJANDRINA</t>
  </si>
  <si>
    <t>TRUJILLO MENDEZ</t>
  </si>
  <si>
    <t>ERC</t>
  </si>
  <si>
    <t xml:space="preserve">3114251257- </t>
  </si>
  <si>
    <t>DG 8 NO8-23 LA GRANJA</t>
  </si>
  <si>
    <t>ARNODYS ANDRES</t>
  </si>
  <si>
    <t>BANDA MORA</t>
  </si>
  <si>
    <t>CA ENCEFALO</t>
  </si>
  <si>
    <t xml:space="preserve">CRA 7 NRO 10-65 B/ BOSQUE CENTRO </t>
  </si>
  <si>
    <t>firmaron discentimiento</t>
  </si>
  <si>
    <t>SENIT DEL CARMEN</t>
  </si>
  <si>
    <t>SOTO CASTELLANO</t>
  </si>
  <si>
    <t>ANGELICA MARIA</t>
  </si>
  <si>
    <t>RIOS DE MORENO</t>
  </si>
  <si>
    <t>CEFALEA</t>
  </si>
  <si>
    <t>3147752991-</t>
  </si>
  <si>
    <t xml:space="preserve"> CRA 8 N 23-37 CENTRO  </t>
  </si>
  <si>
    <t>3215606370-3156002511</t>
  </si>
  <si>
    <t>DINA LUZ</t>
  </si>
  <si>
    <t>GONZALEZ COY</t>
  </si>
  <si>
    <t>LINFOMA</t>
  </si>
  <si>
    <t>TV 16A #12-98 BARRIO EDMUNDO LOPEZ</t>
  </si>
  <si>
    <t>3103504643 - 3215434760</t>
  </si>
  <si>
    <t>paciente que inicia tarde el tratamiento debido a que estaba fuera de la ciudad</t>
  </si>
  <si>
    <t>ORLANDO CESAR</t>
  </si>
  <si>
    <t>ROMERO PETRO</t>
  </si>
  <si>
    <t>CORREGIMIENTO CARRILLO</t>
  </si>
  <si>
    <t>RODELINDA DEL CARMEN</t>
  </si>
  <si>
    <t>ARTEAGA DE ARRIETA</t>
  </si>
  <si>
    <t>DEMENCIA+CEGUERA</t>
  </si>
  <si>
    <t xml:space="preserve"> DG 15  N°3-51 LA GRANJA </t>
  </si>
  <si>
    <t>3145282107-</t>
  </si>
  <si>
    <t>BIENVENIDA</t>
  </si>
  <si>
    <t>HERNANDEZ CARRASQUIEL</t>
  </si>
  <si>
    <t>FX CUELLO FEMUR</t>
  </si>
  <si>
    <t>3106412414-3116200821</t>
  </si>
  <si>
    <t>CRA 25 # 26-93 B/NUEVO CAMPO ALEGRE</t>
  </si>
  <si>
    <t>16 SS AL MES X 6 MESES                                               FECHA DE INICIO 12/02/2019 Y FINALIZA EL 11/08/2019  FT LUISA $22,000</t>
  </si>
  <si>
    <t>DEMETRIA MARIA</t>
  </si>
  <si>
    <t>BARON PATERNINA</t>
  </si>
  <si>
    <t xml:space="preserve">Pastrana Borreo dg 1trv 1 </t>
  </si>
  <si>
    <t>3143617695 - 3043693821</t>
  </si>
  <si>
    <t>TF 30 SS X 3 MESES</t>
  </si>
  <si>
    <t>LUIS ENRIQUE</t>
  </si>
  <si>
    <t xml:space="preserve">MOLINA ALVAREZ </t>
  </si>
  <si>
    <t xml:space="preserve">ELUDINA </t>
  </si>
  <si>
    <t>GONZALEZ ORTEGA</t>
  </si>
  <si>
    <t>VoBo x 3 meses el 13/05/2019, fecha de inicio el 20/05/2019, fecha de finalizacion el 19/08/2019</t>
  </si>
  <si>
    <t>GLADYS DEL CARMEN</t>
  </si>
  <si>
    <t>LOPEZ DE BAENA</t>
  </si>
  <si>
    <t xml:space="preserve">BARRIO URBINA CALLE 14 N 14-36 </t>
  </si>
  <si>
    <t>3216722149- 3216863956</t>
  </si>
  <si>
    <t>TITO LIVIO</t>
  </si>
  <si>
    <t>MEJIA PATERNINA</t>
  </si>
  <si>
    <t>CRA 10 # 15-31 TIERRA GRATA</t>
  </si>
  <si>
    <t>3126561419-3135337904</t>
  </si>
  <si>
    <t>TR C/8H X 5 DIAS</t>
  </si>
  <si>
    <t xml:space="preserve">FANNY ESTHER </t>
  </si>
  <si>
    <t>MENDOZA MARRIAGA</t>
  </si>
  <si>
    <r>
      <t>VoBo</t>
    </r>
    <r>
      <rPr>
        <b/>
        <sz val="11"/>
        <color theme="9" tint="-0.249977111117893"/>
        <rFont val="Calibri"/>
        <family val="2"/>
        <scheme val="minor"/>
      </rPr>
      <t xml:space="preserve"> MAYO </t>
    </r>
    <r>
      <rPr>
        <sz val="11"/>
        <color theme="1"/>
        <rFont val="Calibri"/>
        <family val="2"/>
        <scheme val="minor"/>
      </rPr>
      <t>17/05/2019</t>
    </r>
  </si>
  <si>
    <t xml:space="preserve">VDA LOS CEDROS </t>
  </si>
  <si>
    <t>PURISIMA</t>
  </si>
  <si>
    <t xml:space="preserve">CLAUDIA PATRICIA </t>
  </si>
  <si>
    <t>ARRIETA BERROCAL</t>
  </si>
  <si>
    <t>3116518373-3157267272.</t>
  </si>
  <si>
    <t>VEREDA EL SOCORRO VIA ARENAL-MOMIL</t>
  </si>
  <si>
    <t xml:space="preserve">SEGUNDO </t>
  </si>
  <si>
    <t>ORTIZ RANGEL</t>
  </si>
  <si>
    <t>3135893084-3222782025-3234453314</t>
  </si>
  <si>
    <t>B/VDA BELLA VISTA</t>
  </si>
  <si>
    <t xml:space="preserve">HERIBERTO JOSE </t>
  </si>
  <si>
    <t>CEBALLOS MONTIEL</t>
  </si>
  <si>
    <t>B/EL AMPARO CRA 3CW #22B-52</t>
  </si>
  <si>
    <t>GABRIEL ANTONIO</t>
  </si>
  <si>
    <t>ALEAN PEREZ</t>
  </si>
  <si>
    <t>SX WILSON MIKITY</t>
  </si>
  <si>
    <t xml:space="preserve"> CALLE 48 N 14-46 BARRIO LOS ANGELES
</t>
  </si>
  <si>
    <t>HERNANDO DE JESUS</t>
  </si>
  <si>
    <t>ROJAS CASTILLO</t>
  </si>
  <si>
    <t>ERC-ENFERMEDAD CORONARIA</t>
  </si>
  <si>
    <t>MZ 39 LT 3 ETAPA 6 B/LA PRADERA</t>
  </si>
  <si>
    <t>3148527399-3147411304</t>
  </si>
  <si>
    <t>ESILDA DEL ROSARIO</t>
  </si>
  <si>
    <t>ROJAS ARIZAL</t>
  </si>
  <si>
    <t>CALLE 21 #3-20 B/GARZONES BUENAVENTURA</t>
  </si>
  <si>
    <t>3107391021-3187929373-3205100016</t>
  </si>
  <si>
    <t>ALCIRA DEL CARMEN</t>
  </si>
  <si>
    <t>PEDROZA MEDRANO</t>
  </si>
  <si>
    <t>MZ 147 LT 20 B/CANTA CLARO</t>
  </si>
  <si>
    <t>fallecio informa FT Monica 22/05/2019</t>
  </si>
  <si>
    <t>NO A PODIDO SER ATENDIDO SE ENCUENTRA EN UCI INFORMA FT JAIME 22/05/2019</t>
  </si>
  <si>
    <t>DORIS DEL ROSARIO</t>
  </si>
  <si>
    <t>MESTRA GUERRA</t>
  </si>
  <si>
    <t>ENFERMEDAD PULMONAR INERSTICIAL DIFUSA</t>
  </si>
  <si>
    <t>B/GARZONES CALLE 2 # 7A -125</t>
  </si>
  <si>
    <t xml:space="preserve"> JIMENEZ TAPIA</t>
  </si>
  <si>
    <r>
      <t xml:space="preserve">VoBo </t>
    </r>
    <r>
      <rPr>
        <b/>
        <sz val="11"/>
        <color theme="9" tint="-0.249977111117893"/>
        <rFont val="Calibri"/>
        <family val="2"/>
        <scheme val="minor"/>
      </rPr>
      <t>MAYO</t>
    </r>
    <r>
      <rPr>
        <sz val="11"/>
        <color theme="1"/>
        <rFont val="Calibri"/>
        <family val="2"/>
        <scheme val="minor"/>
      </rPr>
      <t xml:space="preserve"> 22/05/2019</t>
    </r>
  </si>
  <si>
    <t>FREDDY JESUS</t>
  </si>
  <si>
    <r>
      <t xml:space="preserve">VoBo  </t>
    </r>
    <r>
      <rPr>
        <b/>
        <sz val="11"/>
        <color theme="9" tint="-0.249977111117893"/>
        <rFont val="Calibri"/>
        <family val="2"/>
        <scheme val="minor"/>
      </rPr>
      <t>MAYO</t>
    </r>
    <r>
      <rPr>
        <sz val="11"/>
        <color theme="1"/>
        <rFont val="Calibri"/>
        <family val="2"/>
        <scheme val="minor"/>
      </rPr>
      <t>, el 23/05/2019</t>
    </r>
  </si>
  <si>
    <r>
      <t>VoBo</t>
    </r>
    <r>
      <rPr>
        <b/>
        <sz val="11"/>
        <color theme="1"/>
        <rFont val="Calibri"/>
        <family val="2"/>
        <scheme val="minor"/>
      </rPr>
      <t xml:space="preserve"> </t>
    </r>
    <r>
      <rPr>
        <b/>
        <sz val="11"/>
        <color theme="9" tint="-0.249977111117893"/>
        <rFont val="Calibri"/>
        <family val="2"/>
        <scheme val="minor"/>
      </rPr>
      <t>MAYO</t>
    </r>
    <r>
      <rPr>
        <sz val="11"/>
        <color theme="1"/>
        <rFont val="Calibri"/>
        <family val="2"/>
        <scheme val="minor"/>
      </rPr>
      <t xml:space="preserve"> 14/05/2019</t>
    </r>
  </si>
  <si>
    <t xml:space="preserve">MOCARI 20 DE JULIO CALLE 5 # 4-75                           </t>
  </si>
  <si>
    <t>fallece informa FT Jaime 23/05/2019</t>
  </si>
  <si>
    <t xml:space="preserve">B/CHUCHURUBI    </t>
  </si>
  <si>
    <t>3122940458-----3145909552</t>
  </si>
  <si>
    <t>LUCILA</t>
  </si>
  <si>
    <t>MANJARRES MENDEZ</t>
  </si>
  <si>
    <t>FREDYS DE JESUS</t>
  </si>
  <si>
    <t>GONZALEZ DOMINGUEZ</t>
  </si>
  <si>
    <t>DB</t>
  </si>
  <si>
    <t>CRA 8 #37-24 B/CENTRO</t>
  </si>
  <si>
    <t>B/LA GLORIA 1 TORRE 17 APTO 505</t>
  </si>
  <si>
    <t>MARIA DEL ROSARIO</t>
  </si>
  <si>
    <t>MORENO PETRO</t>
  </si>
  <si>
    <t>MZ 39 TALLER EL COBI</t>
  </si>
  <si>
    <t>3127534117-3046285949</t>
  </si>
  <si>
    <t>FALLECE INFORMA JEFE KELLY EL 24/05/2019</t>
  </si>
  <si>
    <t xml:space="preserve">B/MORROSQUILLO CLLE 12 CRA 4                   </t>
  </si>
  <si>
    <t>PTE CON vobo POR UN MES PENDIENTE Valoracion medica para continuidad.</t>
  </si>
  <si>
    <t>HOSPITALIZADO INFORMA TL LEIDY27/05/2019</t>
  </si>
  <si>
    <t>AGUEDA JOSEFA</t>
  </si>
  <si>
    <t>GALLEGO NEGRETE</t>
  </si>
  <si>
    <t>3017694185-3016686367</t>
  </si>
  <si>
    <t>CARRILLO B/LAS PALMERAS</t>
  </si>
  <si>
    <t xml:space="preserve">B/LAS AMERICAS CALLE 15 # 7A            </t>
  </si>
  <si>
    <t>3106269322-3126190384</t>
  </si>
  <si>
    <t xml:space="preserve">Vda los Cedros </t>
  </si>
  <si>
    <t>3117321892-3135888097</t>
  </si>
  <si>
    <t>fallecio informa Elsa 28/05/2019</t>
  </si>
  <si>
    <t>ingresa5/04/2019                                             fallece el 28/05/2019 informa jefe MAira</t>
  </si>
  <si>
    <t>HOSPITALIZADA INFORMA FT JAIME 27/05/2019- FALLECE 28/05/2019 INFORMA FT KARY</t>
  </si>
  <si>
    <t>GILMA ROSA</t>
  </si>
  <si>
    <t>SOLANO DE BARRERA</t>
  </si>
  <si>
    <t>RTC IZQUIERDA</t>
  </si>
  <si>
    <t>Dg 22 Trv 2 y 3 No 270 la granja</t>
  </si>
  <si>
    <r>
      <t xml:space="preserve">VoBO </t>
    </r>
    <r>
      <rPr>
        <b/>
        <sz val="11"/>
        <color theme="5" tint="-0.249977111117893"/>
        <rFont val="Calibri"/>
        <family val="2"/>
        <scheme val="minor"/>
      </rPr>
      <t>JUNIO</t>
    </r>
    <r>
      <rPr>
        <sz val="11"/>
        <color theme="5" tint="-0.249977111117893"/>
        <rFont val="Calibri"/>
        <family val="2"/>
        <scheme val="minor"/>
      </rPr>
      <t xml:space="preserve"> </t>
    </r>
    <r>
      <rPr>
        <sz val="11"/>
        <color theme="1"/>
        <rFont val="Calibri"/>
        <family val="2"/>
        <scheme val="minor"/>
      </rPr>
      <t xml:space="preserve">29/05/2019 </t>
    </r>
  </si>
  <si>
    <t>CRA 13 A # 10B-46 B/SAMARIA II</t>
  </si>
  <si>
    <t>01/05/2019 AL 30/05/2019</t>
  </si>
  <si>
    <t>fallece informar jaiber conductor 30/05/2019</t>
  </si>
  <si>
    <t>3126618886-3193214096</t>
  </si>
  <si>
    <t>PACIETNE QUE SE ENCUENTRA HOSPITALIZDO INFORMA FT AURA EL 06/05/2019   FALLECE INFORMA FT AURA 30/05/2019</t>
  </si>
  <si>
    <t>JAIME DE JESUS</t>
  </si>
  <si>
    <t>MOLINA PERALTA</t>
  </si>
  <si>
    <t>CALLE 33 # 15-41 B/EL EDEN</t>
  </si>
  <si>
    <t>3106002852-3004277916</t>
  </si>
  <si>
    <t>20 SS AL MES C/U X 4 MESES</t>
  </si>
  <si>
    <t>fallece informa FT DANIELA  30/05/2019</t>
  </si>
  <si>
    <t>DORALINA</t>
  </si>
  <si>
    <t>PEDROZA ANAYA</t>
  </si>
  <si>
    <t>3147098930-3116238298</t>
  </si>
  <si>
    <t xml:space="preserve">B/20 DE JULIO </t>
  </si>
  <si>
    <t>31/06/2019</t>
  </si>
  <si>
    <t>NEYIBE MARGOTH</t>
  </si>
  <si>
    <t>OVIEDO ARIZA</t>
  </si>
  <si>
    <t>FX PERITROCANTERICA</t>
  </si>
  <si>
    <t>3114049145-3008209227</t>
  </si>
  <si>
    <t>INELDA INES</t>
  </si>
  <si>
    <t>EALO BERROCAL</t>
  </si>
  <si>
    <t>BRONQUITIS AGUDA</t>
  </si>
  <si>
    <t>B/MOCARI CRA 15 #6-18</t>
  </si>
  <si>
    <t>3227327367-3148426066</t>
  </si>
  <si>
    <t>TRC/6H X 7 DIAS</t>
  </si>
  <si>
    <t>JOSE ARMANDO</t>
  </si>
  <si>
    <t>ESCORCIA PADILLA</t>
  </si>
  <si>
    <r>
      <t>ORDEN PERMANENTE +</t>
    </r>
    <r>
      <rPr>
        <b/>
        <sz val="11"/>
        <color theme="5" tint="-0.249977111117893"/>
        <rFont val="Calibri"/>
        <family val="2"/>
        <scheme val="minor"/>
      </rPr>
      <t>TS JUNIO 1 VALORACION</t>
    </r>
  </si>
  <si>
    <t>ABEL</t>
  </si>
  <si>
    <t xml:space="preserve">Padilla </t>
  </si>
  <si>
    <t>fallece informa TF SANDRA EL 02/06/2019</t>
  </si>
  <si>
    <t xml:space="preserve">JOSE EDUARDO </t>
  </si>
  <si>
    <t>LUNA MONTES</t>
  </si>
  <si>
    <t>SECUELAS DE MENINGITIS</t>
  </si>
  <si>
    <t>B/24 DE MAYO CLL 10-CRA 27</t>
  </si>
  <si>
    <t>3135828748-3135686164</t>
  </si>
  <si>
    <t>15SS AL MES X 3 MESES</t>
  </si>
  <si>
    <t>NATALIA</t>
  </si>
  <si>
    <t>GUERRA FLOREZ</t>
  </si>
  <si>
    <t>PARAPLEJIA FLACIDA</t>
  </si>
  <si>
    <t xml:space="preserve">B/VILLA CIELO MZ 41 LT 22 </t>
  </si>
  <si>
    <t>3126939411-3216430230-3142672756</t>
  </si>
  <si>
    <t>AIDA ISABEL</t>
  </si>
  <si>
    <t>GONZALEZ URANGO</t>
  </si>
  <si>
    <t>DG 5 # 7-83 B/LA GRANJA</t>
  </si>
  <si>
    <t xml:space="preserve">LUIS FRANCISCO </t>
  </si>
  <si>
    <t>MARTINEZ AGAMEZ</t>
  </si>
  <si>
    <t>CA PULMON</t>
  </si>
  <si>
    <t>B/SANTA TERESA CALLE 03 # 20-20</t>
  </si>
  <si>
    <t xml:space="preserve">ELOINA DEL CARMEN </t>
  </si>
  <si>
    <t>MIRANDA PACHECO</t>
  </si>
  <si>
    <t>B/LA CAMPIÑA MZ C LT 12</t>
  </si>
  <si>
    <t>PALENCIA MARTINEZ</t>
  </si>
  <si>
    <t>B/PRADERA ETAPA 5 MZ 60 LT 21</t>
  </si>
  <si>
    <t>PACIENTE EN UCI INFORMA FT JAIME 05/06/2019</t>
  </si>
  <si>
    <t>FALLECIO HACE APROXIMADAMENTE UNA SEMANA INFORMA FT BIABELSI EL 05/06/2019</t>
  </si>
  <si>
    <t>RAFAEL EUGENIO</t>
  </si>
  <si>
    <t>DE LA OSSA GARCIA</t>
  </si>
  <si>
    <t>321587008-3104219965</t>
  </si>
  <si>
    <t>CRA 8 W # 26-48 B/LAS VIÑAS</t>
  </si>
  <si>
    <t>FALLECE INFORMA FT FADY EL 05/06/2019</t>
  </si>
  <si>
    <t>JOSE GABRIEL</t>
  </si>
  <si>
    <t>PEÑATE SALGADO</t>
  </si>
  <si>
    <t>COXARTROSIS</t>
  </si>
  <si>
    <t>CAR 13 NRO 6-31 BARR CALLE LARGA</t>
  </si>
  <si>
    <t xml:space="preserve">MERCADO CONTRERAS </t>
  </si>
  <si>
    <t>NERY ISABEL</t>
  </si>
  <si>
    <t>VEREDA SAN ANTONIO DEL TACHIRA</t>
  </si>
  <si>
    <t xml:space="preserve">SIBAJA GARCES </t>
  </si>
  <si>
    <t>MARIA DEL CARMEN</t>
  </si>
  <si>
    <t>KR 36 NRO 33 JESUS MARIA LUGO</t>
  </si>
  <si>
    <t>LUISA SILVA</t>
  </si>
  <si>
    <t xml:space="preserve">PORTILLO MADURO </t>
  </si>
  <si>
    <t xml:space="preserve"> ALZHEIMER</t>
  </si>
  <si>
    <t>CRA 4 # 21-48 B/RIO DE JANEIRO</t>
  </si>
  <si>
    <t xml:space="preserve">ATENCIA DE RODRIGUEZ </t>
  </si>
  <si>
    <t>TELMA MARIA</t>
  </si>
  <si>
    <t>BRR VILLA NAZARETH</t>
  </si>
  <si>
    <t xml:space="preserve">PRASCA ARIAS </t>
  </si>
  <si>
    <t>SUHAIL TAMEL</t>
  </si>
  <si>
    <t>CL 6 NO 31 42 BARRIO ALFONSO</t>
  </si>
  <si>
    <t xml:space="preserve">RUIZ MACEA </t>
  </si>
  <si>
    <t>QUIRINO JULIO</t>
  </si>
  <si>
    <t>CALLE 16 CARRERA 7 ESQUINA CENTRO</t>
  </si>
  <si>
    <t>3007574861
NOMBRE DEL CUIDANOR: RAMONA TEVENING RIVEROS</t>
  </si>
  <si>
    <t>NEYLA ROSA</t>
  </si>
  <si>
    <t>BLANCO DE BORJA</t>
  </si>
  <si>
    <t>CALLE 29 # 12 W -37</t>
  </si>
  <si>
    <t>PACIENTE QUE SE ENCUENTRA FUERA DEL MUNICIPIO, SE FACT EN JUNIO</t>
  </si>
  <si>
    <t>AUT 12/06/2019 AL 11/07/2019</t>
  </si>
  <si>
    <t>ISMAEL JOSE</t>
  </si>
  <si>
    <t>LIMAS CARRASQUERO</t>
  </si>
  <si>
    <t>3214270363-3222287951</t>
  </si>
  <si>
    <t xml:space="preserve"> 310 6432129-311 4094531</t>
  </si>
  <si>
    <t>YOLANDA TERESA</t>
  </si>
  <si>
    <t>MORE NOBLE</t>
  </si>
  <si>
    <t>KR 20 CL 7B NRO 20 05 ARENAL</t>
  </si>
  <si>
    <t xml:space="preserve">CARDENAS COGOLLO </t>
  </si>
  <si>
    <t xml:space="preserve">HILDA ELENA </t>
  </si>
  <si>
    <t>LORA DE TAMARA</t>
  </si>
  <si>
    <t>B/BUENA VISTA CALLE 10 # 8A-11</t>
  </si>
  <si>
    <r>
      <t>VoBo</t>
    </r>
    <r>
      <rPr>
        <sz val="11"/>
        <color theme="5"/>
        <rFont val="Calibri"/>
        <family val="2"/>
        <scheme val="minor"/>
      </rPr>
      <t xml:space="preserve"> </t>
    </r>
    <r>
      <rPr>
        <b/>
        <sz val="11"/>
        <color theme="5"/>
        <rFont val="Calibri"/>
        <family val="2"/>
        <scheme val="minor"/>
      </rPr>
      <t>JUNIO</t>
    </r>
    <r>
      <rPr>
        <sz val="11"/>
        <color theme="5"/>
        <rFont val="Calibri"/>
        <family val="2"/>
        <scheme val="minor"/>
      </rPr>
      <t xml:space="preserve"> 2</t>
    </r>
    <r>
      <rPr>
        <sz val="11"/>
        <color theme="1"/>
        <rFont val="Calibri"/>
        <family val="2"/>
        <scheme val="minor"/>
      </rPr>
      <t>9/05/2019</t>
    </r>
  </si>
  <si>
    <t xml:space="preserve">MANUEL ENRIQUE </t>
  </si>
  <si>
    <t>HERNANDEZ NEGRETE</t>
  </si>
  <si>
    <t>B/CANDELARIA CALLE 1 C # 27-11 B/CANDELARIA</t>
  </si>
  <si>
    <t xml:space="preserve">ANA MARIA </t>
  </si>
  <si>
    <t>REYES VERTEL</t>
  </si>
  <si>
    <t>B/SANTA BARBARA CALLE 47 #18A-72</t>
  </si>
  <si>
    <t>3008751442-3116435260</t>
  </si>
  <si>
    <t>AHUMADA VERGEL</t>
  </si>
  <si>
    <t>VOBo por 3 meses desde el 11/06/2019</t>
  </si>
  <si>
    <t>RAFAEL EDUARDO</t>
  </si>
  <si>
    <t>RAMIREZ FRANCO</t>
  </si>
  <si>
    <t>NUEVAEPS</t>
  </si>
  <si>
    <t>B/LOS LAURELES CRA 4 # 41-74</t>
  </si>
  <si>
    <t>3017930431-7919953</t>
  </si>
  <si>
    <t>TRC/4HX5DIAS</t>
  </si>
  <si>
    <t>RODOLFO DANIEL</t>
  </si>
  <si>
    <t>JIMENEZ MORALES</t>
  </si>
  <si>
    <t xml:space="preserve">AMPUTACION </t>
  </si>
  <si>
    <t>B/ALFONSO LOPEZ CRA 8 E # 6-45</t>
  </si>
  <si>
    <t>3103539807-3103639807</t>
  </si>
  <si>
    <t>RODRIGO RAFAEL</t>
  </si>
  <si>
    <t>MADERA PACHECO</t>
  </si>
  <si>
    <t xml:space="preserve"> Carrera 13d. Calle 18. N 18-24. B. San José</t>
  </si>
  <si>
    <t>GLENIS</t>
  </si>
  <si>
    <t>AGUDELO ARTEAGA</t>
  </si>
  <si>
    <t xml:space="preserve">MARIA FERNANDA </t>
  </si>
  <si>
    <t>PORTILLO TORRES</t>
  </si>
  <si>
    <t>B/OSPINA PEREZ CRA 10 A # 34-23</t>
  </si>
  <si>
    <t>3145453558-3008235655</t>
  </si>
  <si>
    <t>HERNANDEZ IZQUIERDO</t>
  </si>
  <si>
    <t>EL BINDE</t>
  </si>
  <si>
    <t>ENTREGADO POR LA JEFE MAIRA ELK 12/06/2019</t>
  </si>
  <si>
    <r>
      <t xml:space="preserve">VoBo </t>
    </r>
    <r>
      <rPr>
        <b/>
        <sz val="11"/>
        <color theme="5"/>
        <rFont val="Calibri"/>
        <family val="2"/>
        <scheme val="minor"/>
      </rPr>
      <t>JUNIO</t>
    </r>
    <r>
      <rPr>
        <sz val="11"/>
        <color theme="1"/>
        <rFont val="Calibri"/>
        <family val="2"/>
        <scheme val="minor"/>
      </rPr>
      <t xml:space="preserve"> 06/06/2019.   TR C/8H-TF C/12H; INGRESA EL 14/03/2019 POR 3 MESES, FINALIZA EL 13/06/2019</t>
    </r>
  </si>
  <si>
    <t xml:space="preserve">TL LEIDY ALVAREZ INFORMA QUE LE PACIENTE SE MUESTRA OBSCENO, TRATA DE IRRESPETARLA FISICAMENTE. </t>
  </si>
  <si>
    <t xml:space="preserve">JOSE LUIS </t>
  </si>
  <si>
    <t>MENDOZA PADILLA</t>
  </si>
  <si>
    <t xml:space="preserve">B/LA PALMA MZ 7 LT 13 </t>
  </si>
  <si>
    <t>paciente que egresa a pesar del vobo, por decisión propia el 14/06/2019</t>
  </si>
  <si>
    <t>VDA MAGDALENA 1 HORA</t>
  </si>
  <si>
    <t>MARIANA DE JESUS</t>
  </si>
  <si>
    <t>LOZANO ESPITIA</t>
  </si>
  <si>
    <t>ULCERA VARICOSA CRONIA DE MIEMBRO INFERIOR DERECHO</t>
  </si>
  <si>
    <r>
      <t xml:space="preserve">VoBo </t>
    </r>
    <r>
      <rPr>
        <b/>
        <sz val="11"/>
        <color theme="5"/>
        <rFont val="Calibri"/>
        <family val="2"/>
        <scheme val="minor"/>
      </rPr>
      <t>JUNIO</t>
    </r>
    <r>
      <rPr>
        <sz val="11"/>
        <color theme="1"/>
        <rFont val="Calibri"/>
        <family val="2"/>
        <scheme val="minor"/>
      </rPr>
      <t xml:space="preserve"> 16/06/2019</t>
    </r>
  </si>
  <si>
    <t xml:space="preserve">LUBERTINA </t>
  </si>
  <si>
    <t xml:space="preserve">GARAY </t>
  </si>
  <si>
    <t>FRACTURA MULTIPLE DE COLUMNA LUMBAR Y PELVIS</t>
  </si>
  <si>
    <t>BR/ EL EDEN CRA 17 N 29-28</t>
  </si>
  <si>
    <t>3215196346 7895231</t>
  </si>
  <si>
    <t xml:space="preserve">B/EL RINCON CRA615-21 </t>
  </si>
  <si>
    <t>ARRIETA HERNANDEZ</t>
  </si>
  <si>
    <t>BR/ DORADO CLLE 25 CRA 16</t>
  </si>
  <si>
    <t>X 3 MESES</t>
  </si>
  <si>
    <t xml:space="preserve">LUIS MARIO </t>
  </si>
  <si>
    <t>CAUSIL NEGRETE</t>
  </si>
  <si>
    <t xml:space="preserve">PARALISIS CEREBRAL CUADRIPLEJIA ESPASTICA </t>
  </si>
  <si>
    <t>BR/BALBOA CLL 18 CRA 9 88-108</t>
  </si>
  <si>
    <t>JOSE ALFREDO</t>
  </si>
  <si>
    <r>
      <t xml:space="preserve">VoBo para </t>
    </r>
    <r>
      <rPr>
        <b/>
        <sz val="11"/>
        <color theme="5"/>
        <rFont val="Calibri"/>
        <family val="2"/>
        <scheme val="minor"/>
      </rPr>
      <t xml:space="preserve">JUNIO </t>
    </r>
    <r>
      <rPr>
        <sz val="11"/>
        <rFont val="Calibri"/>
        <family val="2"/>
        <scheme val="minor"/>
      </rPr>
      <t>21</t>
    </r>
    <r>
      <rPr>
        <sz val="11"/>
        <color theme="1"/>
        <rFont val="Calibri"/>
        <family val="2"/>
        <scheme val="minor"/>
      </rPr>
      <t xml:space="preserve">/06/2019                                               </t>
    </r>
  </si>
  <si>
    <t>ARCIRA DE JESUS</t>
  </si>
  <si>
    <t>MUÑOZ CARO</t>
  </si>
  <si>
    <t>solicitud el 25/06/2019</t>
  </si>
  <si>
    <t>3007321734-3106111262-3235024537</t>
  </si>
  <si>
    <t xml:space="preserve"> MZ U LOTE 2 BARRIO EL ALIVIO</t>
  </si>
  <si>
    <t xml:space="preserve">TO </t>
  </si>
  <si>
    <t>ANA ALEMAN</t>
  </si>
  <si>
    <t>MARTINEZ CARRASCAL</t>
  </si>
  <si>
    <t>MANUEL ANTONIO</t>
  </si>
  <si>
    <t>BARRIO ALTO PRADO</t>
  </si>
  <si>
    <t>3126790879-3004213247</t>
  </si>
  <si>
    <t>60SSXMESX2MESES</t>
  </si>
  <si>
    <r>
      <t>VoBo</t>
    </r>
    <r>
      <rPr>
        <sz val="11"/>
        <color theme="5"/>
        <rFont val="Calibri"/>
        <family val="2"/>
        <scheme val="minor"/>
      </rPr>
      <t xml:space="preserve"> </t>
    </r>
    <r>
      <rPr>
        <b/>
        <sz val="11"/>
        <color theme="5"/>
        <rFont val="Calibri"/>
        <family val="2"/>
        <scheme val="minor"/>
      </rPr>
      <t xml:space="preserve">JUNIO </t>
    </r>
    <r>
      <rPr>
        <sz val="11"/>
        <rFont val="Calibri"/>
        <family val="2"/>
        <scheme val="minor"/>
      </rPr>
      <t xml:space="preserve">22/06/2019 </t>
    </r>
  </si>
  <si>
    <r>
      <t xml:space="preserve">VoBo </t>
    </r>
    <r>
      <rPr>
        <b/>
        <sz val="11"/>
        <color theme="5"/>
        <rFont val="Calibri"/>
        <family val="2"/>
        <scheme val="minor"/>
      </rPr>
      <t>JUNIO</t>
    </r>
    <r>
      <rPr>
        <sz val="11"/>
        <color theme="1"/>
        <rFont val="Calibri"/>
        <family val="2"/>
        <scheme val="minor"/>
      </rPr>
      <t xml:space="preserve">  21/06/2019- la terapeuta infoamr que el apceinte tiene cirugia el 25/05/2019 por lo que no se  puede atender</t>
    </r>
  </si>
  <si>
    <r>
      <t xml:space="preserve">VoBo </t>
    </r>
    <r>
      <rPr>
        <b/>
        <sz val="11"/>
        <color theme="5"/>
        <rFont val="Calibri"/>
        <family val="2"/>
        <scheme val="minor"/>
      </rPr>
      <t xml:space="preserve">JUNIO </t>
    </r>
    <r>
      <rPr>
        <b/>
        <sz val="11"/>
        <color rgb="FFFF0000"/>
        <rFont val="Calibri"/>
        <family val="2"/>
        <scheme val="minor"/>
      </rPr>
      <t xml:space="preserve">JULIO AGOSTO, 28/05/2019, </t>
    </r>
    <r>
      <rPr>
        <sz val="11"/>
        <color theme="1"/>
        <rFont val="Calibri"/>
        <family val="2"/>
        <scheme val="minor"/>
      </rPr>
      <t>Con TF 20 y TL 20</t>
    </r>
    <r>
      <rPr>
        <b/>
        <sz val="11"/>
        <color rgb="FFFF0000"/>
        <rFont val="Calibri"/>
        <family val="2"/>
        <scheme val="minor"/>
      </rPr>
      <t xml:space="preserve"> </t>
    </r>
  </si>
  <si>
    <r>
      <t>VoBo por 4 meses (abril, mayo,</t>
    </r>
    <r>
      <rPr>
        <b/>
        <sz val="11"/>
        <color theme="5"/>
        <rFont val="Calibri"/>
        <family val="2"/>
        <scheme val="minor"/>
      </rPr>
      <t xml:space="preserve"> junio, </t>
    </r>
    <r>
      <rPr>
        <sz val="11"/>
        <color theme="1"/>
        <rFont val="Calibri"/>
        <family val="2"/>
        <scheme val="minor"/>
      </rPr>
      <t xml:space="preserve">julio,) el 03/04/2019, total 240 ss. </t>
    </r>
  </si>
  <si>
    <t>ARIADNA</t>
  </si>
  <si>
    <t xml:space="preserve"> CANTELLON RODRIGUEZ</t>
  </si>
  <si>
    <t>B LOMA LINDA</t>
  </si>
  <si>
    <t>FALLECE INFORMA TO FABRICIO EL 26/06/2019</t>
  </si>
  <si>
    <t>10/04/2019                                           07/06/2019 AMNTIBIOTICO TR X 7 DIAS</t>
  </si>
  <si>
    <t>NO SE ATENDIO EN JUNIO DEBIDO A QUE LE HICIERON CIRUGIA Y SE COMPLICO-SE ENCUENTRA HOSPITALIZADO</t>
  </si>
  <si>
    <t>pdte definir continuidad</t>
  </si>
  <si>
    <t>10x mes x 3 meses</t>
  </si>
  <si>
    <t>CESAR</t>
  </si>
  <si>
    <t>YANES GARCIA</t>
  </si>
  <si>
    <t>B/LA GLORIA TORRE 31 APTO 102</t>
  </si>
  <si>
    <t>Mz 68 lote 8 VILLA PAZ</t>
  </si>
  <si>
    <t xml:space="preserve">FALLECIO  INFORMA FT SANDRA EL 27/06/2019 </t>
  </si>
  <si>
    <r>
      <t>VoBo</t>
    </r>
    <r>
      <rPr>
        <b/>
        <sz val="11"/>
        <color theme="5"/>
        <rFont val="Calibri"/>
        <family val="2"/>
        <scheme val="minor"/>
      </rPr>
      <t xml:space="preserve"> JUNIO </t>
    </r>
    <r>
      <rPr>
        <sz val="11"/>
        <color theme="1"/>
        <rFont val="Calibri"/>
        <family val="2"/>
        <scheme val="minor"/>
      </rPr>
      <t>16/06/2019</t>
    </r>
  </si>
  <si>
    <t>LAS TL SE INICIAN EL 01/07/2019 DEBIGO A QUE LAS ENVIARON EL 22</t>
  </si>
  <si>
    <t>Abril. 20 c/u                                                                                Mayo 20c/u                                                                              Junio 10c/u                                                                                          1 Valoracion psicologica 26/06/2019</t>
  </si>
  <si>
    <t>PROFESIONAL</t>
  </si>
  <si>
    <t>YENNIS HIDALGO</t>
  </si>
  <si>
    <t>FABRICIO CASTILLO</t>
  </si>
  <si>
    <t>FREDDY ARGUELLO</t>
  </si>
  <si>
    <t>YESMI MIRANDA</t>
  </si>
  <si>
    <t>fallecio informa jefe kelly  el 27/06/2019</t>
  </si>
  <si>
    <t>KARY SOLANO</t>
  </si>
  <si>
    <t>FALLECIO</t>
  </si>
  <si>
    <t>CAROLINA MACEA</t>
  </si>
  <si>
    <r>
      <t>VoBo</t>
    </r>
    <r>
      <rPr>
        <b/>
        <sz val="11"/>
        <color theme="5"/>
        <rFont val="Calibri"/>
        <family val="2"/>
        <scheme val="minor"/>
      </rPr>
      <t xml:space="preserve"> JUNIO </t>
    </r>
    <r>
      <rPr>
        <sz val="11"/>
        <color theme="1"/>
        <rFont val="Calibri"/>
        <family val="2"/>
        <scheme val="minor"/>
      </rPr>
      <t>28/06/2019</t>
    </r>
  </si>
  <si>
    <t xml:space="preserve">AURA ELENA </t>
  </si>
  <si>
    <t>FIGUEROA VELASQUEZ</t>
  </si>
  <si>
    <t>B/ EL TOTUMO A ORILLA DEL RIO</t>
  </si>
  <si>
    <t>YULIETH MIRANDA</t>
  </si>
  <si>
    <t>ELIZABETH DEL SOCORRO</t>
  </si>
  <si>
    <t>PAYARES DE VILLADIEGO</t>
  </si>
  <si>
    <t>JORGE HURTADO</t>
  </si>
  <si>
    <t>YENNIS - JORGE</t>
  </si>
  <si>
    <t>YENNIS-JORGE</t>
  </si>
  <si>
    <t>TODOS</t>
  </si>
  <si>
    <t xml:space="preserve">FALLECE INFORMA TL DANNA MARTINEZ </t>
  </si>
  <si>
    <t>16 SS DE C/U X 6 MESES</t>
  </si>
  <si>
    <t>PCTE Q VIAJO Y NO LOGRO FINALIZAR EL PAQUETE, SE FACTURA EN JULIO</t>
  </si>
  <si>
    <t>PEDRO TERCERO</t>
  </si>
  <si>
    <t>CASTILLA MANJARRES</t>
  </si>
  <si>
    <t>BARRIO JUAN XXIII</t>
  </si>
  <si>
    <t>CGTO EL CARITO</t>
  </si>
  <si>
    <t>B/CHIMALITO</t>
  </si>
  <si>
    <t>fallecio informa que hace aprox un mes  ft Fady el 28/06/2019</t>
  </si>
  <si>
    <t>HILDA ROSA</t>
  </si>
  <si>
    <t>NEGRETE VILLEGAS</t>
  </si>
  <si>
    <t>SE ENTREGA EN JULIO</t>
  </si>
  <si>
    <t>12 SS DE C/U X 6 MESES</t>
  </si>
  <si>
    <t>PEDRO</t>
  </si>
  <si>
    <t>VILLALBA ENAMORADO</t>
  </si>
  <si>
    <t>3147995767 -3126027539</t>
  </si>
  <si>
    <t>SE FACTURA EL 30 JULIO 2019</t>
  </si>
  <si>
    <t>pdte cambiar orfe a 20 tf y 20 tr</t>
  </si>
  <si>
    <t>HOSPITALIZADO INFORMA FT YULIETH 29/05/2019</t>
  </si>
  <si>
    <r>
      <t>TF12ss, TL12ss Y TR 60</t>
    </r>
    <r>
      <rPr>
        <sz val="11"/>
        <color theme="9" tint="-0.249977111117893"/>
        <rFont val="Calibri"/>
        <family val="2"/>
        <scheme val="minor"/>
      </rPr>
      <t xml:space="preserve"> </t>
    </r>
    <r>
      <rPr>
        <b/>
        <sz val="11"/>
        <color theme="9" tint="-0.249977111117893"/>
        <rFont val="Calibri"/>
        <family val="2"/>
        <scheme val="minor"/>
      </rPr>
      <t>MAYO</t>
    </r>
    <r>
      <rPr>
        <sz val="11"/>
        <color theme="1"/>
        <rFont val="Calibri"/>
        <family val="2"/>
        <scheme val="minor"/>
      </rPr>
      <t xml:space="preserve"> VoBo el 14/05/2019 Dr Villalobos    TR JUNIO NOSE REALIZA PORQ NO LAS REQUIERE</t>
    </r>
  </si>
  <si>
    <t>CRA 15 # 9 A-13 B/CHIMALITO</t>
  </si>
  <si>
    <t>FECHA DE INICIO 03/07/2019</t>
  </si>
  <si>
    <t>MARTHA BEATRIZ</t>
  </si>
  <si>
    <t>HERNANDEZ PACHECO</t>
  </si>
  <si>
    <t>ENF. ARTERIAL PERIFERICA DERECHA</t>
  </si>
  <si>
    <t>B/MAGDALENA</t>
  </si>
  <si>
    <t>3232822824- 3218847431</t>
  </si>
  <si>
    <t>20 ss al mes x 2 meses</t>
  </si>
  <si>
    <t>JESUS MANUEL</t>
  </si>
  <si>
    <t>ACEVEDO GAVIRIA</t>
  </si>
  <si>
    <t xml:space="preserve">B/EL PARAISO MZ E LT 1 </t>
  </si>
  <si>
    <t>3142102074-3132807173</t>
  </si>
  <si>
    <t>TR C/6 H X 10 DIAS</t>
  </si>
  <si>
    <t>ANGELA DE JESUS</t>
  </si>
  <si>
    <t>MURCIA DE ENNIS</t>
  </si>
  <si>
    <t>CRA 17 # 28-13 B/PASATIEMPO</t>
  </si>
  <si>
    <t>ISABEL DE JESUS</t>
  </si>
  <si>
    <t>MIRANDA ROSARIO</t>
  </si>
  <si>
    <t>20 SS AL MES POR 3 MESES</t>
  </si>
  <si>
    <t>PDTE HISTORIA DE MARIA RUBIO ENFERMERA  CONCURRENTEMONTELIBANO</t>
  </si>
  <si>
    <t>FALLECE EL 10/06/2019 INFORMA FT BRENDA</t>
  </si>
  <si>
    <t>RICHARD MANUEL</t>
  </si>
  <si>
    <t>GAVIRIA MESTRA</t>
  </si>
  <si>
    <t>CRA 10 A# 36-44 B/OSPINA PEREZ</t>
  </si>
  <si>
    <r>
      <t xml:space="preserve">VoBo </t>
    </r>
    <r>
      <rPr>
        <b/>
        <sz val="11"/>
        <color rgb="FF7030A0"/>
        <rFont val="Calibri"/>
        <family val="2"/>
        <scheme val="minor"/>
      </rPr>
      <t>JULIO</t>
    </r>
    <r>
      <rPr>
        <sz val="11"/>
        <color theme="1"/>
        <rFont val="Calibri"/>
        <family val="2"/>
        <scheme val="minor"/>
      </rPr>
      <t xml:space="preserve"> 02/07/2019</t>
    </r>
  </si>
  <si>
    <t xml:space="preserve">MARIA PAULA </t>
  </si>
  <si>
    <t>MEDRANO SALGADO</t>
  </si>
  <si>
    <t>VDA LOS PANTANOS SANTA LUCIA LAS CRUCES</t>
  </si>
  <si>
    <t xml:space="preserve">ISAAC </t>
  </si>
  <si>
    <t>URZOLA ORTEGA</t>
  </si>
  <si>
    <t>MICROCEFALIA</t>
  </si>
  <si>
    <t>VDA MARRA LUZ FINCA VILLA BLANCA</t>
  </si>
  <si>
    <t>2VECES AL DIA X 7 DIAS  PDTE INCLUIR EN AUTORIZACION</t>
  </si>
  <si>
    <t>6+6</t>
  </si>
  <si>
    <t>ANDERSON</t>
  </si>
  <si>
    <t>ALEJANDRA MORENO</t>
  </si>
  <si>
    <t xml:space="preserve">LUIS ENRIQUE </t>
  </si>
  <si>
    <t>SEVERA</t>
  </si>
  <si>
    <t>B/PORVENIR</t>
  </si>
  <si>
    <t>MARIA CAROLINA BARCO</t>
  </si>
  <si>
    <t>NAIRA HERAZO</t>
  </si>
  <si>
    <t>ELMER ANTONIO</t>
  </si>
  <si>
    <t>ANDRADES BERONA</t>
  </si>
  <si>
    <t>SECUELAS DE TRAUMA MEDULAR</t>
  </si>
  <si>
    <t>B/CHUCHURIBI</t>
  </si>
  <si>
    <t>3145141404-3225690770</t>
  </si>
  <si>
    <t>TF 8ss - To 4 ss, las 2 al mes x 3 meses</t>
  </si>
  <si>
    <t>SANDRA ESCAÑO</t>
  </si>
  <si>
    <t>FALLECE INFORMA FT BIABELSI EL 06/07/2019</t>
  </si>
  <si>
    <t>SX COMPRESION MEDULAR</t>
  </si>
  <si>
    <t>PEREZ PITALUA</t>
  </si>
  <si>
    <t xml:space="preserve">GLADYS DEL CARMEN </t>
  </si>
  <si>
    <t>10 ss al mes por 3 meses</t>
  </si>
  <si>
    <t xml:space="preserve">MARIA DEL SOCORRO </t>
  </si>
  <si>
    <t>MORENO FLOREZ</t>
  </si>
  <si>
    <t>VDA EL POBLADO</t>
  </si>
  <si>
    <t>JESUS DANILO</t>
  </si>
  <si>
    <t>GUTIERREZ GALEANO</t>
  </si>
  <si>
    <t>NEPS</t>
  </si>
  <si>
    <t>B/MOGAMBO MZ 51 LT 6</t>
  </si>
  <si>
    <t>3114076579-3017708758</t>
  </si>
  <si>
    <t>ANTIBIOTICO</t>
  </si>
  <si>
    <t>CARMEN MARIA</t>
  </si>
  <si>
    <t>PEREZ PEREZ</t>
  </si>
  <si>
    <t>MAIDA JIMENEZ</t>
  </si>
  <si>
    <t>310 541 0610   -   323 465 6005</t>
  </si>
  <si>
    <t xml:space="preserve">LA APARTADA </t>
  </si>
  <si>
    <t>ANGEL ANTONIO</t>
  </si>
  <si>
    <t xml:space="preserve">FLOREZ AMADOR </t>
  </si>
  <si>
    <t>MILADIS ISABEL</t>
  </si>
  <si>
    <t>PALMA GUARDIOLA</t>
  </si>
  <si>
    <t>CASA #1105 BARRIO: BARRIO VENECIA</t>
  </si>
  <si>
    <t xml:space="preserve">JOSE DE JESUS </t>
  </si>
  <si>
    <t>BENITEZ REYES</t>
  </si>
  <si>
    <t>B/LA LUCHA</t>
  </si>
  <si>
    <t>MEIVIS DEL CARMEN</t>
  </si>
  <si>
    <t>DORIA CONTRERAS</t>
  </si>
  <si>
    <t xml:space="preserve">CRA 23 # 4-45 B/14 DE FEBRERO      </t>
  </si>
  <si>
    <t>322215102  - 3013846032  - 3206061328</t>
  </si>
  <si>
    <t>BALLESTEROS</t>
  </si>
  <si>
    <t>B/LA ESPERANZA</t>
  </si>
  <si>
    <t>FALLECIO 02/07/2019 INFORMA FT SANDRA</t>
  </si>
  <si>
    <t>ROCIO CAICEDO</t>
  </si>
  <si>
    <t>BEATRIZ ELENA</t>
  </si>
  <si>
    <t>BELTRAN FERIAS</t>
  </si>
  <si>
    <t>ZAIDA MALVINA</t>
  </si>
  <si>
    <t xml:space="preserve">ALMANZA MONTES </t>
  </si>
  <si>
    <t>AC</t>
  </si>
  <si>
    <t>EL QUEMADO</t>
  </si>
  <si>
    <t>ESTA EN UCI, INFORMA FT FADY 11/07/2019</t>
  </si>
  <si>
    <t>B/ LAS ACASIAS TRANSVERSAL 22 #19-25</t>
  </si>
  <si>
    <t>3124606964- 3022796452</t>
  </si>
  <si>
    <t>ANA MARIA</t>
  </si>
  <si>
    <t>NORIEGA DE ORO</t>
  </si>
  <si>
    <t>3106219010-3145364740</t>
  </si>
  <si>
    <t>B/SANTA ELENA TRANSV 6A #27-52</t>
  </si>
  <si>
    <t>MALO MORENO</t>
  </si>
  <si>
    <t>3013707284-3015877114</t>
  </si>
  <si>
    <t>B/SAN ROQUE CALLE 14 ]# 14-80</t>
  </si>
  <si>
    <t>INGRESO                          16/03/2019                    16/04/2019                     07/06/2019                              12/07/2019</t>
  </si>
  <si>
    <t>BANDA PEREZ</t>
  </si>
  <si>
    <t>CALLE 41 #1C-39 BARRIO SUCRE</t>
  </si>
  <si>
    <t>3005902481-7815829</t>
  </si>
  <si>
    <t>NO ATENDIDA POR DOBLE ATENCION</t>
  </si>
  <si>
    <t xml:space="preserve">ILDA ROSA </t>
  </si>
  <si>
    <t>CORDERO ZABALA</t>
  </si>
  <si>
    <t>B/VENUS CRA 18 # 11-31 |</t>
  </si>
  <si>
    <t>3006551280-3008803377</t>
  </si>
  <si>
    <t>NARCIZO MANUEL</t>
  </si>
  <si>
    <t>BELTRAN ESPITIA</t>
  </si>
  <si>
    <t>CA CABEZA Y CUELLO</t>
  </si>
  <si>
    <t>FRENTE A EVALUAMOS</t>
  </si>
  <si>
    <t>3116936285-3115145232</t>
  </si>
  <si>
    <t>TEOLINDA MARIA</t>
  </si>
  <si>
    <t>PEÑA NARVAEZ</t>
  </si>
  <si>
    <t>SECUELAS DE INFARTO CEREBRAL</t>
  </si>
  <si>
    <t>B/SANTA MARIA CRA 15 # 6A-41</t>
  </si>
  <si>
    <t xml:space="preserve">ROSA ELENA </t>
  </si>
  <si>
    <t>BARRIO SAN LUIS CALLE18 8 34</t>
  </si>
  <si>
    <t>FALLECE HACE UN MES INFORMAR DFT MONICA DE LA OSSA EL 12/07/2019</t>
  </si>
  <si>
    <r>
      <t xml:space="preserve">B/SAN PEDRO </t>
    </r>
    <r>
      <rPr>
        <b/>
        <sz val="11"/>
        <color theme="1"/>
        <rFont val="Calibri"/>
        <family val="2"/>
        <scheme val="minor"/>
      </rPr>
      <t>ANA YEPES SOLICITA SOLO FONO</t>
    </r>
  </si>
  <si>
    <t>SHIRLY DE LA BARRERA</t>
  </si>
  <si>
    <t>LINEY DE JESUS</t>
  </si>
  <si>
    <t xml:space="preserve"> PRIOLO CASARRUBIA </t>
  </si>
  <si>
    <t>CLLE 31 # 16 69 B EL EDEN</t>
  </si>
  <si>
    <t xml:space="preserve">BARTOLO MANUEL </t>
  </si>
  <si>
    <t>MUÑOZ RODRIGUEZ</t>
  </si>
  <si>
    <t>DG 1A TV 5 # 1- 116 B/GALILEA</t>
  </si>
  <si>
    <t>ENTREGADO POR DANIEL WHATSAPP</t>
  </si>
  <si>
    <t>SAMIA PEÑA</t>
  </si>
  <si>
    <t>JORGE HURTADO AM - DESIDERIO DORIA PM</t>
  </si>
  <si>
    <t>NEDY MONTECINO</t>
  </si>
  <si>
    <t>NEDY</t>
  </si>
  <si>
    <t>CAROLINA MACEA   3145248098</t>
  </si>
  <si>
    <t>CAROLINA MACEA    3008023402-3157336698</t>
  </si>
  <si>
    <t>MARIA DE LAS MERCEDES</t>
  </si>
  <si>
    <t>RODRIGUEZ BARRIOS</t>
  </si>
  <si>
    <t>ARTRITIS REUMATOIDEA</t>
  </si>
  <si>
    <t>SALUD A SU HOGAR IPS</t>
  </si>
  <si>
    <t>AREA DE FISIOTERAPIA</t>
  </si>
  <si>
    <t xml:space="preserve">TURNOS DE FIN DE SEMANA </t>
  </si>
  <si>
    <t xml:space="preserve">MES </t>
  </si>
  <si>
    <t>SEMANA Nº</t>
  </si>
  <si>
    <t>Turno 3</t>
  </si>
  <si>
    <t>Turno 4</t>
  </si>
  <si>
    <t xml:space="preserve">DIAS </t>
  </si>
  <si>
    <t>YESMI</t>
  </si>
  <si>
    <t>IMPORTANTE</t>
  </si>
  <si>
    <t>JULIO 2019</t>
  </si>
  <si>
    <t>20-21</t>
  </si>
  <si>
    <t>27-28</t>
  </si>
  <si>
    <t>FISIOTERAPEUTAS A CARGO</t>
  </si>
  <si>
    <t>SAMIA</t>
  </si>
  <si>
    <t>FREDDY</t>
  </si>
  <si>
    <t>JORGE</t>
  </si>
  <si>
    <t>LOS PROFESIONALES  A CARGO DEL FIN DE SEMANA SON RESPONSABLES DEL MISMO, SE DIVIDIRAN DE FORMA EQUITATIVA LA CANTIDAD DE USUARIOS DE FIN DE SEMANA.               LAS TERAPIAS RESPIRATORIAS SE REALIZAN LOS DIAS SABADO, DOMINGO Y FESTIVOS.                LOS DIAS SABADO SE REALIZARÁ UNA TERAPIA FISICA A LOS PACIENTES DE DOBLE ATENCIÓN.</t>
  </si>
  <si>
    <t>6,,6</t>
  </si>
  <si>
    <r>
      <t xml:space="preserve">VoBo </t>
    </r>
    <r>
      <rPr>
        <b/>
        <sz val="11"/>
        <color rgb="FF7030A0"/>
        <rFont val="Calibri"/>
        <family val="2"/>
        <scheme val="minor"/>
      </rPr>
      <t>JULIO</t>
    </r>
    <r>
      <rPr>
        <sz val="11"/>
        <color theme="1"/>
        <rFont val="Calibri"/>
        <family val="2"/>
        <scheme val="minor"/>
      </rPr>
      <t xml:space="preserve"> 10/07/2019</t>
    </r>
  </si>
  <si>
    <r>
      <t xml:space="preserve">VoBo </t>
    </r>
    <r>
      <rPr>
        <b/>
        <sz val="11"/>
        <color rgb="FF7030A0"/>
        <rFont val="Calibri"/>
        <family val="2"/>
        <scheme val="minor"/>
      </rPr>
      <t>JULIO</t>
    </r>
    <r>
      <rPr>
        <sz val="11"/>
        <color theme="1"/>
        <rFont val="Calibri"/>
        <family val="2"/>
        <scheme val="minor"/>
      </rPr>
      <t xml:space="preserve"> 10/07/2019 .                                         ORDEN VIGENTE X 6 MESES DE ENERO A JULIO 2019, PEDIR POR CORREO EN ABRIL</t>
    </r>
  </si>
  <si>
    <r>
      <t xml:space="preserve">VoBo </t>
    </r>
    <r>
      <rPr>
        <b/>
        <sz val="11"/>
        <color rgb="FF7030A0"/>
        <rFont val="Calibri"/>
        <family val="2"/>
        <scheme val="minor"/>
      </rPr>
      <t xml:space="preserve">JULIO </t>
    </r>
    <r>
      <rPr>
        <sz val="11"/>
        <color theme="1"/>
        <rFont val="Calibri"/>
        <family val="2"/>
        <scheme val="minor"/>
      </rPr>
      <t xml:space="preserve">10/07/2019 . </t>
    </r>
  </si>
  <si>
    <r>
      <t>VoBo</t>
    </r>
    <r>
      <rPr>
        <b/>
        <sz val="11"/>
        <color theme="1"/>
        <rFont val="Calibri"/>
        <family val="2"/>
        <scheme val="minor"/>
      </rPr>
      <t xml:space="preserve"> </t>
    </r>
    <r>
      <rPr>
        <b/>
        <sz val="11"/>
        <color rgb="FF7030A0"/>
        <rFont val="Calibri"/>
        <family val="2"/>
        <scheme val="minor"/>
      </rPr>
      <t>JULIO</t>
    </r>
    <r>
      <rPr>
        <b/>
        <sz val="11"/>
        <color theme="1"/>
        <rFont val="Calibri"/>
        <family val="2"/>
        <scheme val="minor"/>
      </rPr>
      <t xml:space="preserve"> </t>
    </r>
    <r>
      <rPr>
        <sz val="11"/>
        <color theme="1"/>
        <rFont val="Calibri"/>
        <family val="2"/>
        <scheme val="minor"/>
      </rPr>
      <t xml:space="preserve">10/07/2019 .      </t>
    </r>
  </si>
  <si>
    <r>
      <t>VoBo</t>
    </r>
    <r>
      <rPr>
        <b/>
        <sz val="11"/>
        <color rgb="FF7030A0"/>
        <rFont val="Calibri"/>
        <family val="2"/>
        <scheme val="minor"/>
      </rPr>
      <t xml:space="preserve"> JULIO </t>
    </r>
    <r>
      <rPr>
        <sz val="11"/>
        <color theme="1"/>
        <rFont val="Calibri"/>
        <family val="2"/>
        <scheme val="minor"/>
      </rPr>
      <t>10/07/2019 .                                                                            VoBo</t>
    </r>
    <r>
      <rPr>
        <b/>
        <sz val="11"/>
        <color rgb="FFFF0000"/>
        <rFont val="Calibri"/>
        <family val="2"/>
        <scheme val="minor"/>
      </rPr>
      <t xml:space="preserve"> </t>
    </r>
    <r>
      <rPr>
        <b/>
        <sz val="11"/>
        <color theme="5"/>
        <rFont val="Calibri"/>
        <family val="2"/>
        <scheme val="minor"/>
      </rPr>
      <t xml:space="preserve">JUNIO </t>
    </r>
    <r>
      <rPr>
        <b/>
        <sz val="11"/>
        <color rgb="FFFF0000"/>
        <rFont val="Calibri"/>
        <family val="2"/>
        <scheme val="minor"/>
      </rPr>
      <t>JULIO AGOSTO</t>
    </r>
    <r>
      <rPr>
        <sz val="11"/>
        <color theme="1"/>
        <rFont val="Calibri"/>
        <family val="2"/>
        <scheme val="minor"/>
      </rPr>
      <t xml:space="preserve">, 28/05/2019, Con TF 20 y TL 20 </t>
    </r>
  </si>
  <si>
    <r>
      <t xml:space="preserve">VoBo </t>
    </r>
    <r>
      <rPr>
        <b/>
        <sz val="11"/>
        <color rgb="FF7030A0"/>
        <rFont val="Calibri"/>
        <family val="2"/>
        <scheme val="minor"/>
      </rPr>
      <t xml:space="preserve">JULIO </t>
    </r>
    <r>
      <rPr>
        <sz val="11"/>
        <color theme="1"/>
        <rFont val="Calibri"/>
        <family val="2"/>
        <scheme val="minor"/>
      </rPr>
      <t xml:space="preserve">10/07/2019 .  </t>
    </r>
  </si>
  <si>
    <t>PACIENTE SOLICITA SOLO SER ATENDIDA POR EL DR JAIME 15/07/2019</t>
  </si>
  <si>
    <t>PAOLA PACHECO</t>
  </si>
  <si>
    <r>
      <t>VoBo</t>
    </r>
    <r>
      <rPr>
        <b/>
        <sz val="11"/>
        <color rgb="FF7030A0"/>
        <rFont val="Calibri"/>
        <family val="2"/>
        <scheme val="minor"/>
      </rPr>
      <t xml:space="preserve"> JULIO</t>
    </r>
    <r>
      <rPr>
        <sz val="11"/>
        <color theme="1"/>
        <rFont val="Calibri"/>
        <family val="2"/>
        <scheme val="minor"/>
      </rPr>
      <t xml:space="preserve"> 10/07/2019 . </t>
    </r>
  </si>
  <si>
    <r>
      <t xml:space="preserve">VoBo </t>
    </r>
    <r>
      <rPr>
        <b/>
        <sz val="11"/>
        <color rgb="FF7030A0"/>
        <rFont val="Calibri"/>
        <family val="2"/>
        <scheme val="minor"/>
      </rPr>
      <t>JULIO</t>
    </r>
    <r>
      <rPr>
        <sz val="11"/>
        <color theme="1"/>
        <rFont val="Calibri"/>
        <family val="2"/>
        <scheme val="minor"/>
      </rPr>
      <t xml:space="preserve"> 10/07/2019 .   </t>
    </r>
  </si>
  <si>
    <r>
      <t>VoBo</t>
    </r>
    <r>
      <rPr>
        <b/>
        <sz val="11"/>
        <color rgb="FF7030A0"/>
        <rFont val="Calibri"/>
        <family val="2"/>
        <scheme val="minor"/>
      </rPr>
      <t xml:space="preserve"> JULIO</t>
    </r>
    <r>
      <rPr>
        <sz val="11"/>
        <color theme="1"/>
        <rFont val="Calibri"/>
        <family val="2"/>
        <scheme val="minor"/>
      </rPr>
      <t xml:space="preserve"> 10/07/2019</t>
    </r>
  </si>
  <si>
    <t>JERONIMO</t>
  </si>
  <si>
    <t>CAUSIL OSORIO</t>
  </si>
  <si>
    <t>SEPSIS</t>
  </si>
  <si>
    <t>3137775629-3107764953</t>
  </si>
  <si>
    <t>VDA SABANAL</t>
  </si>
  <si>
    <t>SAN ANDRES DE SOTAVENTO</t>
  </si>
  <si>
    <t>SARA SOFIA</t>
  </si>
  <si>
    <t>PRENS BORJA</t>
  </si>
  <si>
    <t>PC</t>
  </si>
  <si>
    <t>VDA CATABERAL</t>
  </si>
  <si>
    <t>por inconvenientes con el familiar la prof prefiere no realizarlas</t>
  </si>
  <si>
    <r>
      <t>VoBo</t>
    </r>
    <r>
      <rPr>
        <b/>
        <sz val="11"/>
        <color rgb="FF7030A0"/>
        <rFont val="Calibri"/>
        <family val="2"/>
        <scheme val="minor"/>
      </rPr>
      <t xml:space="preserve"> JULIO</t>
    </r>
    <r>
      <rPr>
        <sz val="11"/>
        <color theme="1"/>
        <rFont val="Calibri"/>
        <family val="2"/>
        <scheme val="minor"/>
      </rPr>
      <t xml:space="preserve"> 11/07/2019</t>
    </r>
  </si>
  <si>
    <t>LUIS FELIPE</t>
  </si>
  <si>
    <t>ORTIZ LOPEZ</t>
  </si>
  <si>
    <t>LX MEDULA ESPINAL LUMBAR</t>
  </si>
  <si>
    <t>VDA LOS PERICOS</t>
  </si>
  <si>
    <t>CARMONA BORJA</t>
  </si>
  <si>
    <t>BERTILDA SEGUNDA</t>
  </si>
  <si>
    <t>NUÑEZ DE OQUENDO</t>
  </si>
  <si>
    <t>B/EDMUNDO LOPEZ TV 21 # 12-49</t>
  </si>
  <si>
    <t>TR C/4H POR 6 DIAS</t>
  </si>
  <si>
    <t>ALVAREZ AVILA</t>
  </si>
  <si>
    <t>CORREGIMIENTO LOS CORRALES</t>
  </si>
  <si>
    <t>ZELIDETH ELIONOR</t>
  </si>
  <si>
    <t>PETRO DE ARGEL</t>
  </si>
  <si>
    <t>VERTIGO</t>
  </si>
  <si>
    <t xml:space="preserve">B/LA ESPERANZA </t>
  </si>
  <si>
    <t>3007716264 - 3002110777</t>
  </si>
  <si>
    <t>30 SS C/U X 3 MESES</t>
  </si>
  <si>
    <t>MARCO MANUEL</t>
  </si>
  <si>
    <t>GONZALEZ DIAZ</t>
  </si>
  <si>
    <t>NUEVA EPS</t>
  </si>
  <si>
    <t>VIH</t>
  </si>
  <si>
    <t xml:space="preserve">B/VILLA MATOSO CALLE 22 </t>
  </si>
  <si>
    <t>TR C/8H X 6 DIAS</t>
  </si>
  <si>
    <t>DANNA MARTINEZ</t>
  </si>
  <si>
    <t>3042157396-3216557218-3057589377</t>
  </si>
  <si>
    <t>CRA 15 D # 38 -30 APTO 301 B/LA FLORESTA</t>
  </si>
  <si>
    <t>FALLECIO  INFORMA FT SANDRA 17/07/2019</t>
  </si>
  <si>
    <t xml:space="preserve">WILSON RAFAEL </t>
  </si>
  <si>
    <t>LOPEZ CANECIA</t>
  </si>
  <si>
    <t>NEUMONIA BACTERIANA</t>
  </si>
  <si>
    <t>DG 2 D # 12-04 B/GALILEA</t>
  </si>
  <si>
    <t>3135395870-3148592331</t>
  </si>
  <si>
    <t>MANUEL JOSE</t>
  </si>
  <si>
    <t>FERNANDEZ VALDEZ</t>
  </si>
  <si>
    <t>B/SANTA MARIA CRA 13 # 5A-16</t>
  </si>
  <si>
    <t>TR C/8H X 1 DIAS</t>
  </si>
  <si>
    <t>FALLECE INFORMA FT JORGE EL 18/07/2019</t>
  </si>
  <si>
    <r>
      <t xml:space="preserve">VoBo </t>
    </r>
    <r>
      <rPr>
        <b/>
        <sz val="11"/>
        <color rgb="FF7030A0"/>
        <rFont val="Calibri"/>
        <family val="2"/>
        <scheme val="minor"/>
      </rPr>
      <t>JULIO</t>
    </r>
    <r>
      <rPr>
        <sz val="11"/>
        <color theme="1"/>
        <rFont val="Calibri"/>
        <family val="2"/>
        <scheme val="minor"/>
      </rPr>
      <t xml:space="preserve"> 14/07/2019</t>
    </r>
  </si>
  <si>
    <r>
      <t>VoBo</t>
    </r>
    <r>
      <rPr>
        <b/>
        <sz val="11"/>
        <color rgb="FF7030A0"/>
        <rFont val="Calibri"/>
        <family val="2"/>
        <scheme val="minor"/>
      </rPr>
      <t xml:space="preserve"> JULIO </t>
    </r>
    <r>
      <rPr>
        <sz val="11"/>
        <color theme="1"/>
        <rFont val="Calibri"/>
        <family val="2"/>
        <scheme val="minor"/>
      </rPr>
      <t>14/07/2019 .   -----------------------  TL FI23/05/2019 AL 30/05/2019 (6), FI01/06/2019 AL FE 30/06/2019 (14)</t>
    </r>
  </si>
  <si>
    <r>
      <t xml:space="preserve">VoBo </t>
    </r>
    <r>
      <rPr>
        <b/>
        <sz val="11"/>
        <color rgb="FF7030A0"/>
        <rFont val="Calibri"/>
        <family val="2"/>
        <scheme val="minor"/>
      </rPr>
      <t>JULIO</t>
    </r>
    <r>
      <rPr>
        <sz val="11"/>
        <color theme="1"/>
        <rFont val="Calibri"/>
        <family val="2"/>
        <scheme val="minor"/>
      </rPr>
      <t xml:space="preserve"> 14/07/2019 .  </t>
    </r>
  </si>
  <si>
    <t>Dg 21 Trv 2 y 3 No 2-104 La Granja</t>
  </si>
  <si>
    <t>314158892 - 3148158892</t>
  </si>
  <si>
    <t xml:space="preserve">JUSTINA ROSA </t>
  </si>
  <si>
    <t>CUADRADO SUAREZ</t>
  </si>
  <si>
    <t xml:space="preserve">CRA 3 #21 - 45 </t>
  </si>
  <si>
    <r>
      <rPr>
        <sz val="11"/>
        <rFont val="Calibri"/>
        <family val="2"/>
        <scheme val="minor"/>
      </rPr>
      <t>VoBo</t>
    </r>
    <r>
      <rPr>
        <b/>
        <sz val="11"/>
        <color rgb="FF7030A0"/>
        <rFont val="Calibri"/>
        <family val="2"/>
        <scheme val="minor"/>
      </rPr>
      <t xml:space="preserve"> JULIO</t>
    </r>
    <r>
      <rPr>
        <sz val="11"/>
        <rFont val="Calibri"/>
        <family val="2"/>
        <scheme val="minor"/>
      </rPr>
      <t xml:space="preserve"> 18/07/2019</t>
    </r>
  </si>
  <si>
    <t>TR SOLO POR ESTE MES, FI 19/07/2019, FE 01/08/2019</t>
  </si>
  <si>
    <t>FISIOTERAPEUTA</t>
  </si>
  <si>
    <t>LAURA</t>
  </si>
  <si>
    <t>DESIDERIO</t>
  </si>
  <si>
    <t>YENIS</t>
  </si>
  <si>
    <t>FONOAUDIOLOGO</t>
  </si>
  <si>
    <t>DANNA</t>
  </si>
  <si>
    <t>T. OCUPACIONAL</t>
  </si>
  <si>
    <t>FABRICIO</t>
  </si>
  <si>
    <t>VERGARA DIAZ</t>
  </si>
  <si>
    <t>DILAN VERGARA</t>
  </si>
  <si>
    <t>ANDRES GUILLERMO THERAN</t>
  </si>
  <si>
    <t>ARLIS AGAMEZ</t>
  </si>
  <si>
    <t>TURNOS VEREDAS</t>
  </si>
  <si>
    <t>TRES PALMAS</t>
  </si>
  <si>
    <t>SANTA LUCIA</t>
  </si>
  <si>
    <t xml:space="preserve">TRES PALMAS </t>
  </si>
  <si>
    <t xml:space="preserve">JORGE </t>
  </si>
  <si>
    <t>YULIETH</t>
  </si>
  <si>
    <t>JULIO. 2019</t>
  </si>
  <si>
    <t>JUEVES</t>
  </si>
  <si>
    <t>VIERNES</t>
  </si>
  <si>
    <t>LUNES</t>
  </si>
  <si>
    <t>MARTES</t>
  </si>
  <si>
    <t>MIERCOLES</t>
  </si>
  <si>
    <t>FESTIVO</t>
  </si>
  <si>
    <t>MARIA PAULA MEDRANO</t>
  </si>
  <si>
    <t>FALLECE INFORMA FT DANIELA 19/07/2019</t>
  </si>
  <si>
    <t>DIONISIO</t>
  </si>
  <si>
    <t>GUZMAN PALENCIA</t>
  </si>
  <si>
    <t>CORREO</t>
  </si>
  <si>
    <t xml:space="preserve">EN EL DOMICILIO DE CADA USUARIO DEBE REPOSAR UN PAQUETE DE SOPORTES EN DONDE EL FAMILIAR DEBE FIRMAR CADA VEZ QUE SE ASISTE A LA TERAPIA, Y EL ULTIMO DIA DE LA ATENCION EL TERAPEUTA DE TURNO DEBE RECOGER LA PAPELERIA Y ENTREGAR LA HISTORIA CLINICA DEL USUARIO.                                                                                                                    EL DIA DE EGRESO DEL USUARIO SE RESALTA PARA RECOGER LA PAPELERIA.             </t>
  </si>
  <si>
    <t>fecha de egreso</t>
  </si>
  <si>
    <t xml:space="preserve"> 22/08/2019</t>
  </si>
  <si>
    <t>TURNOS VEREDAS          AGOSTO. 2019</t>
  </si>
  <si>
    <t xml:space="preserve">SEMANA 1 </t>
  </si>
  <si>
    <t>SEMANA 2</t>
  </si>
  <si>
    <t>SEMANA 3</t>
  </si>
  <si>
    <t>SEMANA 4</t>
  </si>
  <si>
    <t>TURNOS VEREDAS          AGOSTO. 2020</t>
  </si>
  <si>
    <t>KEINER RAFAEL</t>
  </si>
  <si>
    <t>BENERALDA ROSA</t>
  </si>
  <si>
    <t xml:space="preserve"> ORDEN EN CARPERA POR 6 MESES FI 01/06/2019 AL 30/11/2019, CON TF 20,  TL 20, TR 20                                                                       ,,,,,,,,,,,,,,,,,,,,,,,,,,,,,,,,,,,,,,,,,,,,,,,,,,,,,,,,,,,,,,,,,,,,,,, ORDEN EN CARPERA POR 4 MESES FI 01/08/2019 AL 30/11/2019, CON TO 20                                                                       ,,,,,,,,,,,,,,,,,,,,,,,,,,,,,,,,,,,,,,,,,,,,,,,,,,,,,,,,,,,,,,,,,,,ORDEN DE TS 20 SS MES FI 08/05/2019, VALIDA POR MAYO, JUNIO, JULIO</t>
  </si>
  <si>
    <t>fallece informa ft Cenovia 22/07/2019</t>
  </si>
  <si>
    <t>PETRONA DEL SOCORRO</t>
  </si>
  <si>
    <t>HERNANDEZ MARQUEZ</t>
  </si>
  <si>
    <t>CALLE 2 CRA 6</t>
  </si>
  <si>
    <t>3126512264-3127125561</t>
  </si>
  <si>
    <t>LORENZA DEL CARMEN</t>
  </si>
  <si>
    <t>CASTAÑO ROJAS</t>
  </si>
  <si>
    <t>POSTQUIRURGICO</t>
  </si>
  <si>
    <t>B/ALTOS DE CASTILLA CRA 13 # 62 A - 34</t>
  </si>
  <si>
    <t>HOSPITALILZADA  INFORMA FT LAURA EL 22/07/2019</t>
  </si>
  <si>
    <t>PDTE ENTREGAR FONO DR JESUS EL 05/08/2019</t>
  </si>
  <si>
    <t xml:space="preserve">TORDECILLA RHENALS </t>
  </si>
  <si>
    <t>CONTRAINDICADO POR ESCARA SIN TTO - FIRMA DISCENTIMIENTO-----fallece informa ft aura 23/07/2019</t>
  </si>
  <si>
    <t xml:space="preserve">CIUDAD </t>
  </si>
  <si>
    <t xml:space="preserve"> GALARCIO ANDRADE</t>
  </si>
  <si>
    <t>TR C/6H X 7 DIAS</t>
  </si>
  <si>
    <t>CRA 1 C # 42 A - 00 B(SUCRE</t>
  </si>
  <si>
    <t>pdte pedir ocupacional, pte con lx medular susspender fono paciente sin altweraciones fonoaudiologicas</t>
  </si>
  <si>
    <t>B/PASATIEMPO</t>
  </si>
  <si>
    <t>FALLECE INFORMA FT YESMI 23/07/2019</t>
  </si>
  <si>
    <t>RAFAEL ZENON</t>
  </si>
  <si>
    <t>GARCIA VELLOJIN</t>
  </si>
  <si>
    <t>SE REALIZA UNA ADICION A LA TR 20 SS X 10 DIAS</t>
  </si>
  <si>
    <t>12+20</t>
  </si>
  <si>
    <t>calle 10 a # 15-35 b/Sandiego</t>
  </si>
  <si>
    <t>HEMIPARESIA DERECHA</t>
  </si>
  <si>
    <t xml:space="preserve">HOGAR DE PASO </t>
  </si>
  <si>
    <t>MANUEL EDUARDO</t>
  </si>
  <si>
    <t>FLOREZ MOLINA</t>
  </si>
  <si>
    <t>B/EDMUNDO LOPEZ DG 16 # 30-21 ETAPA 4</t>
  </si>
  <si>
    <t>3106469384-3145602577</t>
  </si>
  <si>
    <t xml:space="preserve">TR C/6 C X 6 DIAS  </t>
  </si>
  <si>
    <t>ENTREGADO POR MELISA</t>
  </si>
  <si>
    <t>PDTE ORDEN EN CARPETA TF 20 T TL 20 X 3 MESES PARA INICIAR LE 01/08/2019</t>
  </si>
  <si>
    <t>B/CANDELARIA</t>
  </si>
  <si>
    <t>JOSE DENIS</t>
  </si>
  <si>
    <t>BLANCO JULO</t>
  </si>
  <si>
    <t>MENINGITIS BACTERIANA</t>
  </si>
  <si>
    <t>CALLE 1 A # 3-10 B/SAN AGUSTIN</t>
  </si>
  <si>
    <t>3129910441-3178813628</t>
  </si>
  <si>
    <t>JEFE KELLY</t>
  </si>
  <si>
    <t>ALEJANDRINO MANUEL</t>
  </si>
  <si>
    <t>ALVIS ALVAREZ</t>
  </si>
  <si>
    <t>GLIOMA CEREBRAL</t>
  </si>
  <si>
    <t xml:space="preserve">DIRECCION </t>
  </si>
  <si>
    <t>vereda canoa</t>
  </si>
  <si>
    <t>VoBo  23/07/2019 x 3 meses, agosto, septiembre, octubre.</t>
  </si>
  <si>
    <t xml:space="preserve">3116691187 (NANCY HRNA) </t>
  </si>
  <si>
    <t>7641600-3114017147</t>
  </si>
  <si>
    <t xml:space="preserve"> caalle 16 # 15b-51 b/3 mayo</t>
  </si>
  <si>
    <t xml:space="preserve">MZ 7 LT 10 B/VILLA SORRENTO     </t>
  </si>
  <si>
    <t xml:space="preserve">MZ 6 LT 3 VILLA CIELO   </t>
  </si>
  <si>
    <t xml:space="preserve">CALLE 15 # 3 21 BARRIO EL CARMEN </t>
  </si>
  <si>
    <t xml:space="preserve">B/SANTA TERESITA CALLE 1 # 9-67   </t>
  </si>
  <si>
    <t>3215201988-3054346181</t>
  </si>
  <si>
    <t xml:space="preserve">B/JERUSALEN CLLE 23 CRA 10     </t>
  </si>
  <si>
    <t xml:space="preserve">B/SANTA TERESA CALLE 21 #8A-13     </t>
  </si>
  <si>
    <t xml:space="preserve">CASERIO MORALITO </t>
  </si>
  <si>
    <t>3214007401-3135272095-3235167595</t>
  </si>
  <si>
    <t xml:space="preserve">B/LOS RECUERDOS MZ A TORRE 2 </t>
  </si>
  <si>
    <t xml:space="preserve">B/la inmaculada cRa 4 g # 15 - 42      </t>
  </si>
  <si>
    <t>3135985452-3145959770</t>
  </si>
  <si>
    <t xml:space="preserve">B/EL MOGAMBO MZ. 11 LOTE 04     </t>
  </si>
  <si>
    <t xml:space="preserve">CALLE 20 CRA 15 B/BRISALIA </t>
  </si>
  <si>
    <t xml:space="preserve">MZ 8 LT 13 B/SANTA FE   </t>
  </si>
  <si>
    <t xml:space="preserve">CRA 11 # 16-116 B/EL EDEN </t>
  </si>
  <si>
    <t>3224515743-7644176</t>
  </si>
  <si>
    <t>CALLE 7 #7A-59 B/SAN JOSE</t>
  </si>
  <si>
    <t xml:space="preserve">3016063945-3145171025 </t>
  </si>
  <si>
    <t xml:space="preserve">B/LA GRANJA DGNAL 22 4-45       </t>
  </si>
  <si>
    <t xml:space="preserve">B/SANTA ELENA 1 MZ. Q LT 6  </t>
  </si>
  <si>
    <t>3204598419-3146182306 -3116805172</t>
  </si>
  <si>
    <t xml:space="preserve">VILLA NAZARETH MZ 5 LT 4      </t>
  </si>
  <si>
    <t xml:space="preserve">B/7 DE AGOSTO CALLE 8 # 11-75  </t>
  </si>
  <si>
    <t>3176770188-3126401307</t>
  </si>
  <si>
    <t xml:space="preserve">Urb. Vallejo etapa 2, 17w # 15- 06  </t>
  </si>
  <si>
    <t xml:space="preserve">311 609 6049  </t>
  </si>
  <si>
    <t xml:space="preserve">B/ rancho grande MZ 8 LT 10 TEL </t>
  </si>
  <si>
    <t>314 577 2256</t>
  </si>
  <si>
    <t xml:space="preserve">B/EL DORADO </t>
  </si>
  <si>
    <t>3135191065-7843579</t>
  </si>
  <si>
    <t xml:space="preserve">VDA EL BINDE  </t>
  </si>
  <si>
    <t>CLLE 22 #4Y5 CENTRO # 4-19</t>
  </si>
  <si>
    <t xml:space="preserve">B/6 DE MARZO CALLE 12 # 20-112            </t>
  </si>
  <si>
    <t xml:space="preserve">VDA EL CARITO, </t>
  </si>
  <si>
    <t>3114153039-3147029211</t>
  </si>
  <si>
    <t xml:space="preserve">B/ SAN ROQUE CRA 14 A # 15-12      </t>
  </si>
  <si>
    <t>3135262042-3118023050</t>
  </si>
  <si>
    <t xml:space="preserve">SAN SEBASTIAN      </t>
  </si>
  <si>
    <t xml:space="preserve">CRA 7  # 7-38 B/CENTRO     </t>
  </si>
  <si>
    <t>3054686800-</t>
  </si>
  <si>
    <t xml:space="preserve">VDA MATECAÑA    </t>
  </si>
  <si>
    <t>B/CASTILLAMCALLE 101 #13-91</t>
  </si>
  <si>
    <t xml:space="preserve">CALLE 17 A # 14-31 B/MONTECRISTO    </t>
  </si>
  <si>
    <t xml:space="preserve">VDA CIRARA-LIMON                            </t>
  </si>
  <si>
    <t xml:space="preserve">VDA ABROJAL     </t>
  </si>
  <si>
    <t>3016305065-3023836461</t>
  </si>
  <si>
    <t xml:space="preserve">MZ 1 LT 20 B/LOSA ROBLES        </t>
  </si>
  <si>
    <t xml:space="preserve">B/MOGAMBO MZ 50 LT 11      </t>
  </si>
  <si>
    <t xml:space="preserve">B/NUEVA COLOMBIA CALLE 27 # 25-45             </t>
  </si>
  <si>
    <t xml:space="preserve">CRA 13 # 2-82       B/REMOLINO       </t>
  </si>
  <si>
    <t>3006911040-3126607968</t>
  </si>
  <si>
    <t xml:space="preserve">B/LAS PALMAS     </t>
  </si>
  <si>
    <t xml:space="preserve">3205048018. </t>
  </si>
  <si>
    <t xml:space="preserve">HOGAR DE PASO SALUD A SU HOGAR </t>
  </si>
  <si>
    <t>3105089992-3122453601-3122453602</t>
  </si>
  <si>
    <t xml:space="preserve">  B/ ZARABANDA  CRA 13 #14 B -70     </t>
  </si>
  <si>
    <t xml:space="preserve">VDA LOS BONGOS  </t>
  </si>
  <si>
    <t xml:space="preserve">CRA 1 # 88-15 B/7 DE MAYO       </t>
  </si>
  <si>
    <t>3229059419-3142695184</t>
  </si>
  <si>
    <t xml:space="preserve">calle 16 cr 29 # 16- 29 b/ san pedro lorica
cel: </t>
  </si>
  <si>
    <t>3145626175
3215161736</t>
  </si>
  <si>
    <t xml:space="preserve">B/VILLA MELISA </t>
  </si>
  <si>
    <t xml:space="preserve">B/SARABANDA     </t>
  </si>
  <si>
    <t xml:space="preserve">CALLE 36 #14B-34   </t>
  </si>
  <si>
    <t xml:space="preserve">CALLE 17 A # 35 -25 B/6 DE ENERO    </t>
  </si>
  <si>
    <t xml:space="preserve">  B/FINZENU CALLE 27 A - 21 , </t>
  </si>
  <si>
    <t xml:space="preserve">B/SANTA TERESA CALLE 4 CRA 21      </t>
  </si>
  <si>
    <t>3116087349-3012650371</t>
  </si>
  <si>
    <t xml:space="preserve">hOGAR DE PASO </t>
  </si>
  <si>
    <t>B/RANCHO GRANDE</t>
  </si>
  <si>
    <t>B/RECREO</t>
  </si>
  <si>
    <t>/SITIO NUEVO</t>
  </si>
  <si>
    <t>LOPEZ GOMEZ</t>
  </si>
  <si>
    <t xml:space="preserve">PACIENTE ENTREGADA POR BRIANA, A QUIEN EL DR JORGE DEBE VALORAR Y SUGERIR EL PLANA ARELAIZAR Y EL TIEMPO. PARA PODER SOLICITAR </t>
  </si>
  <si>
    <t>EDIFICIO IWAZU CALLE 66 # 2-83</t>
  </si>
  <si>
    <t>CRISIS ASMATICA MODERADA</t>
  </si>
  <si>
    <t>TULIA VITERBA</t>
  </si>
  <si>
    <t>VITOLA LOPEZ</t>
  </si>
  <si>
    <t>CRA 11 # 30-45 B/CENTRO</t>
  </si>
  <si>
    <t>7827334-3128360166</t>
  </si>
  <si>
    <t>GABRIEL EUGENIO</t>
  </si>
  <si>
    <t>GARCES GARCES</t>
  </si>
  <si>
    <t>3172603303-3152498957</t>
  </si>
  <si>
    <t>CASA # 12B-45 POR LA ALCALDIA DETRÁS DEL CAMU</t>
  </si>
  <si>
    <t>KATHERIN</t>
  </si>
  <si>
    <t>ELIA MARGARITA</t>
  </si>
  <si>
    <t>ORTEGA DE SOTO</t>
  </si>
  <si>
    <t>B/EL BOSQUE CALLE 94 # 7-10</t>
  </si>
  <si>
    <t>3185924214-3132323263</t>
  </si>
  <si>
    <t>JESUS MARIANO</t>
  </si>
  <si>
    <t>VERGARA PUCHE</t>
  </si>
  <si>
    <t>TRASTORNO BIPOLAR</t>
  </si>
  <si>
    <t>CALLE 60 # 10-40B B/CASTELLANA</t>
  </si>
  <si>
    <r>
      <t xml:space="preserve">VoBo </t>
    </r>
    <r>
      <rPr>
        <b/>
        <sz val="11"/>
        <color rgb="FF0070C0"/>
        <rFont val="Calibri"/>
        <family val="2"/>
        <scheme val="minor"/>
      </rPr>
      <t>AGOSTO 24</t>
    </r>
    <r>
      <rPr>
        <sz val="11"/>
        <color theme="1"/>
        <rFont val="Calibri"/>
        <family val="2"/>
        <scheme val="minor"/>
      </rPr>
      <t>/07/2019</t>
    </r>
  </si>
  <si>
    <r>
      <t xml:space="preserve">VoBo JULIO 28/06/19, </t>
    </r>
    <r>
      <rPr>
        <b/>
        <sz val="11"/>
        <color theme="8" tint="-0.249977111117893"/>
        <rFont val="Calibri"/>
        <family val="2"/>
        <scheme val="minor"/>
      </rPr>
      <t>AGOSTO 25/07/2019 + TL,</t>
    </r>
    <r>
      <rPr>
        <sz val="11"/>
        <color theme="8" tint="-0.249977111117893"/>
        <rFont val="Calibri"/>
        <family val="2"/>
        <scheme val="minor"/>
      </rPr>
      <t xml:space="preserve"> </t>
    </r>
    <r>
      <rPr>
        <sz val="11"/>
        <color theme="1"/>
        <rFont val="Calibri"/>
        <family val="2"/>
        <scheme val="minor"/>
      </rPr>
      <t xml:space="preserve">SEPTIEMBRE  </t>
    </r>
  </si>
  <si>
    <r>
      <t xml:space="preserve">VoBo </t>
    </r>
    <r>
      <rPr>
        <b/>
        <sz val="11"/>
        <color rgb="FF7030A0"/>
        <rFont val="Calibri"/>
        <family val="2"/>
        <scheme val="minor"/>
      </rPr>
      <t>JULIO</t>
    </r>
    <r>
      <rPr>
        <sz val="11"/>
        <color theme="1"/>
        <rFont val="Calibri"/>
        <family val="2"/>
        <scheme val="minor"/>
      </rPr>
      <t xml:space="preserve">  24/07/2019</t>
    </r>
  </si>
  <si>
    <r>
      <t xml:space="preserve">VoBo </t>
    </r>
    <r>
      <rPr>
        <b/>
        <sz val="11"/>
        <color rgb="FF7030A0"/>
        <rFont val="Calibri"/>
        <family val="2"/>
        <scheme val="minor"/>
      </rPr>
      <t>JULIO</t>
    </r>
    <r>
      <rPr>
        <sz val="11"/>
        <color theme="1"/>
        <rFont val="Calibri"/>
        <family val="2"/>
        <scheme val="minor"/>
      </rPr>
      <t xml:space="preserve"> 24/07/2019</t>
    </r>
  </si>
  <si>
    <r>
      <t>VoBo</t>
    </r>
    <r>
      <rPr>
        <sz val="11"/>
        <color rgb="FF7030A0"/>
        <rFont val="Calibri"/>
        <family val="2"/>
        <scheme val="minor"/>
      </rPr>
      <t xml:space="preserve"> </t>
    </r>
    <r>
      <rPr>
        <b/>
        <sz val="11"/>
        <color rgb="FF7030A0"/>
        <rFont val="Calibri"/>
        <family val="2"/>
        <scheme val="minor"/>
      </rPr>
      <t>JULIO</t>
    </r>
    <r>
      <rPr>
        <sz val="11"/>
        <color rgb="FF7030A0"/>
        <rFont val="Calibri"/>
        <family val="2"/>
        <scheme val="minor"/>
      </rPr>
      <t xml:space="preserve"> </t>
    </r>
    <r>
      <rPr>
        <sz val="11"/>
        <color theme="1"/>
        <rFont val="Calibri"/>
        <family val="2"/>
        <scheme val="minor"/>
      </rPr>
      <t>26/07/2019</t>
    </r>
  </si>
  <si>
    <r>
      <t xml:space="preserve">VoBo </t>
    </r>
    <r>
      <rPr>
        <b/>
        <sz val="11"/>
        <color rgb="FF7030A0"/>
        <rFont val="Calibri"/>
        <family val="2"/>
        <scheme val="minor"/>
      </rPr>
      <t>JULIO</t>
    </r>
    <r>
      <rPr>
        <sz val="11"/>
        <color theme="1"/>
        <rFont val="Calibri"/>
        <family val="2"/>
        <scheme val="minor"/>
      </rPr>
      <t xml:space="preserve"> 26/07/2019</t>
    </r>
  </si>
  <si>
    <r>
      <t xml:space="preserve">VoBo </t>
    </r>
    <r>
      <rPr>
        <b/>
        <sz val="11"/>
        <color rgb="FF7030A0"/>
        <rFont val="Calibri"/>
        <family val="2"/>
        <scheme val="minor"/>
      </rPr>
      <t>JUlIO</t>
    </r>
    <r>
      <rPr>
        <sz val="11"/>
        <color theme="1"/>
        <rFont val="Calibri"/>
        <family val="2"/>
        <scheme val="minor"/>
      </rPr>
      <t xml:space="preserve"> 26/07/2019</t>
    </r>
  </si>
  <si>
    <r>
      <t>VoBo</t>
    </r>
    <r>
      <rPr>
        <sz val="11"/>
        <color rgb="FF7030A0"/>
        <rFont val="Calibri"/>
        <family val="2"/>
        <scheme val="minor"/>
      </rPr>
      <t xml:space="preserve"> </t>
    </r>
    <r>
      <rPr>
        <b/>
        <sz val="11"/>
        <color rgb="FF7030A0"/>
        <rFont val="Calibri"/>
        <family val="2"/>
        <scheme val="minor"/>
      </rPr>
      <t>JULIO</t>
    </r>
    <r>
      <rPr>
        <sz val="11"/>
        <color theme="1"/>
        <rFont val="Calibri"/>
        <family val="2"/>
        <scheme val="minor"/>
      </rPr>
      <t xml:space="preserve"> 26/07/2019</t>
    </r>
  </si>
  <si>
    <r>
      <t>VoBo</t>
    </r>
    <r>
      <rPr>
        <b/>
        <sz val="11"/>
        <color theme="9" tint="-0.249977111117893"/>
        <rFont val="Calibri"/>
        <family val="2"/>
        <scheme val="minor"/>
      </rPr>
      <t xml:space="preserve"> </t>
    </r>
    <r>
      <rPr>
        <b/>
        <sz val="11"/>
        <color rgb="FF7030A0"/>
        <rFont val="Calibri"/>
        <family val="2"/>
        <scheme val="minor"/>
      </rPr>
      <t xml:space="preserve">JULIO </t>
    </r>
    <r>
      <rPr>
        <sz val="11"/>
        <color theme="1"/>
        <rFont val="Calibri"/>
        <family val="2"/>
        <scheme val="minor"/>
      </rPr>
      <t>26/07/2019</t>
    </r>
  </si>
  <si>
    <t>fallecio informa Dr Anyel 26/07/2019</t>
  </si>
  <si>
    <t>Barrio Simón Bolívar Mz A Lt  5</t>
  </si>
  <si>
    <r>
      <t xml:space="preserve">VoBo </t>
    </r>
    <r>
      <rPr>
        <b/>
        <sz val="11"/>
        <color rgb="FF7030A0"/>
        <rFont val="Calibri"/>
        <family val="2"/>
        <scheme val="minor"/>
      </rPr>
      <t>JULIO</t>
    </r>
    <r>
      <rPr>
        <sz val="11"/>
        <color rgb="FF7030A0"/>
        <rFont val="Calibri"/>
        <family val="2"/>
        <scheme val="minor"/>
      </rPr>
      <t xml:space="preserve"> 26</t>
    </r>
    <r>
      <rPr>
        <sz val="11"/>
        <color theme="1"/>
        <rFont val="Calibri"/>
        <family val="2"/>
        <scheme val="minor"/>
      </rPr>
      <t>/07/2019</t>
    </r>
  </si>
  <si>
    <t>ARCINIEGAS ESPITIA</t>
  </si>
  <si>
    <t xml:space="preserve"> TUMOR MALIGNO DE LA PROSTATA</t>
  </si>
  <si>
    <t xml:space="preserve">B/CASTELLANA CRA 10 # 60-43 </t>
  </si>
  <si>
    <t>SILVIA ROSA</t>
  </si>
  <si>
    <t>PAEZ COGOLLO</t>
  </si>
  <si>
    <t>CUADRIPARESIA ESPASTICA</t>
  </si>
  <si>
    <t>FERNANDA JOSEFA</t>
  </si>
  <si>
    <t>VILA SANCHEZ</t>
  </si>
  <si>
    <t>calle 36a número 22 - 17 barrio Juan 23</t>
  </si>
  <si>
    <t>311 352 4019</t>
  </si>
  <si>
    <t>ENTREGADO POR JEFE MAIRA EL 25/07/2019</t>
  </si>
  <si>
    <t xml:space="preserve">CALLE 1 C # 26 A -25 B/CANDELARIA </t>
  </si>
  <si>
    <t>bajar terapias</t>
  </si>
  <si>
    <r>
      <t>Vo Bo</t>
    </r>
    <r>
      <rPr>
        <b/>
        <sz val="11"/>
        <color rgb="FF7030A0"/>
        <rFont val="Calibri"/>
        <family val="2"/>
        <scheme val="minor"/>
      </rPr>
      <t xml:space="preserve"> JULIO</t>
    </r>
    <r>
      <rPr>
        <sz val="11"/>
        <color theme="1"/>
        <rFont val="Calibri"/>
        <family val="2"/>
        <scheme val="minor"/>
      </rPr>
      <t xml:space="preserve"> 26/07/2019</t>
    </r>
  </si>
  <si>
    <r>
      <t>VoBo</t>
    </r>
    <r>
      <rPr>
        <b/>
        <sz val="11"/>
        <color theme="5"/>
        <rFont val="Calibri"/>
        <family val="2"/>
        <scheme val="minor"/>
      </rPr>
      <t xml:space="preserve"> </t>
    </r>
    <r>
      <rPr>
        <b/>
        <sz val="11"/>
        <color rgb="FF7030A0"/>
        <rFont val="Calibri"/>
        <family val="2"/>
        <scheme val="minor"/>
      </rPr>
      <t>JULIO</t>
    </r>
    <r>
      <rPr>
        <sz val="11"/>
        <color theme="1"/>
        <rFont val="Calibri"/>
        <family val="2"/>
        <scheme val="minor"/>
      </rPr>
      <t xml:space="preserve"> 26/07/2019</t>
    </r>
  </si>
  <si>
    <r>
      <t xml:space="preserve">VoBo </t>
    </r>
    <r>
      <rPr>
        <b/>
        <sz val="11"/>
        <color rgb="FF7030A0"/>
        <rFont val="Calibri"/>
        <family val="2"/>
        <scheme val="minor"/>
      </rPr>
      <t>JULIO</t>
    </r>
    <r>
      <rPr>
        <sz val="11"/>
        <color theme="1"/>
        <rFont val="Calibri"/>
        <family val="2"/>
        <scheme val="minor"/>
      </rPr>
      <t xml:space="preserve"> 26/07/2019 .   </t>
    </r>
  </si>
  <si>
    <t>20SS MES X  3 MESES del 18/06/2019 al 17/09/2019</t>
  </si>
  <si>
    <t>MARIA GRACIELA</t>
  </si>
  <si>
    <t>DIAZ DE ALVAREZ</t>
  </si>
  <si>
    <t>Calle 43a No 1a-38 Sucre</t>
  </si>
  <si>
    <t>3013901741.</t>
  </si>
  <si>
    <r>
      <t xml:space="preserve">VoBo </t>
    </r>
    <r>
      <rPr>
        <b/>
        <sz val="11"/>
        <color rgb="FF7030A0"/>
        <rFont val="Calibri"/>
        <family val="2"/>
        <scheme val="minor"/>
      </rPr>
      <t>JULIO</t>
    </r>
    <r>
      <rPr>
        <sz val="11"/>
        <color theme="1"/>
        <rFont val="Calibri"/>
        <family val="2"/>
        <scheme val="minor"/>
      </rPr>
      <t xml:space="preserve"> 26/07/2019                                               </t>
    </r>
  </si>
  <si>
    <r>
      <t xml:space="preserve">VoBo </t>
    </r>
    <r>
      <rPr>
        <b/>
        <sz val="11"/>
        <color rgb="FF7030A0"/>
        <rFont val="Calibri"/>
        <family val="2"/>
        <scheme val="minor"/>
      </rPr>
      <t>JULIO 26</t>
    </r>
    <r>
      <rPr>
        <sz val="11"/>
        <color theme="1"/>
        <rFont val="Calibri"/>
        <family val="2"/>
        <scheme val="minor"/>
      </rPr>
      <t xml:space="preserve">/07/2019 . </t>
    </r>
  </si>
  <si>
    <r>
      <t>VoBo</t>
    </r>
    <r>
      <rPr>
        <sz val="11"/>
        <color rgb="FF7030A0"/>
        <rFont val="Calibri"/>
        <family val="2"/>
        <scheme val="minor"/>
      </rPr>
      <t xml:space="preserve"> </t>
    </r>
    <r>
      <rPr>
        <b/>
        <sz val="11"/>
        <color rgb="FF7030A0"/>
        <rFont val="Calibri"/>
        <family val="2"/>
        <scheme val="minor"/>
      </rPr>
      <t>JULIO</t>
    </r>
    <r>
      <rPr>
        <sz val="11"/>
        <color rgb="FF7030A0"/>
        <rFont val="Calibri"/>
        <family val="2"/>
        <scheme val="minor"/>
      </rPr>
      <t xml:space="preserve"> 2</t>
    </r>
    <r>
      <rPr>
        <sz val="11"/>
        <color theme="1"/>
        <rFont val="Calibri"/>
        <family val="2"/>
        <scheme val="minor"/>
      </rPr>
      <t>6/07/2019</t>
    </r>
  </si>
  <si>
    <r>
      <t xml:space="preserve">20 SS C/U X 3 MESES, VOBO DEL 24/04/2019, FECHA DE INICIO EL 27/04/2019 Y FECHA DE EGRESO EL 26/07/2019                     VoBo </t>
    </r>
    <r>
      <rPr>
        <b/>
        <sz val="11"/>
        <color rgb="FF7030A0"/>
        <rFont val="Calibri"/>
        <family val="2"/>
        <scheme val="minor"/>
      </rPr>
      <t xml:space="preserve">JULIO </t>
    </r>
    <r>
      <rPr>
        <sz val="11"/>
        <color theme="1"/>
        <rFont val="Calibri"/>
        <family val="2"/>
        <scheme val="minor"/>
      </rPr>
      <t>26/07/2019</t>
    </r>
  </si>
  <si>
    <t xml:space="preserve">FIDEL ANTONIO </t>
  </si>
  <si>
    <t>MONTIEL MERCADO</t>
  </si>
  <si>
    <t>3187810913-3126909971</t>
  </si>
  <si>
    <t>SE ENTREGA EN AGOSTO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</si>
</sst>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quot;$&quot;\ #,##0;[Red]\-&quot;$&quot;\ #,##0"/>
    <numFmt numFmtId="165" formatCode="&quot;$&quot;\ #,##0.00;[Red]\-&quot;$&quot;\ #,##0.00"/>
    <numFmt numFmtId="166" formatCode="&quot;$&quot;\ #,##0"/>
    <numFmt numFmtId="167" formatCode="&quot;$&quot;\ #,##0;[Red]&quot;$&quot;\ #,##0"/>
    <numFmt numFmtId="168" formatCode="&quot;$&quot;\ #,##0.000"/>
  </numFmts>
  <fonts count="57" x14ac:knownFonts="1">
    <font>
      <sz val="11"/>
      <color theme="1"/>
      <name val="Calibri"/>
      <family val="2"/>
      <scheme val="minor"/>
    </font>
    <font>
      <b/>
      <sz val="11"/>
      <color theme="1"/>
      <name val="Calibri"/>
      <family val="2"/>
      <scheme val="minor"/>
    </font>
    <font>
      <sz val="10"/>
      <color theme="1"/>
      <name val="Calibri"/>
      <family val="2"/>
      <scheme val="minor"/>
    </font>
    <font>
      <sz val="9"/>
      <color theme="1"/>
      <name val="Calibri"/>
      <family val="2"/>
      <scheme val="minor"/>
    </font>
    <font>
      <sz val="8"/>
      <color theme="1"/>
      <name val="Calibri"/>
      <family val="2"/>
      <scheme val="minor"/>
    </font>
    <font>
      <b/>
      <sz val="10"/>
      <color theme="1"/>
      <name val="Calibri"/>
      <family val="2"/>
      <scheme val="minor"/>
    </font>
    <font>
      <b/>
      <sz val="22"/>
      <color theme="1"/>
      <name val="Calibri"/>
      <family val="2"/>
      <scheme val="minor"/>
    </font>
    <font>
      <b/>
      <sz val="9"/>
      <color theme="1"/>
      <name val="Calibri"/>
      <family val="2"/>
      <scheme val="minor"/>
    </font>
    <font>
      <b/>
      <sz val="8"/>
      <color theme="1"/>
      <name val="Calibri"/>
      <family val="2"/>
      <scheme val="minor"/>
    </font>
    <font>
      <sz val="11"/>
      <name val="Calibri"/>
      <family val="2"/>
      <scheme val="minor"/>
    </font>
    <font>
      <b/>
      <i/>
      <sz val="11"/>
      <color theme="1"/>
      <name val="Calibri"/>
      <family val="2"/>
      <scheme val="minor"/>
    </font>
    <font>
      <sz val="10"/>
      <name val="Calibri"/>
      <family val="2"/>
      <scheme val="minor"/>
    </font>
    <font>
      <sz val="12"/>
      <color theme="1"/>
      <name val="Calibri"/>
      <family val="2"/>
      <scheme val="minor"/>
    </font>
    <font>
      <b/>
      <sz val="9"/>
      <color indexed="10"/>
      <name val="Tahoma"/>
      <family val="2"/>
    </font>
    <font>
      <sz val="9"/>
      <color indexed="10"/>
      <name val="Tahoma"/>
      <family val="2"/>
    </font>
    <font>
      <b/>
      <i/>
      <sz val="8"/>
      <color theme="1"/>
      <name val="Calibri"/>
      <family val="2"/>
      <scheme val="minor"/>
    </font>
    <font>
      <b/>
      <sz val="11"/>
      <name val="Calibri"/>
      <family val="2"/>
      <scheme val="minor"/>
    </font>
    <font>
      <b/>
      <sz val="9"/>
      <name val="Calibri"/>
      <family val="2"/>
      <scheme val="minor"/>
    </font>
    <font>
      <b/>
      <sz val="10"/>
      <name val="Calibri"/>
      <family val="2"/>
      <scheme val="minor"/>
    </font>
    <font>
      <b/>
      <sz val="14"/>
      <color theme="1"/>
      <name val="Calibri"/>
      <family val="2"/>
      <scheme val="minor"/>
    </font>
    <font>
      <b/>
      <sz val="28"/>
      <color theme="1"/>
      <name val="Calibri"/>
      <family val="2"/>
      <scheme val="minor"/>
    </font>
    <font>
      <b/>
      <sz val="12"/>
      <color theme="1"/>
      <name val="Calibri"/>
      <family val="2"/>
      <scheme val="minor"/>
    </font>
    <font>
      <sz val="22"/>
      <color theme="1"/>
      <name val="Calibri"/>
      <family val="2"/>
      <scheme val="minor"/>
    </font>
    <font>
      <b/>
      <sz val="20"/>
      <color theme="1"/>
      <name val="Calibri"/>
      <family val="2"/>
      <scheme val="minor"/>
    </font>
    <font>
      <sz val="14"/>
      <color theme="1"/>
      <name val="Calibri"/>
      <family val="2"/>
      <scheme val="minor"/>
    </font>
    <font>
      <sz val="11"/>
      <color rgb="FFFF0000"/>
      <name val="Calibri"/>
      <family val="2"/>
      <scheme val="minor"/>
    </font>
    <font>
      <b/>
      <sz val="11"/>
      <color theme="8" tint="-0.499984740745262"/>
      <name val="Calibri"/>
      <family val="2"/>
      <scheme val="minor"/>
    </font>
    <font>
      <sz val="8"/>
      <color rgb="FF000000"/>
      <name val="Calibri"/>
      <family val="2"/>
      <scheme val="minor"/>
    </font>
    <font>
      <b/>
      <sz val="10"/>
      <color theme="1"/>
      <name val="Verdana"/>
      <family val="2"/>
    </font>
    <font>
      <b/>
      <sz val="11"/>
      <color theme="9" tint="-0.249977111117893"/>
      <name val="Calibri"/>
      <family val="2"/>
      <scheme val="minor"/>
    </font>
    <font>
      <sz val="11"/>
      <color theme="9" tint="-0.249977111117893"/>
      <name val="Calibri"/>
      <family val="2"/>
      <scheme val="minor"/>
    </font>
    <font>
      <sz val="9"/>
      <name val="Calibri"/>
      <family val="2"/>
      <scheme val="minor"/>
    </font>
    <font>
      <b/>
      <sz val="11"/>
      <color rgb="FFFF0000"/>
      <name val="Calibri"/>
      <family val="2"/>
      <scheme val="minor"/>
    </font>
    <font>
      <b/>
      <sz val="11"/>
      <color theme="5" tint="-0.249977111117893"/>
      <name val="Calibri"/>
      <family val="2"/>
      <scheme val="minor"/>
    </font>
    <font>
      <sz val="11"/>
      <color theme="5" tint="-0.249977111117893"/>
      <name val="Calibri"/>
      <family val="2"/>
      <scheme val="minor"/>
    </font>
    <font>
      <b/>
      <sz val="11"/>
      <color theme="5"/>
      <name val="Calibri"/>
      <family val="2"/>
      <scheme val="minor"/>
    </font>
    <font>
      <sz val="11"/>
      <color theme="5"/>
      <name val="Calibri"/>
      <family val="2"/>
      <scheme val="minor"/>
    </font>
    <font>
      <b/>
      <sz val="11"/>
      <color rgb="FF7030A0"/>
      <name val="Calibri"/>
      <family val="2"/>
      <scheme val="minor"/>
    </font>
    <font>
      <b/>
      <sz val="12"/>
      <color rgb="FF000000"/>
      <name val="Calibri"/>
      <family val="2"/>
    </font>
    <font>
      <sz val="11"/>
      <name val="Calibri"/>
      <family val="2"/>
    </font>
    <font>
      <b/>
      <i/>
      <sz val="12"/>
      <color rgb="FF000000"/>
      <name val="Calibri"/>
      <family val="2"/>
    </font>
    <font>
      <b/>
      <sz val="12"/>
      <name val="Calibri"/>
      <family val="2"/>
    </font>
    <font>
      <b/>
      <sz val="10"/>
      <color rgb="FF000000"/>
      <name val="Calibri"/>
      <family val="2"/>
    </font>
    <font>
      <sz val="12"/>
      <color rgb="FF000000"/>
      <name val="Calibri"/>
      <family val="2"/>
    </font>
    <font>
      <sz val="11"/>
      <color rgb="FF7030A0"/>
      <name val="Calibri"/>
      <family val="2"/>
      <scheme val="minor"/>
    </font>
    <font>
      <sz val="11"/>
      <color rgb="FF000000"/>
      <name val="Calibri"/>
      <family val="2"/>
    </font>
    <font>
      <b/>
      <sz val="11"/>
      <color rgb="FF000000"/>
      <name val="Calibri"/>
      <family val="2"/>
    </font>
    <font>
      <b/>
      <sz val="16"/>
      <color rgb="FF000000"/>
      <name val="Calibri"/>
      <family val="2"/>
    </font>
    <font>
      <sz val="11"/>
      <color rgb="FF000000"/>
      <name val="Calibri"/>
      <family val="2"/>
    </font>
    <font>
      <b/>
      <sz val="9"/>
      <color rgb="FF000000"/>
      <name val="Calibri"/>
      <family val="2"/>
    </font>
    <font>
      <sz val="9"/>
      <color rgb="FF000000"/>
      <name val="Calibri"/>
      <family val="2"/>
    </font>
    <font>
      <sz val="8"/>
      <color rgb="FF000000"/>
      <name val="Calibri"/>
      <family val="2"/>
    </font>
    <font>
      <b/>
      <sz val="8"/>
      <color rgb="FF000000"/>
      <name val="Calibri"/>
      <family val="2"/>
    </font>
    <font>
      <sz val="10"/>
      <color rgb="FF000000"/>
      <name val="Calibri"/>
      <family val="2"/>
      <scheme val="minor"/>
    </font>
    <font>
      <b/>
      <sz val="11"/>
      <color rgb="FF0070C0"/>
      <name val="Calibri"/>
      <family val="2"/>
      <scheme val="minor"/>
    </font>
    <font>
      <sz val="11"/>
      <color theme="8" tint="-0.249977111117893"/>
      <name val="Calibri"/>
      <family val="2"/>
      <scheme val="minor"/>
    </font>
    <font>
      <b/>
      <sz val="11"/>
      <color theme="8" tint="-0.249977111117893"/>
      <name val="Calibri"/>
      <family val="2"/>
      <scheme val="minor"/>
    </font>
  </fonts>
  <fills count="39">
    <fill>
      <patternFill patternType="none"/>
    </fill>
    <fill>
      <patternFill patternType="gray125"/>
    </fill>
    <fill>
      <patternFill patternType="solid">
        <fgColor rgb="FFFF0000"/>
        <bgColor indexed="64"/>
      </patternFill>
    </fill>
    <fill>
      <patternFill patternType="solid">
        <fgColor theme="4" tint="0.79998168889431442"/>
        <bgColor indexed="64"/>
      </patternFill>
    </fill>
    <fill>
      <patternFill patternType="solid">
        <fgColor rgb="FF00B050"/>
        <bgColor indexed="64"/>
      </patternFill>
    </fill>
    <fill>
      <patternFill patternType="solid">
        <fgColor rgb="FFFFF8E5"/>
        <bgColor indexed="64"/>
      </patternFill>
    </fill>
    <fill>
      <patternFill patternType="solid">
        <fgColor rgb="FF00B0F0"/>
        <bgColor indexed="64"/>
      </patternFill>
    </fill>
    <fill>
      <patternFill patternType="solid">
        <fgColor rgb="FFFEFAF8"/>
        <bgColor indexed="64"/>
      </patternFill>
    </fill>
    <fill>
      <patternFill patternType="solid">
        <fgColor rgb="FFF7FFF7"/>
        <bgColor indexed="64"/>
      </patternFill>
    </fill>
    <fill>
      <patternFill patternType="solid">
        <fgColor theme="4"/>
        <bgColor indexed="64"/>
      </patternFill>
    </fill>
    <fill>
      <patternFill patternType="solid">
        <fgColor theme="8" tint="0.79998168889431442"/>
        <bgColor indexed="64"/>
      </patternFill>
    </fill>
    <fill>
      <patternFill patternType="solid">
        <fgColor rgb="FFF3F5FB"/>
        <bgColor indexed="64"/>
      </patternFill>
    </fill>
    <fill>
      <patternFill patternType="solid">
        <fgColor theme="8" tint="0.39997558519241921"/>
        <bgColor indexed="64"/>
      </patternFill>
    </fill>
    <fill>
      <patternFill patternType="solid">
        <fgColor rgb="FFF1FDF6"/>
        <bgColor indexed="64"/>
      </patternFill>
    </fill>
    <fill>
      <patternFill patternType="solid">
        <fgColor rgb="FFA3A3FF"/>
        <bgColor indexed="64"/>
      </patternFill>
    </fill>
    <fill>
      <patternFill patternType="solid">
        <fgColor rgb="FFEFEFFF"/>
        <bgColor indexed="64"/>
      </patternFill>
    </fill>
    <fill>
      <patternFill patternType="solid">
        <fgColor theme="9"/>
        <bgColor indexed="64"/>
      </patternFill>
    </fill>
    <fill>
      <patternFill patternType="solid">
        <fgColor theme="7" tint="0.39997558519241921"/>
        <bgColor indexed="64"/>
      </patternFill>
    </fill>
    <fill>
      <patternFill patternType="solid">
        <fgColor rgb="FF92D050"/>
        <bgColor indexed="64"/>
      </patternFill>
    </fill>
    <fill>
      <patternFill patternType="solid">
        <fgColor rgb="FFFFC000"/>
        <bgColor indexed="64"/>
      </patternFill>
    </fill>
    <fill>
      <patternFill patternType="solid">
        <fgColor theme="2"/>
        <bgColor indexed="64"/>
      </patternFill>
    </fill>
    <fill>
      <patternFill patternType="solid">
        <fgColor theme="7"/>
        <bgColor indexed="64"/>
      </patternFill>
    </fill>
    <fill>
      <patternFill patternType="solid">
        <fgColor rgb="FFFFFF00"/>
        <bgColor indexed="64"/>
      </patternFill>
    </fill>
    <fill>
      <patternFill patternType="solid">
        <fgColor rgb="FFFFCCCC"/>
        <bgColor indexed="64"/>
      </patternFill>
    </fill>
    <fill>
      <patternFill patternType="solid">
        <fgColor theme="5"/>
        <bgColor indexed="64"/>
      </patternFill>
    </fill>
    <fill>
      <patternFill patternType="solid">
        <fgColor rgb="FFFEF5F0"/>
        <bgColor indexed="64"/>
      </patternFill>
    </fill>
    <fill>
      <patternFill patternType="solid">
        <fgColor rgb="FFD9E2F3"/>
        <bgColor rgb="FFD9E2F3"/>
      </patternFill>
    </fill>
    <fill>
      <patternFill patternType="solid">
        <fgColor rgb="FF00B0F0"/>
        <bgColor rgb="FF00B0F0"/>
      </patternFill>
    </fill>
    <fill>
      <patternFill patternType="solid">
        <fgColor rgb="FFC5E0B3"/>
        <bgColor rgb="FFC5E0B3"/>
      </patternFill>
    </fill>
    <fill>
      <patternFill patternType="solid">
        <fgColor rgb="FFFFFF00"/>
        <bgColor rgb="FFFFFF00"/>
      </patternFill>
    </fill>
    <fill>
      <patternFill patternType="solid">
        <fgColor rgb="FFFFFFFF"/>
        <bgColor rgb="FFFFFFFF"/>
      </patternFill>
    </fill>
    <fill>
      <patternFill patternType="solid">
        <fgColor rgb="FF92D050"/>
        <bgColor rgb="FF92D050"/>
      </patternFill>
    </fill>
    <fill>
      <patternFill patternType="solid">
        <fgColor theme="7" tint="0.39997558519241921"/>
        <bgColor rgb="FFE2EFD9"/>
      </patternFill>
    </fill>
    <fill>
      <patternFill patternType="solid">
        <fgColor theme="4" tint="0.39997558519241921"/>
        <bgColor indexed="64"/>
      </patternFill>
    </fill>
    <fill>
      <patternFill patternType="solid">
        <fgColor theme="8"/>
        <bgColor indexed="64"/>
      </patternFill>
    </fill>
    <fill>
      <patternFill patternType="solid">
        <fgColor theme="9" tint="0.79998168889431442"/>
        <bgColor indexed="64"/>
      </patternFill>
    </fill>
    <fill>
      <patternFill patternType="solid">
        <fgColor theme="4" tint="0.39997558519241921"/>
        <bgColor rgb="FFE2EFD9"/>
      </patternFill>
    </fill>
    <fill>
      <patternFill patternType="solid">
        <fgColor theme="4" tint="0.39997558519241921"/>
        <bgColor rgb="FFFFFFFF"/>
      </patternFill>
    </fill>
    <fill>
      <patternFill patternType="solid">
        <fgColor rgb="FFFF0000"/>
        <bgColor rgb="FFE2EFD9"/>
      </patternFill>
    </fill>
  </fills>
  <borders count="4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medium">
        <color indexed="64"/>
      </left>
      <right style="thin">
        <color indexed="64"/>
      </right>
      <top style="thin">
        <color indexed="64"/>
      </top>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thin">
        <color indexed="64"/>
      </right>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diagonal/>
    </border>
    <border>
      <left/>
      <right/>
      <top/>
      <bottom style="thin">
        <color indexed="64"/>
      </bottom>
      <diagonal/>
    </border>
    <border>
      <left/>
      <right style="thin">
        <color indexed="64"/>
      </right>
      <top/>
      <bottom/>
      <diagonal/>
    </border>
    <border>
      <left style="medium">
        <color indexed="64"/>
      </left>
      <right style="medium">
        <color indexed="64"/>
      </right>
      <top/>
      <bottom style="medium">
        <color indexed="64"/>
      </bottom>
      <diagonal/>
    </border>
    <border>
      <left/>
      <right/>
      <top style="thin">
        <color indexed="64"/>
      </top>
      <bottom/>
      <diagonal/>
    </border>
    <border>
      <left style="medium">
        <color indexed="64"/>
      </left>
      <right style="thin">
        <color indexed="64"/>
      </right>
      <top/>
      <bottom/>
      <diagonal/>
    </border>
    <border>
      <left style="medium">
        <color indexed="64"/>
      </left>
      <right style="medium">
        <color indexed="64"/>
      </right>
      <top/>
      <bottom/>
      <diagonal/>
    </border>
    <border>
      <left style="medium">
        <color indexed="64"/>
      </left>
      <right style="thin">
        <color indexed="64"/>
      </right>
      <top style="thin">
        <color indexed="64"/>
      </top>
      <bottom style="medium">
        <color indexed="64"/>
      </bottom>
      <diagonal/>
    </border>
    <border>
      <left style="medium">
        <color indexed="64"/>
      </left>
      <right/>
      <top/>
      <bottom/>
      <diagonal/>
    </border>
    <border>
      <left style="medium">
        <color indexed="64"/>
      </left>
      <right/>
      <top/>
      <bottom style="medium">
        <color indexed="64"/>
      </bottom>
      <diagonal/>
    </border>
    <border>
      <left style="medium">
        <color indexed="64"/>
      </left>
      <right/>
      <top/>
      <bottom style="thin">
        <color indexed="64"/>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style="thin">
        <color indexed="64"/>
      </right>
      <top style="thin">
        <color indexed="64"/>
      </top>
      <bottom style="thin">
        <color indexed="64"/>
      </bottom>
      <diagonal/>
    </border>
  </borders>
  <cellStyleXfs count="3">
    <xf numFmtId="0" fontId="0" fillId="0" borderId="0"/>
    <xf numFmtId="0" fontId="2" fillId="0" borderId="0"/>
    <xf numFmtId="0" fontId="45" fillId="0" borderId="0"/>
  </cellStyleXfs>
  <cellXfs count="1590">
    <xf numFmtId="0" fontId="0" fillId="0" borderId="0" xfId="0"/>
    <xf numFmtId="0" fontId="0" fillId="0" borderId="0" xfId="0" applyAlignment="1">
      <alignment horizontal="center" vertical="center" wrapText="1"/>
    </xf>
    <xf numFmtId="0" fontId="0" fillId="0" borderId="0" xfId="0" applyFill="1" applyAlignment="1">
      <alignment horizontal="center" vertical="center" wrapText="1"/>
    </xf>
    <xf numFmtId="0" fontId="0" fillId="0" borderId="0" xfId="0" applyFill="1" applyAlignment="1">
      <alignment wrapText="1"/>
    </xf>
    <xf numFmtId="0" fontId="0" fillId="0" borderId="0" xfId="0" applyFill="1" applyBorder="1" applyAlignment="1">
      <alignment horizontal="center" vertical="center" wrapText="1"/>
    </xf>
    <xf numFmtId="0" fontId="1" fillId="0" borderId="0" xfId="0" applyFont="1" applyAlignment="1">
      <alignment horizontal="center" vertical="center" wrapText="1"/>
    </xf>
    <xf numFmtId="0" fontId="0" fillId="0" borderId="0" xfId="0" applyFont="1" applyAlignment="1">
      <alignment horizontal="center" vertical="center" wrapText="1"/>
    </xf>
    <xf numFmtId="0" fontId="0" fillId="0" borderId="0" xfId="0" applyFont="1" applyAlignment="1">
      <alignment vertical="center" wrapText="1"/>
    </xf>
    <xf numFmtId="3" fontId="0" fillId="0" borderId="0" xfId="0" applyNumberFormat="1" applyFont="1" applyAlignment="1">
      <alignment horizontal="center" vertical="center" wrapText="1"/>
    </xf>
    <xf numFmtId="166" fontId="0" fillId="0" borderId="0" xfId="0" applyNumberFormat="1" applyFont="1" applyAlignment="1">
      <alignment vertical="center" wrapText="1"/>
    </xf>
    <xf numFmtId="0" fontId="0" fillId="0" borderId="0" xfId="0" applyFont="1" applyFill="1" applyBorder="1" applyAlignment="1">
      <alignment horizontal="center" vertical="center" wrapText="1"/>
    </xf>
    <xf numFmtId="0" fontId="0" fillId="0" borderId="0" xfId="0" applyFill="1" applyAlignment="1">
      <alignment horizontal="center" wrapText="1"/>
    </xf>
    <xf numFmtId="0" fontId="0" fillId="0" borderId="1" xfId="0" applyFill="1" applyBorder="1" applyAlignment="1">
      <alignment horizontal="center" vertical="center" wrapText="1"/>
    </xf>
    <xf numFmtId="0" fontId="0" fillId="5" borderId="5" xfId="0" applyFill="1" applyBorder="1" applyAlignment="1">
      <alignment horizontal="center" wrapText="1"/>
    </xf>
    <xf numFmtId="0" fontId="2" fillId="5" borderId="1" xfId="0" applyFont="1" applyFill="1" applyBorder="1" applyAlignment="1">
      <alignment horizontal="center" vertical="center" wrapText="1"/>
    </xf>
    <xf numFmtId="0" fontId="0" fillId="5" borderId="1" xfId="0" applyFill="1" applyBorder="1" applyAlignment="1">
      <alignment horizontal="center" wrapText="1"/>
    </xf>
    <xf numFmtId="0" fontId="1" fillId="4" borderId="1" xfId="0" applyFont="1" applyFill="1" applyBorder="1" applyAlignment="1">
      <alignment horizontal="center" vertical="center" wrapText="1"/>
    </xf>
    <xf numFmtId="0" fontId="7" fillId="4" borderId="1" xfId="0" applyFont="1" applyFill="1" applyBorder="1" applyAlignment="1">
      <alignment horizontal="center" vertical="center" wrapText="1"/>
    </xf>
    <xf numFmtId="0" fontId="0" fillId="3" borderId="1" xfId="0" applyFill="1" applyBorder="1" applyAlignment="1">
      <alignment horizontal="center" wrapText="1"/>
    </xf>
    <xf numFmtId="0" fontId="1" fillId="6" borderId="1" xfId="0" applyFont="1" applyFill="1" applyBorder="1" applyAlignment="1">
      <alignment horizontal="center" vertical="center" wrapText="1"/>
    </xf>
    <xf numFmtId="0" fontId="0" fillId="8" borderId="1" xfId="0" applyFont="1" applyFill="1" applyBorder="1" applyAlignment="1">
      <alignment horizontal="center" vertical="center" wrapText="1"/>
    </xf>
    <xf numFmtId="166" fontId="0" fillId="8" borderId="1" xfId="0" applyNumberFormat="1" applyFont="1" applyFill="1" applyBorder="1" applyAlignment="1">
      <alignment vertical="center" wrapText="1"/>
    </xf>
    <xf numFmtId="0" fontId="0" fillId="8" borderId="1" xfId="0" applyFont="1" applyFill="1" applyBorder="1" applyAlignment="1">
      <alignment vertical="center" wrapText="1"/>
    </xf>
    <xf numFmtId="3" fontId="0" fillId="8" borderId="1" xfId="0" applyNumberFormat="1" applyFont="1" applyFill="1" applyBorder="1" applyAlignment="1">
      <alignment horizontal="center" vertical="center" wrapText="1"/>
    </xf>
    <xf numFmtId="14" fontId="0" fillId="8" borderId="1" xfId="0" applyNumberFormat="1" applyFont="1" applyFill="1" applyBorder="1" applyAlignment="1">
      <alignment horizontal="center" vertical="center" wrapText="1"/>
    </xf>
    <xf numFmtId="0" fontId="0" fillId="8" borderId="1" xfId="0" applyFill="1" applyBorder="1"/>
    <xf numFmtId="0" fontId="3" fillId="8" borderId="1" xfId="0" applyFont="1" applyFill="1" applyBorder="1"/>
    <xf numFmtId="0" fontId="0" fillId="8" borderId="1" xfId="0" applyFill="1" applyBorder="1" applyAlignment="1">
      <alignment horizontal="center" vertical="center"/>
    </xf>
    <xf numFmtId="0" fontId="2" fillId="3" borderId="1" xfId="0" applyFont="1" applyFill="1" applyBorder="1" applyAlignment="1">
      <alignment horizontal="center" vertical="center" wrapText="1"/>
    </xf>
    <xf numFmtId="14" fontId="0" fillId="0" borderId="0" xfId="0" applyNumberFormat="1" applyFont="1" applyAlignment="1">
      <alignment horizontal="center" vertical="center" wrapText="1"/>
    </xf>
    <xf numFmtId="0" fontId="0" fillId="11" borderId="1" xfId="0" applyFont="1" applyFill="1" applyBorder="1" applyAlignment="1">
      <alignment horizontal="center" vertical="center" wrapText="1"/>
    </xf>
    <xf numFmtId="3" fontId="0" fillId="11" borderId="1" xfId="0" applyNumberFormat="1" applyFont="1" applyFill="1" applyBorder="1" applyAlignment="1">
      <alignment horizontal="center" vertical="center" wrapText="1"/>
    </xf>
    <xf numFmtId="14" fontId="0" fillId="11" borderId="1" xfId="0" applyNumberFormat="1" applyFont="1" applyFill="1" applyBorder="1" applyAlignment="1">
      <alignment horizontal="center" vertical="center" wrapText="1"/>
    </xf>
    <xf numFmtId="0" fontId="0" fillId="11" borderId="1" xfId="0" applyFill="1" applyBorder="1" applyAlignment="1">
      <alignment vertical="center" wrapText="1"/>
    </xf>
    <xf numFmtId="3" fontId="7" fillId="4" borderId="1" xfId="0" applyNumberFormat="1" applyFont="1" applyFill="1" applyBorder="1" applyAlignment="1">
      <alignment horizontal="center" vertical="center" wrapText="1"/>
    </xf>
    <xf numFmtId="0" fontId="8" fillId="4" borderId="1" xfId="0" applyFont="1" applyFill="1" applyBorder="1" applyAlignment="1">
      <alignment horizontal="center" vertical="center" wrapText="1"/>
    </xf>
    <xf numFmtId="14" fontId="7" fillId="4" borderId="1" xfId="0" applyNumberFormat="1" applyFont="1" applyFill="1" applyBorder="1" applyAlignment="1">
      <alignment horizontal="center" vertical="center" wrapText="1"/>
    </xf>
    <xf numFmtId="166" fontId="1" fillId="4" borderId="1" xfId="0" applyNumberFormat="1" applyFont="1" applyFill="1" applyBorder="1" applyAlignment="1">
      <alignment horizontal="center" vertical="center" wrapText="1"/>
    </xf>
    <xf numFmtId="0" fontId="0" fillId="13" borderId="1" xfId="0" applyFont="1" applyFill="1" applyBorder="1" applyAlignment="1">
      <alignment horizontal="center" vertical="center" wrapText="1"/>
    </xf>
    <xf numFmtId="0" fontId="16" fillId="14" borderId="1" xfId="0" applyFont="1" applyFill="1" applyBorder="1" applyAlignment="1">
      <alignment horizontal="center" vertical="center" wrapText="1"/>
    </xf>
    <xf numFmtId="0" fontId="18" fillId="14" borderId="1" xfId="0" applyFont="1" applyFill="1" applyBorder="1" applyAlignment="1">
      <alignment horizontal="center" vertical="center" wrapText="1"/>
    </xf>
    <xf numFmtId="0" fontId="0" fillId="15" borderId="1" xfId="0" applyFill="1" applyBorder="1" applyAlignment="1">
      <alignment wrapText="1"/>
    </xf>
    <xf numFmtId="0" fontId="0" fillId="15" borderId="1" xfId="0" applyFill="1" applyBorder="1" applyAlignment="1">
      <alignment horizontal="center" wrapText="1"/>
    </xf>
    <xf numFmtId="0" fontId="3" fillId="15" borderId="1" xfId="0" applyFont="1" applyFill="1" applyBorder="1" applyAlignment="1">
      <alignment horizontal="center" vertical="center" wrapText="1"/>
    </xf>
    <xf numFmtId="0" fontId="4" fillId="15" borderId="1" xfId="0" applyFont="1" applyFill="1" applyBorder="1" applyAlignment="1">
      <alignment horizontal="center" vertical="center" wrapText="1"/>
    </xf>
    <xf numFmtId="0" fontId="0" fillId="15" borderId="4" xfId="0" applyFill="1" applyBorder="1" applyAlignment="1">
      <alignment wrapText="1"/>
    </xf>
    <xf numFmtId="0" fontId="1" fillId="12" borderId="1" xfId="0" applyFont="1" applyFill="1" applyBorder="1" applyAlignment="1">
      <alignment horizontal="center" vertical="center" wrapText="1"/>
    </xf>
    <xf numFmtId="0" fontId="7" fillId="12" borderId="1" xfId="0" applyFont="1" applyFill="1" applyBorder="1" applyAlignment="1">
      <alignment horizontal="center" vertical="center" wrapText="1"/>
    </xf>
    <xf numFmtId="0" fontId="9" fillId="10" borderId="1" xfId="0" applyFont="1" applyFill="1" applyBorder="1" applyAlignment="1">
      <alignment horizontal="center" vertical="center" wrapText="1"/>
    </xf>
    <xf numFmtId="14" fontId="2" fillId="10" borderId="1" xfId="0" applyNumberFormat="1" applyFont="1" applyFill="1" applyBorder="1" applyAlignment="1">
      <alignment horizontal="center" vertical="center" wrapText="1"/>
    </xf>
    <xf numFmtId="0" fontId="0" fillId="10" borderId="1" xfId="0" applyFill="1" applyBorder="1" applyAlignment="1">
      <alignment vertical="center" wrapText="1"/>
    </xf>
    <xf numFmtId="0" fontId="0" fillId="10" borderId="1" xfId="0" applyFont="1" applyFill="1" applyBorder="1" applyAlignment="1">
      <alignment horizontal="center" vertical="center"/>
    </xf>
    <xf numFmtId="3" fontId="0" fillId="10" borderId="1" xfId="0" applyNumberFormat="1" applyFont="1" applyFill="1" applyBorder="1" applyAlignment="1">
      <alignment horizontal="center" vertical="center" wrapText="1"/>
    </xf>
    <xf numFmtId="14" fontId="0" fillId="10" borderId="1" xfId="0" applyNumberFormat="1" applyFont="1" applyFill="1" applyBorder="1" applyAlignment="1">
      <alignment horizontal="center" vertical="center" wrapText="1"/>
    </xf>
    <xf numFmtId="0" fontId="0" fillId="15" borderId="1" xfId="0" applyFont="1" applyFill="1" applyBorder="1" applyAlignment="1">
      <alignment horizontal="center" vertical="center" wrapText="1"/>
    </xf>
    <xf numFmtId="0" fontId="1" fillId="8" borderId="1" xfId="0" applyFont="1" applyFill="1" applyBorder="1" applyAlignment="1">
      <alignment horizontal="center" vertical="center" wrapText="1"/>
    </xf>
    <xf numFmtId="0" fontId="0" fillId="8" borderId="1" xfId="0" applyFont="1" applyFill="1" applyBorder="1" applyAlignment="1">
      <alignment horizontal="center" vertical="center" wrapText="1"/>
    </xf>
    <xf numFmtId="14" fontId="0" fillId="8" borderId="1" xfId="0" applyNumberFormat="1" applyFont="1" applyFill="1" applyBorder="1" applyAlignment="1">
      <alignment horizontal="center" vertical="center" wrapText="1"/>
    </xf>
    <xf numFmtId="0" fontId="0" fillId="11" borderId="1" xfId="0" applyFill="1" applyBorder="1" applyAlignment="1">
      <alignment horizontal="center" vertical="center" wrapText="1"/>
    </xf>
    <xf numFmtId="14" fontId="0" fillId="11" borderId="1" xfId="0" applyNumberFormat="1" applyFill="1" applyBorder="1" applyAlignment="1">
      <alignment horizontal="center" vertical="center" wrapText="1"/>
    </xf>
    <xf numFmtId="0" fontId="1" fillId="11" borderId="1" xfId="0" applyFont="1" applyFill="1" applyBorder="1" applyAlignment="1">
      <alignment horizontal="center" vertical="center" wrapText="1"/>
    </xf>
    <xf numFmtId="0" fontId="19" fillId="0" borderId="1" xfId="0" applyFont="1" applyBorder="1" applyAlignment="1">
      <alignment horizontal="center" vertical="center"/>
    </xf>
    <xf numFmtId="0" fontId="0" fillId="11" borderId="0" xfId="0" applyFill="1" applyBorder="1" applyAlignment="1">
      <alignment horizontal="center" vertical="center" wrapText="1"/>
    </xf>
    <xf numFmtId="0" fontId="3" fillId="10" borderId="1" xfId="0" applyFont="1" applyFill="1" applyBorder="1" applyAlignment="1">
      <alignment horizontal="center" vertical="center" wrapText="1"/>
    </xf>
    <xf numFmtId="0" fontId="0" fillId="15" borderId="5" xfId="0" applyFill="1" applyBorder="1" applyAlignment="1">
      <alignment wrapText="1"/>
    </xf>
    <xf numFmtId="0" fontId="0" fillId="8" borderId="1" xfId="0" applyFont="1" applyFill="1" applyBorder="1" applyAlignment="1">
      <alignment horizontal="center" vertical="center" wrapText="1"/>
    </xf>
    <xf numFmtId="0" fontId="0" fillId="3" borderId="1" xfId="0" applyFill="1" applyBorder="1" applyAlignment="1">
      <alignment wrapText="1"/>
    </xf>
    <xf numFmtId="0" fontId="1" fillId="11" borderId="1" xfId="0" applyFont="1" applyFill="1" applyBorder="1" applyAlignment="1">
      <alignment horizontal="center" vertical="center" wrapText="1"/>
    </xf>
    <xf numFmtId="0" fontId="0" fillId="11" borderId="1" xfId="0" applyFill="1" applyBorder="1" applyAlignment="1">
      <alignment horizontal="center" vertical="center" wrapText="1"/>
    </xf>
    <xf numFmtId="3" fontId="0" fillId="11" borderId="1" xfId="0" applyNumberFormat="1" applyFill="1" applyBorder="1" applyAlignment="1">
      <alignment horizontal="center" vertical="center" wrapText="1"/>
    </xf>
    <xf numFmtId="14" fontId="0" fillId="11" borderId="1" xfId="0" applyNumberFormat="1" applyFill="1" applyBorder="1" applyAlignment="1">
      <alignment horizontal="center" vertical="center" wrapText="1"/>
    </xf>
    <xf numFmtId="0" fontId="3" fillId="3" borderId="1" xfId="0" applyFont="1" applyFill="1" applyBorder="1" applyAlignment="1">
      <alignment horizontal="center" vertical="center" wrapText="1"/>
    </xf>
    <xf numFmtId="0" fontId="1" fillId="15" borderId="1" xfId="0" applyFont="1" applyFill="1" applyBorder="1" applyAlignment="1">
      <alignment vertical="center" wrapText="1"/>
    </xf>
    <xf numFmtId="0" fontId="1" fillId="8" borderId="1" xfId="0" applyFont="1" applyFill="1" applyBorder="1" applyAlignment="1">
      <alignment horizontal="center" vertical="center" wrapText="1"/>
    </xf>
    <xf numFmtId="14" fontId="0" fillId="8" borderId="1" xfId="0" applyNumberFormat="1" applyFont="1" applyFill="1" applyBorder="1" applyAlignment="1">
      <alignment horizontal="center" vertical="center" wrapText="1"/>
    </xf>
    <xf numFmtId="0" fontId="0" fillId="0" borderId="1" xfId="0" applyFont="1" applyBorder="1" applyAlignment="1">
      <alignment horizontal="center" vertical="center"/>
    </xf>
    <xf numFmtId="0" fontId="0" fillId="0" borderId="0" xfId="0" applyFont="1" applyAlignment="1">
      <alignment horizontal="center" vertical="center"/>
    </xf>
    <xf numFmtId="0" fontId="0" fillId="16" borderId="1" xfId="0" applyFont="1" applyFill="1" applyBorder="1" applyAlignment="1">
      <alignment horizontal="center" vertical="center" wrapText="1"/>
    </xf>
    <xf numFmtId="0" fontId="0" fillId="11" borderId="1" xfId="0" applyFill="1" applyBorder="1" applyAlignment="1">
      <alignment horizontal="center" vertical="center" wrapText="1"/>
    </xf>
    <xf numFmtId="14" fontId="0" fillId="0" borderId="1" xfId="0" applyNumberFormat="1" applyFill="1" applyBorder="1" applyAlignment="1">
      <alignment horizontal="center" vertical="center" wrapText="1"/>
    </xf>
    <xf numFmtId="14" fontId="17" fillId="14" borderId="1" xfId="0" applyNumberFormat="1" applyFont="1" applyFill="1" applyBorder="1" applyAlignment="1">
      <alignment horizontal="center" vertical="center" wrapText="1"/>
    </xf>
    <xf numFmtId="0" fontId="3" fillId="6" borderId="1" xfId="0" applyFont="1" applyFill="1" applyBorder="1" applyAlignment="1">
      <alignment horizontal="center" vertical="center" wrapText="1"/>
    </xf>
    <xf numFmtId="0" fontId="0" fillId="2" borderId="1" xfId="0" applyFill="1" applyBorder="1" applyAlignment="1">
      <alignment horizontal="center" vertical="center" wrapText="1"/>
    </xf>
    <xf numFmtId="0" fontId="2" fillId="2" borderId="1" xfId="0" applyFont="1" applyFill="1" applyBorder="1" applyAlignment="1">
      <alignment horizontal="center" vertical="center" wrapText="1"/>
    </xf>
    <xf numFmtId="14" fontId="0" fillId="19" borderId="1" xfId="0" applyNumberFormat="1" applyFont="1" applyFill="1" applyBorder="1" applyAlignment="1">
      <alignment horizontal="center" vertical="center" wrapText="1"/>
    </xf>
    <xf numFmtId="0" fontId="0" fillId="18" borderId="1" xfId="0" applyFill="1" applyBorder="1" applyAlignment="1">
      <alignment horizontal="center" vertical="center" wrapText="1"/>
    </xf>
    <xf numFmtId="0" fontId="0" fillId="11" borderId="1" xfId="0" applyFill="1" applyBorder="1" applyAlignment="1">
      <alignment horizontal="center" vertical="center" wrapText="1"/>
    </xf>
    <xf numFmtId="0" fontId="0" fillId="8" borderId="2" xfId="0" applyFont="1" applyFill="1" applyBorder="1" applyAlignment="1">
      <alignment horizontal="center" vertical="center" wrapText="1"/>
    </xf>
    <xf numFmtId="0" fontId="0" fillId="13" borderId="2" xfId="0" applyFont="1" applyFill="1" applyBorder="1" applyAlignment="1">
      <alignment horizontal="center" vertical="center" wrapText="1"/>
    </xf>
    <xf numFmtId="0" fontId="0" fillId="8" borderId="1" xfId="0" applyFont="1" applyFill="1" applyBorder="1" applyAlignment="1">
      <alignment horizontal="center" vertical="center" wrapText="1"/>
    </xf>
    <xf numFmtId="0" fontId="0" fillId="0" borderId="0" xfId="0" applyFill="1" applyBorder="1" applyAlignment="1">
      <alignment horizontal="center" vertical="center" wrapText="1"/>
    </xf>
    <xf numFmtId="166" fontId="0" fillId="0" borderId="0" xfId="0" applyNumberFormat="1" applyFont="1" applyFill="1" applyBorder="1" applyAlignment="1">
      <alignment vertical="center" wrapText="1"/>
    </xf>
    <xf numFmtId="0" fontId="4" fillId="0" borderId="0" xfId="0" applyFont="1" applyFill="1" applyBorder="1" applyAlignment="1">
      <alignment horizontal="center" vertical="center" wrapText="1"/>
    </xf>
    <xf numFmtId="14" fontId="0" fillId="2" borderId="1" xfId="0" applyNumberFormat="1" applyFont="1" applyFill="1" applyBorder="1" applyAlignment="1">
      <alignment horizontal="center" vertical="center" wrapText="1"/>
    </xf>
    <xf numFmtId="0" fontId="0" fillId="8" borderId="2" xfId="0" applyFont="1" applyFill="1" applyBorder="1" applyAlignment="1">
      <alignment horizontal="center" vertical="center" wrapText="1"/>
    </xf>
    <xf numFmtId="0" fontId="0" fillId="13" borderId="2" xfId="0" applyFont="1" applyFill="1" applyBorder="1" applyAlignment="1">
      <alignment horizontal="center" vertical="center" wrapText="1"/>
    </xf>
    <xf numFmtId="0" fontId="0" fillId="8" borderId="1" xfId="0" applyFont="1" applyFill="1" applyBorder="1" applyAlignment="1">
      <alignment horizontal="center" vertical="center" wrapText="1"/>
    </xf>
    <xf numFmtId="14" fontId="0" fillId="11" borderId="1" xfId="0" applyNumberFormat="1" applyFill="1" applyBorder="1" applyAlignment="1">
      <alignment horizontal="center" vertical="center" wrapText="1"/>
    </xf>
    <xf numFmtId="0" fontId="1" fillId="11" borderId="1" xfId="0" applyFont="1" applyFill="1" applyBorder="1" applyAlignment="1">
      <alignment horizontal="center" vertical="center" wrapText="1"/>
    </xf>
    <xf numFmtId="0" fontId="0" fillId="11" borderId="1" xfId="0" applyFill="1" applyBorder="1" applyAlignment="1">
      <alignment horizontal="center" vertical="center" wrapText="1"/>
    </xf>
    <xf numFmtId="3" fontId="0" fillId="11" borderId="1" xfId="0" applyNumberFormat="1" applyFill="1" applyBorder="1" applyAlignment="1">
      <alignment horizontal="center" vertical="center" wrapText="1"/>
    </xf>
    <xf numFmtId="3" fontId="2" fillId="5" borderId="1" xfId="0" applyNumberFormat="1" applyFont="1" applyFill="1" applyBorder="1" applyAlignment="1">
      <alignment horizontal="center" vertical="center" wrapText="1"/>
    </xf>
    <xf numFmtId="0" fontId="0" fillId="0" borderId="1" xfId="0" applyBorder="1" applyAlignment="1">
      <alignment horizontal="center" vertical="center"/>
    </xf>
    <xf numFmtId="0" fontId="0" fillId="20" borderId="1" xfId="0" applyFill="1" applyBorder="1" applyAlignment="1">
      <alignment horizontal="center" vertical="center"/>
    </xf>
    <xf numFmtId="0" fontId="2" fillId="15" borderId="1" xfId="0" applyFont="1" applyFill="1" applyBorder="1" applyAlignment="1">
      <alignment horizontal="center" vertical="center" wrapText="1"/>
    </xf>
    <xf numFmtId="0" fontId="0" fillId="0" borderId="0" xfId="0" applyFont="1" applyFill="1" applyBorder="1" applyAlignment="1">
      <alignment horizontal="center" vertical="center" wrapText="1"/>
    </xf>
    <xf numFmtId="0" fontId="0" fillId="15" borderId="1" xfId="0" applyFill="1" applyBorder="1" applyAlignment="1">
      <alignment vertical="center" wrapText="1"/>
    </xf>
    <xf numFmtId="0" fontId="2" fillId="15" borderId="1" xfId="0" applyFont="1" applyFill="1" applyBorder="1" applyAlignment="1">
      <alignment vertical="center" wrapText="1"/>
    </xf>
    <xf numFmtId="0" fontId="1" fillId="10" borderId="1" xfId="0" applyFont="1" applyFill="1" applyBorder="1" applyAlignment="1">
      <alignment horizontal="center" vertical="center" wrapText="1"/>
    </xf>
    <xf numFmtId="0" fontId="0" fillId="10" borderId="1" xfId="0" applyFill="1" applyBorder="1" applyAlignment="1">
      <alignment horizontal="center" vertical="center" wrapText="1"/>
    </xf>
    <xf numFmtId="14" fontId="0" fillId="11" borderId="1" xfId="0" applyNumberFormat="1" applyFill="1" applyBorder="1" applyAlignment="1">
      <alignment horizontal="center" vertical="center" wrapText="1"/>
    </xf>
    <xf numFmtId="0" fontId="1" fillId="11" borderId="1" xfId="0" applyFont="1" applyFill="1" applyBorder="1" applyAlignment="1">
      <alignment horizontal="center" vertical="center" wrapText="1"/>
    </xf>
    <xf numFmtId="0" fontId="0" fillId="11" borderId="1" xfId="0" applyFill="1" applyBorder="1" applyAlignment="1">
      <alignment horizontal="center" vertical="center" wrapText="1"/>
    </xf>
    <xf numFmtId="3" fontId="0" fillId="11" borderId="1" xfId="0" applyNumberFormat="1" applyFill="1" applyBorder="1" applyAlignment="1">
      <alignment horizontal="center" vertical="center" wrapText="1"/>
    </xf>
    <xf numFmtId="0" fontId="0" fillId="8" borderId="2" xfId="0" applyFont="1" applyFill="1" applyBorder="1" applyAlignment="1">
      <alignment horizontal="center" vertical="center" wrapText="1"/>
    </xf>
    <xf numFmtId="0" fontId="0" fillId="0" borderId="0" xfId="0" applyAlignment="1">
      <alignment vertical="center" wrapText="1"/>
    </xf>
    <xf numFmtId="0" fontId="0" fillId="0" borderId="0" xfId="0" applyFont="1" applyBorder="1" applyAlignment="1">
      <alignment horizontal="left" vertical="center" wrapText="1"/>
    </xf>
    <xf numFmtId="0" fontId="4" fillId="11" borderId="1" xfId="0" applyFont="1" applyFill="1" applyBorder="1" applyAlignment="1">
      <alignment horizontal="center" vertical="center" wrapText="1"/>
    </xf>
    <xf numFmtId="0" fontId="0" fillId="0" borderId="0" xfId="0" applyFill="1" applyAlignment="1">
      <alignment vertical="center" wrapText="1"/>
    </xf>
    <xf numFmtId="0" fontId="0" fillId="15" borderId="1" xfId="0" applyFill="1" applyBorder="1" applyAlignment="1">
      <alignment horizontal="center" vertical="center" wrapText="1"/>
    </xf>
    <xf numFmtId="14" fontId="0" fillId="11" borderId="1" xfId="0" applyNumberFormat="1" applyFill="1" applyBorder="1" applyAlignment="1">
      <alignment horizontal="center" vertical="center" wrapText="1"/>
    </xf>
    <xf numFmtId="0" fontId="0" fillId="11" borderId="1" xfId="0" applyFill="1" applyBorder="1" applyAlignment="1">
      <alignment horizontal="center" vertical="center" wrapText="1"/>
    </xf>
    <xf numFmtId="0" fontId="1" fillId="11" borderId="1" xfId="0" applyFont="1" applyFill="1" applyBorder="1" applyAlignment="1">
      <alignment horizontal="center" vertical="center" wrapText="1"/>
    </xf>
    <xf numFmtId="3" fontId="0" fillId="11" borderId="1" xfId="0" applyNumberFormat="1" applyFill="1" applyBorder="1" applyAlignment="1">
      <alignment horizontal="center" vertical="center" wrapText="1"/>
    </xf>
    <xf numFmtId="0" fontId="0" fillId="0" borderId="0" xfId="0" applyFont="1" applyFill="1" applyBorder="1" applyAlignment="1">
      <alignment horizontal="center" vertical="center" wrapText="1"/>
    </xf>
    <xf numFmtId="0" fontId="0" fillId="2" borderId="5" xfId="0" applyFill="1" applyBorder="1" applyAlignment="1">
      <alignment horizontal="left" vertical="center" wrapText="1"/>
    </xf>
    <xf numFmtId="0" fontId="0" fillId="2" borderId="6" xfId="0" applyFill="1" applyBorder="1" applyAlignment="1">
      <alignment horizontal="left" vertical="center" wrapText="1"/>
    </xf>
    <xf numFmtId="14" fontId="0" fillId="2" borderId="1" xfId="0" applyNumberFormat="1" applyFill="1" applyBorder="1" applyAlignment="1">
      <alignment horizontal="center" vertical="center" wrapText="1"/>
    </xf>
    <xf numFmtId="0" fontId="0" fillId="0" borderId="1" xfId="0" applyFont="1" applyFill="1" applyBorder="1" applyAlignment="1">
      <alignment horizontal="center" vertical="center" wrapText="1"/>
    </xf>
    <xf numFmtId="0" fontId="0" fillId="15" borderId="2" xfId="0" applyFill="1" applyBorder="1" applyAlignment="1">
      <alignment horizontal="center" vertical="center" wrapText="1"/>
    </xf>
    <xf numFmtId="0" fontId="2" fillId="15" borderId="2" xfId="0" applyFont="1" applyFill="1" applyBorder="1" applyAlignment="1">
      <alignment horizontal="center" vertical="center" wrapText="1"/>
    </xf>
    <xf numFmtId="14" fontId="0" fillId="0" borderId="1" xfId="0" applyNumberFormat="1" applyFont="1" applyFill="1" applyBorder="1" applyAlignment="1">
      <alignment horizontal="center" vertical="center" wrapText="1"/>
    </xf>
    <xf numFmtId="14" fontId="0" fillId="18" borderId="1" xfId="0" applyNumberFormat="1" applyFont="1" applyFill="1" applyBorder="1" applyAlignment="1">
      <alignment horizontal="center" vertical="center" wrapText="1"/>
    </xf>
    <xf numFmtId="0" fontId="0" fillId="18" borderId="1" xfId="0" applyFont="1" applyFill="1" applyBorder="1" applyAlignment="1">
      <alignment horizontal="center" vertical="center" wrapText="1"/>
    </xf>
    <xf numFmtId="0" fontId="3" fillId="15" borderId="2" xfId="0" applyFont="1" applyFill="1" applyBorder="1" applyAlignment="1">
      <alignment horizontal="center" vertical="center" wrapText="1"/>
    </xf>
    <xf numFmtId="0" fontId="2" fillId="15" borderId="2" xfId="0" applyFont="1" applyFill="1" applyBorder="1" applyAlignment="1">
      <alignment horizontal="center" vertical="center" wrapText="1"/>
    </xf>
    <xf numFmtId="3" fontId="18" fillId="14" borderId="1" xfId="0" applyNumberFormat="1" applyFont="1" applyFill="1" applyBorder="1" applyAlignment="1">
      <alignment horizontal="center" vertical="center" wrapText="1"/>
    </xf>
    <xf numFmtId="3" fontId="2" fillId="15" borderId="1" xfId="0" applyNumberFormat="1" applyFont="1" applyFill="1" applyBorder="1" applyAlignment="1">
      <alignment horizontal="center" wrapText="1"/>
    </xf>
    <xf numFmtId="3" fontId="2" fillId="15" borderId="1" xfId="0" applyNumberFormat="1" applyFont="1" applyFill="1" applyBorder="1" applyAlignment="1">
      <alignment horizontal="center" vertical="center" wrapText="1"/>
    </xf>
    <xf numFmtId="3" fontId="2" fillId="15" borderId="2" xfId="0" applyNumberFormat="1" applyFont="1" applyFill="1" applyBorder="1" applyAlignment="1">
      <alignment horizontal="center" wrapText="1"/>
    </xf>
    <xf numFmtId="3" fontId="2" fillId="2" borderId="1" xfId="0" applyNumberFormat="1" applyFont="1" applyFill="1" applyBorder="1" applyAlignment="1">
      <alignment horizontal="center" wrapText="1"/>
    </xf>
    <xf numFmtId="3" fontId="2" fillId="2" borderId="1" xfId="0" applyNumberFormat="1" applyFont="1" applyFill="1" applyBorder="1" applyAlignment="1">
      <alignment horizontal="center" vertical="center" wrapText="1"/>
    </xf>
    <xf numFmtId="0" fontId="0" fillId="11" borderId="1" xfId="0" applyFill="1" applyBorder="1" applyAlignment="1">
      <alignment horizontal="center" vertical="center" wrapText="1"/>
    </xf>
    <xf numFmtId="3" fontId="0" fillId="10" borderId="1" xfId="0" applyNumberFormat="1" applyFill="1" applyBorder="1" applyAlignment="1">
      <alignment horizontal="center" vertical="center" wrapText="1"/>
    </xf>
    <xf numFmtId="3" fontId="0" fillId="6" borderId="1" xfId="0" applyNumberFormat="1" applyFill="1" applyBorder="1" applyAlignment="1">
      <alignment horizontal="center" vertical="center" wrapText="1"/>
    </xf>
    <xf numFmtId="3" fontId="0" fillId="0" borderId="0" xfId="0" applyNumberFormat="1" applyAlignment="1">
      <alignment horizontal="center" vertical="center" wrapText="1"/>
    </xf>
    <xf numFmtId="0" fontId="0" fillId="10" borderId="1" xfId="0" applyFont="1" applyFill="1" applyBorder="1" applyAlignment="1">
      <alignment vertical="center" wrapText="1"/>
    </xf>
    <xf numFmtId="0" fontId="0" fillId="6" borderId="1" xfId="0" applyFill="1" applyBorder="1" applyAlignment="1">
      <alignment horizontal="center" vertical="center" wrapText="1"/>
    </xf>
    <xf numFmtId="0" fontId="0" fillId="10" borderId="1" xfId="0" applyFont="1" applyFill="1" applyBorder="1" applyAlignment="1">
      <alignment horizontal="center" vertical="center" wrapText="1"/>
    </xf>
    <xf numFmtId="0" fontId="0" fillId="0" borderId="0" xfId="0" applyFont="1" applyFill="1" applyBorder="1" applyAlignment="1">
      <alignment horizontal="center" vertical="center" wrapText="1"/>
    </xf>
    <xf numFmtId="0" fontId="1" fillId="10" borderId="1" xfId="0" applyFont="1" applyFill="1" applyBorder="1" applyAlignment="1">
      <alignment horizontal="center" vertical="center" wrapText="1"/>
    </xf>
    <xf numFmtId="0" fontId="0" fillId="10" borderId="1" xfId="0" applyFill="1" applyBorder="1" applyAlignment="1">
      <alignment horizontal="center" vertical="center" wrapText="1"/>
    </xf>
    <xf numFmtId="3" fontId="0" fillId="10" borderId="1" xfId="0" applyNumberFormat="1" applyFill="1" applyBorder="1" applyAlignment="1">
      <alignment horizontal="center" vertical="center" wrapText="1"/>
    </xf>
    <xf numFmtId="1" fontId="0" fillId="10" borderId="1" xfId="0" applyNumberFormat="1" applyFont="1" applyFill="1" applyBorder="1" applyAlignment="1">
      <alignment horizontal="center" vertical="center" wrapText="1"/>
    </xf>
    <xf numFmtId="0" fontId="2" fillId="19" borderId="4" xfId="0" applyFont="1" applyFill="1" applyBorder="1" applyAlignment="1">
      <alignment horizontal="center" vertical="center" wrapText="1"/>
    </xf>
    <xf numFmtId="0" fontId="0" fillId="10" borderId="1" xfId="0" applyFont="1" applyFill="1" applyBorder="1" applyAlignment="1">
      <alignment horizontal="center" vertical="center" wrapText="1"/>
    </xf>
    <xf numFmtId="3" fontId="0" fillId="19" borderId="1" xfId="0" applyNumberFormat="1" applyFont="1" applyFill="1" applyBorder="1" applyAlignment="1">
      <alignment horizontal="center" vertical="center" wrapText="1"/>
    </xf>
    <xf numFmtId="0" fontId="0" fillId="0" borderId="0" xfId="0" applyFont="1" applyFill="1" applyBorder="1" applyAlignment="1">
      <alignment vertical="center" wrapText="1"/>
    </xf>
    <xf numFmtId="3" fontId="7" fillId="12" borderId="1" xfId="0" applyNumberFormat="1" applyFont="1" applyFill="1" applyBorder="1" applyAlignment="1">
      <alignment horizontal="center" vertical="center" wrapText="1"/>
    </xf>
    <xf numFmtId="0" fontId="4" fillId="8" borderId="1" xfId="0" applyFont="1" applyFill="1" applyBorder="1" applyAlignment="1">
      <alignment horizontal="center" vertical="center" wrapText="1"/>
    </xf>
    <xf numFmtId="0" fontId="0" fillId="10" borderId="1" xfId="0" applyFill="1" applyBorder="1" applyAlignment="1">
      <alignment horizontal="center" vertical="center" wrapText="1"/>
    </xf>
    <xf numFmtId="0" fontId="2" fillId="11" borderId="1" xfId="0" applyFont="1" applyFill="1" applyBorder="1" applyAlignment="1">
      <alignment horizontal="center" vertical="center" wrapText="1"/>
    </xf>
    <xf numFmtId="0" fontId="0" fillId="11" borderId="4" xfId="0" applyFill="1" applyBorder="1" applyAlignment="1">
      <alignment horizontal="center" vertical="center" wrapText="1"/>
    </xf>
    <xf numFmtId="0" fontId="0" fillId="11" borderId="1" xfId="0" applyFill="1" applyBorder="1" applyAlignment="1">
      <alignment horizontal="center" vertical="center" wrapText="1"/>
    </xf>
    <xf numFmtId="0" fontId="0" fillId="0" borderId="0" xfId="0" applyFill="1" applyBorder="1" applyAlignment="1">
      <alignment horizontal="center" vertical="center" wrapText="1"/>
    </xf>
    <xf numFmtId="0" fontId="0" fillId="11" borderId="1" xfId="0" applyFill="1" applyBorder="1" applyAlignment="1">
      <alignment horizontal="center" vertical="center" wrapText="1"/>
    </xf>
    <xf numFmtId="0" fontId="0" fillId="0" borderId="0" xfId="0" applyFill="1" applyBorder="1" applyAlignment="1">
      <alignment horizontal="center" vertical="center" wrapText="1"/>
    </xf>
    <xf numFmtId="0" fontId="24" fillId="5" borderId="1" xfId="0" applyFont="1" applyFill="1" applyBorder="1" applyAlignment="1">
      <alignment wrapText="1"/>
    </xf>
    <xf numFmtId="0" fontId="0" fillId="11" borderId="2" xfId="0" applyFill="1" applyBorder="1" applyAlignment="1">
      <alignment vertical="center" wrapText="1"/>
    </xf>
    <xf numFmtId="0" fontId="0" fillId="15" borderId="1" xfId="0" applyFill="1" applyBorder="1" applyAlignment="1">
      <alignment horizontal="center" vertical="center" wrapText="1"/>
    </xf>
    <xf numFmtId="0" fontId="2" fillId="15" borderId="1" xfId="0" applyFont="1" applyFill="1" applyBorder="1" applyAlignment="1">
      <alignment horizontal="center" vertical="center" wrapText="1"/>
    </xf>
    <xf numFmtId="0" fontId="1" fillId="3" borderId="1" xfId="0" applyFont="1" applyFill="1" applyBorder="1" applyAlignment="1">
      <alignment vertical="center" wrapText="1"/>
    </xf>
    <xf numFmtId="0" fontId="0" fillId="19" borderId="4" xfId="0" applyFill="1" applyBorder="1" applyAlignment="1">
      <alignment horizontal="center" vertical="center" wrapText="1"/>
    </xf>
    <xf numFmtId="3" fontId="2" fillId="19" borderId="4" xfId="0" applyNumberFormat="1" applyFont="1" applyFill="1" applyBorder="1" applyAlignment="1">
      <alignment horizontal="center" vertical="center" wrapText="1"/>
    </xf>
    <xf numFmtId="0" fontId="0" fillId="19" borderId="1" xfId="0" applyFont="1" applyFill="1" applyBorder="1" applyAlignment="1">
      <alignment horizontal="center" vertical="center" wrapText="1"/>
    </xf>
    <xf numFmtId="0" fontId="1" fillId="11" borderId="1" xfId="0" applyFont="1" applyFill="1" applyBorder="1" applyAlignment="1">
      <alignment horizontal="center" vertical="center" wrapText="1"/>
    </xf>
    <xf numFmtId="0" fontId="0" fillId="11" borderId="1" xfId="0" applyFill="1" applyBorder="1" applyAlignment="1">
      <alignment horizontal="center" vertical="center" wrapText="1"/>
    </xf>
    <xf numFmtId="3" fontId="0" fillId="11" borderId="1" xfId="0" applyNumberFormat="1" applyFill="1" applyBorder="1" applyAlignment="1">
      <alignment horizontal="center" vertical="center" wrapText="1"/>
    </xf>
    <xf numFmtId="14" fontId="0" fillId="11" borderId="1" xfId="0" applyNumberFormat="1" applyFill="1" applyBorder="1" applyAlignment="1">
      <alignment horizontal="center" vertical="center" wrapText="1"/>
    </xf>
    <xf numFmtId="0" fontId="0" fillId="0" borderId="0" xfId="0" applyFill="1" applyBorder="1" applyAlignment="1">
      <alignment horizontal="center" vertical="center" wrapText="1"/>
    </xf>
    <xf numFmtId="0" fontId="0" fillId="6" borderId="1" xfId="0" applyFont="1" applyFill="1" applyBorder="1" applyAlignment="1">
      <alignment horizontal="center" vertical="center" wrapText="1"/>
    </xf>
    <xf numFmtId="0" fontId="0" fillId="10" borderId="1" xfId="0" applyFill="1" applyBorder="1" applyAlignment="1">
      <alignment horizontal="center" vertical="center" wrapText="1"/>
    </xf>
    <xf numFmtId="0" fontId="0" fillId="8" borderId="2" xfId="0" applyFont="1" applyFill="1" applyBorder="1" applyAlignment="1">
      <alignment vertical="center" wrapText="1"/>
    </xf>
    <xf numFmtId="168" fontId="0" fillId="8" borderId="1" xfId="0" applyNumberFormat="1" applyFont="1" applyFill="1" applyBorder="1" applyAlignment="1">
      <alignment horizontal="center" vertical="center" wrapText="1"/>
    </xf>
    <xf numFmtId="0" fontId="16" fillId="14" borderId="1" xfId="0" applyFont="1" applyFill="1" applyBorder="1" applyAlignment="1">
      <alignment vertical="center" wrapText="1"/>
    </xf>
    <xf numFmtId="0" fontId="0" fillId="15" borderId="2" xfId="0" applyFill="1" applyBorder="1" applyAlignment="1">
      <alignment wrapText="1"/>
    </xf>
    <xf numFmtId="0" fontId="0" fillId="2" borderId="1" xfId="0" applyFill="1" applyBorder="1" applyAlignment="1">
      <alignment wrapText="1"/>
    </xf>
    <xf numFmtId="0" fontId="0" fillId="19" borderId="4" xfId="0" applyFill="1" applyBorder="1" applyAlignment="1">
      <alignment vertical="center" wrapText="1"/>
    </xf>
    <xf numFmtId="0" fontId="0" fillId="2" borderId="1" xfId="0" applyFill="1" applyBorder="1" applyAlignment="1">
      <alignment vertical="center" wrapText="1"/>
    </xf>
    <xf numFmtId="0" fontId="3"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0" fillId="15" borderId="4" xfId="0" applyFill="1" applyBorder="1" applyAlignment="1">
      <alignment vertical="center" wrapText="1"/>
    </xf>
    <xf numFmtId="3" fontId="2" fillId="15" borderId="4" xfId="0" applyNumberFormat="1" applyFont="1" applyFill="1" applyBorder="1" applyAlignment="1">
      <alignment horizontal="center" vertical="center" wrapText="1"/>
    </xf>
    <xf numFmtId="0" fontId="0" fillId="15" borderId="4" xfId="0" applyFill="1" applyBorder="1" applyAlignment="1">
      <alignment horizontal="center" vertical="center" wrapText="1"/>
    </xf>
    <xf numFmtId="0" fontId="2" fillId="15" borderId="4" xfId="0" applyFont="1" applyFill="1" applyBorder="1" applyAlignment="1">
      <alignment horizontal="center" vertical="center" wrapText="1"/>
    </xf>
    <xf numFmtId="14" fontId="0" fillId="11" borderId="1" xfId="0" applyNumberFormat="1" applyFill="1" applyBorder="1" applyAlignment="1">
      <alignment horizontal="center" vertical="center" wrapText="1"/>
    </xf>
    <xf numFmtId="0" fontId="0" fillId="11" borderId="1" xfId="0" applyFill="1" applyBorder="1" applyAlignment="1">
      <alignment horizontal="center" vertical="center" wrapText="1"/>
    </xf>
    <xf numFmtId="3" fontId="2" fillId="15" borderId="4" xfId="0" applyNumberFormat="1" applyFont="1" applyFill="1" applyBorder="1" applyAlignment="1">
      <alignment horizontal="center" vertical="center" wrapText="1"/>
    </xf>
    <xf numFmtId="0" fontId="0" fillId="15" borderId="1" xfId="0" applyFill="1" applyBorder="1" applyAlignment="1">
      <alignment vertical="center" wrapText="1"/>
    </xf>
    <xf numFmtId="0" fontId="2" fillId="15" borderId="1" xfId="0" applyFont="1" applyFill="1" applyBorder="1" applyAlignment="1">
      <alignment horizontal="center" vertical="center" wrapText="1"/>
    </xf>
    <xf numFmtId="0" fontId="0" fillId="15" borderId="1" xfId="0" applyFill="1" applyBorder="1" applyAlignment="1">
      <alignment horizontal="center" vertical="center" wrapText="1"/>
    </xf>
    <xf numFmtId="0" fontId="0" fillId="0" borderId="0" xfId="0" applyFill="1" applyBorder="1" applyAlignment="1">
      <alignment horizontal="center" vertical="center" wrapText="1"/>
    </xf>
    <xf numFmtId="0" fontId="0" fillId="2" borderId="1" xfId="0" applyFill="1" applyBorder="1" applyAlignment="1">
      <alignment horizontal="center" vertical="center"/>
    </xf>
    <xf numFmtId="0" fontId="4" fillId="15" borderId="4" xfId="0" applyFont="1" applyFill="1" applyBorder="1" applyAlignment="1">
      <alignment horizontal="center" vertical="center" wrapText="1"/>
    </xf>
    <xf numFmtId="0" fontId="0" fillId="2" borderId="6" xfId="0" applyFill="1" applyBorder="1" applyAlignment="1">
      <alignment horizontal="center" vertical="center" wrapText="1"/>
    </xf>
    <xf numFmtId="0" fontId="0" fillId="10" borderId="1" xfId="0" applyFont="1" applyFill="1" applyBorder="1" applyAlignment="1">
      <alignment horizontal="center" vertical="center" wrapText="1"/>
    </xf>
    <xf numFmtId="0" fontId="1" fillId="10" borderId="1" xfId="0" applyFont="1" applyFill="1" applyBorder="1" applyAlignment="1">
      <alignment horizontal="center" vertical="center" wrapText="1"/>
    </xf>
    <xf numFmtId="3" fontId="0" fillId="10" borderId="1" xfId="0" applyNumberFormat="1" applyFont="1" applyFill="1" applyBorder="1" applyAlignment="1">
      <alignment horizontal="center" vertical="center" wrapText="1"/>
    </xf>
    <xf numFmtId="0" fontId="0" fillId="0" borderId="0" xfId="0" applyFont="1" applyFill="1" applyBorder="1" applyAlignment="1">
      <alignment horizontal="center" vertical="center" wrapText="1"/>
    </xf>
    <xf numFmtId="3" fontId="2" fillId="2" borderId="6" xfId="0" applyNumberFormat="1" applyFont="1" applyFill="1" applyBorder="1" applyAlignment="1">
      <alignment horizontal="center" vertical="center" wrapText="1"/>
    </xf>
    <xf numFmtId="0" fontId="0" fillId="2" borderId="0" xfId="0" applyFill="1" applyAlignment="1">
      <alignment horizontal="center" wrapText="1"/>
    </xf>
    <xf numFmtId="0" fontId="0" fillId="0" borderId="0" xfId="0" applyFont="1" applyFill="1" applyAlignment="1">
      <alignment vertical="center" wrapText="1"/>
    </xf>
    <xf numFmtId="166" fontId="4" fillId="0" borderId="0" xfId="0" applyNumberFormat="1" applyFont="1" applyFill="1" applyBorder="1" applyAlignment="1">
      <alignment vertical="center" wrapText="1"/>
    </xf>
    <xf numFmtId="0" fontId="0" fillId="0" borderId="7" xfId="0" applyFont="1" applyFill="1" applyBorder="1" applyAlignment="1">
      <alignment horizontal="center" vertical="center" wrapText="1"/>
    </xf>
    <xf numFmtId="0" fontId="0" fillId="11" borderId="1" xfId="0" applyFill="1" applyBorder="1" applyAlignment="1">
      <alignment horizontal="center" vertical="center" wrapText="1"/>
    </xf>
    <xf numFmtId="0" fontId="0" fillId="0" borderId="0" xfId="0" applyFill="1" applyBorder="1" applyAlignment="1">
      <alignment horizontal="center" vertical="center" wrapText="1"/>
    </xf>
    <xf numFmtId="0" fontId="0" fillId="6" borderId="1" xfId="0" applyFill="1" applyBorder="1" applyAlignment="1">
      <alignment horizontal="center" vertical="center" wrapText="1"/>
    </xf>
    <xf numFmtId="0" fontId="0" fillId="10" borderId="2" xfId="0" applyFill="1" applyBorder="1" applyAlignment="1">
      <alignment horizontal="center" vertical="center" wrapText="1"/>
    </xf>
    <xf numFmtId="0" fontId="0" fillId="10" borderId="1" xfId="0" applyFill="1" applyBorder="1" applyAlignment="1">
      <alignment horizontal="center" vertical="center" wrapText="1"/>
    </xf>
    <xf numFmtId="0" fontId="0" fillId="10" borderId="1" xfId="0" applyFont="1" applyFill="1" applyBorder="1" applyAlignment="1">
      <alignment horizontal="center" vertical="center" wrapText="1"/>
    </xf>
    <xf numFmtId="0" fontId="0" fillId="10" borderId="1" xfId="0" applyFont="1" applyFill="1" applyBorder="1" applyAlignment="1">
      <alignment horizontal="center" vertical="center"/>
    </xf>
    <xf numFmtId="0" fontId="0" fillId="11" borderId="1" xfId="0" applyFont="1" applyFill="1" applyBorder="1" applyAlignment="1">
      <alignment vertical="center" wrapText="1"/>
    </xf>
    <xf numFmtId="0" fontId="0" fillId="0" borderId="0" xfId="0" applyFill="1" applyBorder="1" applyAlignment="1">
      <alignment vertical="center" wrapText="1"/>
    </xf>
    <xf numFmtId="0" fontId="20" fillId="15" borderId="1" xfId="0" applyFont="1" applyFill="1" applyBorder="1" applyAlignment="1">
      <alignment vertical="center" textRotation="255" wrapText="1"/>
    </xf>
    <xf numFmtId="14" fontId="0" fillId="11" borderId="1" xfId="0" applyNumberFormat="1" applyFill="1" applyBorder="1" applyAlignment="1">
      <alignment horizontal="center" vertical="center" wrapText="1"/>
    </xf>
    <xf numFmtId="0" fontId="0" fillId="11" borderId="1" xfId="0" applyFill="1" applyBorder="1" applyAlignment="1">
      <alignment horizontal="center" vertical="center" wrapText="1"/>
    </xf>
    <xf numFmtId="0" fontId="1" fillId="11" borderId="1" xfId="0" applyFont="1" applyFill="1" applyBorder="1" applyAlignment="1">
      <alignment horizontal="center" vertical="center" wrapText="1"/>
    </xf>
    <xf numFmtId="3" fontId="0" fillId="11" borderId="1" xfId="0" applyNumberFormat="1" applyFill="1" applyBorder="1" applyAlignment="1">
      <alignment horizontal="center" vertical="center" wrapText="1"/>
    </xf>
    <xf numFmtId="0" fontId="0" fillId="11" borderId="1" xfId="0" applyFill="1" applyBorder="1" applyAlignment="1">
      <alignment vertical="center" wrapText="1"/>
    </xf>
    <xf numFmtId="165" fontId="0" fillId="11" borderId="1" xfId="0" applyNumberFormat="1" applyFill="1" applyBorder="1" applyAlignment="1">
      <alignment horizontal="center" vertical="center" wrapText="1"/>
    </xf>
    <xf numFmtId="0" fontId="0" fillId="10" borderId="1" xfId="0" applyFill="1" applyBorder="1" applyAlignment="1">
      <alignment horizontal="center" vertical="center" wrapText="1"/>
    </xf>
    <xf numFmtId="0" fontId="0" fillId="10" borderId="1" xfId="0" applyFill="1" applyBorder="1" applyAlignment="1">
      <alignment horizontal="center" vertical="center" wrapText="1"/>
    </xf>
    <xf numFmtId="0" fontId="0" fillId="2" borderId="1" xfId="0" applyFont="1" applyFill="1" applyBorder="1" applyAlignment="1">
      <alignment horizontal="center" vertical="center" wrapText="1"/>
    </xf>
    <xf numFmtId="0" fontId="0" fillId="2" borderId="1" xfId="0" applyFill="1" applyBorder="1" applyAlignment="1">
      <alignment horizontal="center" vertical="center" wrapText="1"/>
    </xf>
    <xf numFmtId="0" fontId="0" fillId="10" borderId="1" xfId="0" applyFill="1" applyBorder="1" applyAlignment="1">
      <alignment horizontal="center" vertical="center" wrapText="1"/>
    </xf>
    <xf numFmtId="0" fontId="0" fillId="10" borderId="1" xfId="0" applyFill="1" applyBorder="1" applyAlignment="1">
      <alignment horizontal="center" vertical="center" wrapText="1"/>
    </xf>
    <xf numFmtId="1" fontId="0" fillId="10" borderId="1" xfId="0" applyNumberFormat="1" applyFill="1" applyBorder="1" applyAlignment="1">
      <alignment horizontal="center" vertical="center" wrapText="1"/>
    </xf>
    <xf numFmtId="0" fontId="0" fillId="10" borderId="1" xfId="0" applyFill="1" applyBorder="1" applyAlignment="1">
      <alignment horizontal="center" vertical="center" wrapText="1"/>
    </xf>
    <xf numFmtId="0" fontId="0" fillId="10" borderId="1" xfId="0" applyFont="1" applyFill="1" applyBorder="1" applyAlignment="1">
      <alignment horizontal="center" vertical="center" wrapText="1"/>
    </xf>
    <xf numFmtId="1" fontId="0" fillId="10" borderId="1" xfId="0" applyNumberFormat="1" applyFill="1" applyBorder="1" applyAlignment="1">
      <alignment horizontal="center" vertical="center" wrapText="1"/>
    </xf>
    <xf numFmtId="1" fontId="0" fillId="10" borderId="1" xfId="0" applyNumberFormat="1" applyFont="1" applyFill="1" applyBorder="1" applyAlignment="1">
      <alignment horizontal="center" vertical="center" wrapText="1"/>
    </xf>
    <xf numFmtId="0" fontId="0" fillId="0" borderId="0" xfId="0" applyFill="1" applyBorder="1" applyAlignment="1">
      <alignment horizontal="center" vertical="center" wrapText="1"/>
    </xf>
    <xf numFmtId="0" fontId="0" fillId="0" borderId="7" xfId="0" applyFill="1" applyBorder="1" applyAlignment="1">
      <alignment horizontal="center" vertical="center" wrapText="1"/>
    </xf>
    <xf numFmtId="0" fontId="6" fillId="3" borderId="26" xfId="0" applyFont="1" applyFill="1" applyBorder="1" applyAlignment="1">
      <alignment vertical="center" textRotation="255" wrapText="1"/>
    </xf>
    <xf numFmtId="1" fontId="1" fillId="10" borderId="1" xfId="0" applyNumberFormat="1" applyFont="1" applyFill="1" applyBorder="1" applyAlignment="1">
      <alignment horizontal="center" vertical="center" wrapText="1"/>
    </xf>
    <xf numFmtId="14" fontId="0" fillId="18" borderId="1" xfId="0" applyNumberFormat="1" applyFill="1" applyBorder="1" applyAlignment="1">
      <alignment horizontal="center" vertical="center" wrapText="1"/>
    </xf>
    <xf numFmtId="0" fontId="3" fillId="11" borderId="1" xfId="0" applyFont="1" applyFill="1" applyBorder="1" applyAlignment="1">
      <alignment horizontal="center" vertical="center" wrapText="1"/>
    </xf>
    <xf numFmtId="0" fontId="0" fillId="15" borderId="1" xfId="0" applyFill="1" applyBorder="1" applyAlignment="1">
      <alignment horizontal="center" vertical="center" wrapText="1"/>
    </xf>
    <xf numFmtId="14" fontId="0" fillId="11" borderId="1" xfId="0" applyNumberFormat="1" applyFill="1" applyBorder="1" applyAlignment="1">
      <alignment horizontal="center" vertical="center" wrapText="1"/>
    </xf>
    <xf numFmtId="0" fontId="0" fillId="11" borderId="1" xfId="0" applyFill="1" applyBorder="1" applyAlignment="1">
      <alignment horizontal="center" vertical="center" wrapText="1"/>
    </xf>
    <xf numFmtId="0" fontId="1" fillId="3" borderId="1" xfId="0" applyFont="1" applyFill="1" applyBorder="1" applyAlignment="1">
      <alignment wrapText="1"/>
    </xf>
    <xf numFmtId="0" fontId="0" fillId="10" borderId="1" xfId="0" applyFill="1" applyBorder="1" applyAlignment="1">
      <alignment horizontal="center" vertical="center" wrapText="1"/>
    </xf>
    <xf numFmtId="0" fontId="1" fillId="10" borderId="1" xfId="0" applyFont="1" applyFill="1" applyBorder="1" applyAlignment="1">
      <alignment horizontal="center" vertical="center" wrapText="1"/>
    </xf>
    <xf numFmtId="3" fontId="0" fillId="10" borderId="1" xfId="0" applyNumberFormat="1" applyFill="1" applyBorder="1" applyAlignment="1">
      <alignment horizontal="center" vertical="center" wrapText="1"/>
    </xf>
    <xf numFmtId="0" fontId="0" fillId="2" borderId="1" xfId="0" applyFont="1" applyFill="1" applyBorder="1" applyAlignment="1">
      <alignment horizontal="center" vertical="center" wrapText="1"/>
    </xf>
    <xf numFmtId="0" fontId="0" fillId="2" borderId="1" xfId="0" applyFont="1" applyFill="1" applyBorder="1" applyAlignment="1">
      <alignment horizontal="center" vertical="center" wrapText="1"/>
    </xf>
    <xf numFmtId="0" fontId="0" fillId="3" borderId="1" xfId="0" applyFont="1" applyFill="1" applyBorder="1" applyAlignment="1">
      <alignment horizontal="center" vertical="center" wrapText="1"/>
    </xf>
    <xf numFmtId="0" fontId="0" fillId="10" borderId="1" xfId="0" applyFill="1" applyBorder="1" applyAlignment="1">
      <alignment horizontal="center" vertical="center" wrapText="1"/>
    </xf>
    <xf numFmtId="0" fontId="0" fillId="2" borderId="0" xfId="0" applyFont="1" applyFill="1" applyAlignment="1">
      <alignment vertical="center" wrapText="1"/>
    </xf>
    <xf numFmtId="0" fontId="0" fillId="2" borderId="1" xfId="0" applyFill="1" applyBorder="1" applyAlignment="1">
      <alignment horizontal="center" vertical="center" wrapText="1"/>
    </xf>
    <xf numFmtId="0" fontId="0" fillId="2" borderId="1" xfId="0" applyFont="1" applyFill="1" applyBorder="1" applyAlignment="1">
      <alignment horizontal="center" vertical="center" wrapText="1"/>
    </xf>
    <xf numFmtId="0" fontId="1" fillId="11" borderId="1" xfId="0" applyFont="1" applyFill="1" applyBorder="1" applyAlignment="1">
      <alignment horizontal="center" vertical="center" wrapText="1"/>
    </xf>
    <xf numFmtId="0" fontId="0" fillId="11" borderId="1" xfId="0" applyFill="1" applyBorder="1" applyAlignment="1">
      <alignment horizontal="center" vertical="center" wrapText="1"/>
    </xf>
    <xf numFmtId="3" fontId="0" fillId="11" borderId="1" xfId="0" applyNumberFormat="1" applyFill="1" applyBorder="1" applyAlignment="1">
      <alignment horizontal="center" vertical="center" wrapText="1"/>
    </xf>
    <xf numFmtId="14" fontId="0" fillId="11" borderId="1" xfId="0" applyNumberFormat="1" applyFill="1" applyBorder="1" applyAlignment="1">
      <alignment horizontal="center" vertical="center" wrapText="1"/>
    </xf>
    <xf numFmtId="0" fontId="0" fillId="11" borderId="1" xfId="0" applyFill="1" applyBorder="1" applyAlignment="1">
      <alignment vertical="center" wrapText="1"/>
    </xf>
    <xf numFmtId="0" fontId="0" fillId="15" borderId="4" xfId="0" applyFill="1" applyBorder="1" applyAlignment="1">
      <alignment horizontal="center" vertical="center" wrapText="1"/>
    </xf>
    <xf numFmtId="0" fontId="0" fillId="15" borderId="1" xfId="0" applyFill="1" applyBorder="1" applyAlignment="1">
      <alignment vertical="center" wrapText="1"/>
    </xf>
    <xf numFmtId="0" fontId="2" fillId="15" borderId="1" xfId="0" applyFont="1" applyFill="1" applyBorder="1" applyAlignment="1">
      <alignment horizontal="center" vertical="center" wrapText="1"/>
    </xf>
    <xf numFmtId="0" fontId="0" fillId="15" borderId="1" xfId="0" applyFill="1" applyBorder="1" applyAlignment="1">
      <alignment horizontal="center" vertical="center" wrapText="1"/>
    </xf>
    <xf numFmtId="3" fontId="2" fillId="15" borderId="4" xfId="0" applyNumberFormat="1" applyFont="1" applyFill="1" applyBorder="1" applyAlignment="1">
      <alignment horizontal="center" vertical="center" wrapText="1"/>
    </xf>
    <xf numFmtId="0" fontId="0" fillId="10" borderId="1" xfId="0" applyFill="1" applyBorder="1" applyAlignment="1">
      <alignment horizontal="center" vertical="center" wrapText="1"/>
    </xf>
    <xf numFmtId="14" fontId="0" fillId="19" borderId="1" xfId="0" applyNumberFormat="1" applyFill="1" applyBorder="1" applyAlignment="1">
      <alignment horizontal="center" vertical="center" wrapText="1"/>
    </xf>
    <xf numFmtId="0" fontId="0" fillId="19" borderId="1" xfId="0" applyFill="1" applyBorder="1" applyAlignment="1">
      <alignment horizontal="center" vertical="center" wrapText="1"/>
    </xf>
    <xf numFmtId="0" fontId="1" fillId="19" borderId="1" xfId="0" applyFont="1" applyFill="1" applyBorder="1" applyAlignment="1">
      <alignment horizontal="center" vertical="center" wrapText="1"/>
    </xf>
    <xf numFmtId="0" fontId="0" fillId="19" borderId="1" xfId="0" applyFill="1" applyBorder="1" applyAlignment="1">
      <alignment vertical="center" wrapText="1"/>
    </xf>
    <xf numFmtId="3" fontId="0" fillId="19" borderId="1" xfId="0" applyNumberFormat="1" applyFill="1" applyBorder="1" applyAlignment="1">
      <alignment horizontal="center" vertical="center" wrapText="1"/>
    </xf>
    <xf numFmtId="0" fontId="0" fillId="2" borderId="17" xfId="0" applyFill="1" applyBorder="1" applyAlignment="1">
      <alignment horizontal="left" vertical="center" wrapText="1"/>
    </xf>
    <xf numFmtId="0" fontId="0" fillId="2" borderId="11" xfId="0" applyFill="1" applyBorder="1" applyAlignment="1">
      <alignment horizontal="left" vertical="center" wrapText="1"/>
    </xf>
    <xf numFmtId="3" fontId="2" fillId="2" borderId="11" xfId="0" applyNumberFormat="1" applyFont="1" applyFill="1" applyBorder="1" applyAlignment="1">
      <alignment horizontal="center" vertical="center" wrapText="1"/>
    </xf>
    <xf numFmtId="0" fontId="2" fillId="2" borderId="11" xfId="0" applyFont="1" applyFill="1" applyBorder="1" applyAlignment="1">
      <alignment horizontal="center" vertical="center" wrapText="1"/>
    </xf>
    <xf numFmtId="14" fontId="0" fillId="2" borderId="10" xfId="0" applyNumberFormat="1" applyFill="1" applyBorder="1" applyAlignment="1">
      <alignment horizontal="center" vertical="center" wrapText="1"/>
    </xf>
    <xf numFmtId="0" fontId="0" fillId="2" borderId="10" xfId="0" applyFill="1" applyBorder="1" applyAlignment="1">
      <alignment horizontal="center" vertical="center" wrapText="1"/>
    </xf>
    <xf numFmtId="0" fontId="0" fillId="2" borderId="11" xfId="0" applyFill="1" applyBorder="1" applyAlignment="1">
      <alignment horizontal="center" vertical="center" wrapText="1"/>
    </xf>
    <xf numFmtId="0" fontId="0" fillId="0" borderId="0" xfId="0" applyFont="1" applyFill="1" applyBorder="1" applyAlignment="1">
      <alignment horizontal="center" vertical="center" wrapText="1"/>
    </xf>
    <xf numFmtId="0" fontId="4" fillId="5" borderId="1" xfId="0" applyFont="1" applyFill="1" applyBorder="1" applyAlignment="1">
      <alignment horizontal="center" wrapText="1"/>
    </xf>
    <xf numFmtId="0" fontId="3" fillId="8" borderId="1" xfId="0" applyFont="1" applyFill="1" applyBorder="1" applyAlignment="1">
      <alignment horizontal="center" vertical="center" wrapText="1"/>
    </xf>
    <xf numFmtId="0" fontId="0" fillId="6" borderId="1" xfId="0" applyFill="1" applyBorder="1" applyAlignment="1">
      <alignment vertical="center" wrapText="1"/>
    </xf>
    <xf numFmtId="0" fontId="1" fillId="11" borderId="2" xfId="0" applyFont="1" applyFill="1" applyBorder="1" applyAlignment="1">
      <alignment horizontal="center" vertical="center" wrapText="1"/>
    </xf>
    <xf numFmtId="0" fontId="0" fillId="11" borderId="2" xfId="0" applyFill="1" applyBorder="1" applyAlignment="1">
      <alignment horizontal="center" vertical="center" wrapText="1"/>
    </xf>
    <xf numFmtId="14" fontId="0" fillId="11" borderId="2" xfId="0" applyNumberFormat="1" applyFill="1" applyBorder="1" applyAlignment="1">
      <alignment horizontal="center" vertical="center" wrapText="1"/>
    </xf>
    <xf numFmtId="0" fontId="0" fillId="11" borderId="1" xfId="0" applyFill="1" applyBorder="1" applyAlignment="1">
      <alignment horizontal="center" vertical="center" wrapText="1"/>
    </xf>
    <xf numFmtId="0" fontId="0" fillId="0" borderId="0" xfId="0" applyFill="1" applyBorder="1" applyAlignment="1">
      <alignment horizontal="center" vertical="center" wrapText="1"/>
    </xf>
    <xf numFmtId="0" fontId="0" fillId="2" borderId="2" xfId="0" applyFill="1" applyBorder="1" applyAlignment="1">
      <alignment vertical="center" wrapText="1"/>
    </xf>
    <xf numFmtId="0" fontId="0" fillId="2" borderId="2" xfId="0" applyFill="1" applyBorder="1" applyAlignment="1">
      <alignment horizontal="center" vertical="center" wrapText="1"/>
    </xf>
    <xf numFmtId="0" fontId="0" fillId="2" borderId="1" xfId="0" applyFont="1" applyFill="1" applyBorder="1" applyAlignment="1">
      <alignment horizontal="center" vertical="center" wrapText="1"/>
    </xf>
    <xf numFmtId="3" fontId="2" fillId="2" borderId="2" xfId="0" applyNumberFormat="1" applyFont="1" applyFill="1" applyBorder="1" applyAlignment="1">
      <alignment horizontal="center" vertical="center" wrapText="1"/>
    </xf>
    <xf numFmtId="0" fontId="2" fillId="2" borderId="2" xfId="0" applyFont="1" applyFill="1" applyBorder="1" applyAlignment="1">
      <alignment horizontal="center" vertical="center" wrapText="1"/>
    </xf>
    <xf numFmtId="0" fontId="0" fillId="2" borderId="1" xfId="0" applyFill="1" applyBorder="1" applyAlignment="1">
      <alignment horizontal="center" vertical="center" wrapText="1"/>
    </xf>
    <xf numFmtId="0" fontId="0" fillId="2" borderId="2" xfId="0" applyFont="1" applyFill="1" applyBorder="1" applyAlignment="1">
      <alignment vertical="center" wrapText="1"/>
    </xf>
    <xf numFmtId="0" fontId="4" fillId="3" borderId="1" xfId="0" applyFont="1" applyFill="1" applyBorder="1" applyAlignment="1">
      <alignment horizontal="center" vertical="center" wrapText="1"/>
    </xf>
    <xf numFmtId="0" fontId="0" fillId="10" borderId="1" xfId="0" applyFill="1" applyBorder="1" applyAlignment="1">
      <alignment horizontal="center" vertical="center" wrapText="1"/>
    </xf>
    <xf numFmtId="0" fontId="0" fillId="2" borderId="1" xfId="0" applyFill="1" applyBorder="1" applyAlignment="1">
      <alignment horizontal="center" vertical="center" wrapText="1"/>
    </xf>
    <xf numFmtId="0" fontId="4" fillId="3" borderId="1" xfId="0" applyFont="1" applyFill="1" applyBorder="1" applyAlignment="1">
      <alignment horizontal="center" wrapText="1"/>
    </xf>
    <xf numFmtId="0" fontId="0" fillId="2" borderId="1" xfId="0" applyFont="1" applyFill="1" applyBorder="1" applyAlignment="1">
      <alignment horizontal="center" vertical="center" wrapText="1"/>
    </xf>
    <xf numFmtId="0" fontId="1" fillId="2" borderId="1" xfId="0" applyFont="1" applyFill="1" applyBorder="1" applyAlignment="1">
      <alignment horizontal="center" vertical="center" wrapText="1"/>
    </xf>
    <xf numFmtId="3" fontId="0" fillId="2" borderId="1" xfId="0" applyNumberFormat="1" applyFill="1" applyBorder="1" applyAlignment="1">
      <alignment horizontal="center" vertical="center" wrapText="1"/>
    </xf>
    <xf numFmtId="0" fontId="0" fillId="2" borderId="1" xfId="0" applyFill="1" applyBorder="1" applyAlignment="1">
      <alignment horizontal="center" vertical="center" wrapText="1"/>
    </xf>
    <xf numFmtId="0" fontId="0" fillId="0" borderId="1" xfId="0" applyBorder="1"/>
    <xf numFmtId="0" fontId="0" fillId="2" borderId="1" xfId="0" applyFill="1" applyBorder="1" applyAlignment="1">
      <alignment horizontal="center" wrapText="1"/>
    </xf>
    <xf numFmtId="0" fontId="0" fillId="0" borderId="1" xfId="0" applyFill="1" applyBorder="1" applyAlignment="1">
      <alignment horizontal="center" wrapText="1"/>
    </xf>
    <xf numFmtId="0" fontId="6" fillId="3" borderId="1" xfId="0" applyFont="1" applyFill="1" applyBorder="1" applyAlignment="1">
      <alignment vertical="center" textRotation="255" wrapText="1"/>
    </xf>
    <xf numFmtId="0" fontId="0" fillId="2" borderId="1" xfId="0" applyFill="1" applyBorder="1" applyAlignment="1">
      <alignment horizontal="left" vertical="center" wrapText="1"/>
    </xf>
    <xf numFmtId="0" fontId="0" fillId="0" borderId="1" xfId="0" applyFill="1" applyBorder="1" applyAlignment="1">
      <alignment wrapText="1"/>
    </xf>
    <xf numFmtId="0" fontId="23" fillId="2" borderId="1" xfId="0" applyFont="1" applyFill="1" applyBorder="1" applyAlignment="1">
      <alignment vertical="center" textRotation="255" wrapText="1"/>
    </xf>
    <xf numFmtId="0" fontId="4" fillId="2" borderId="1" xfId="0" applyFont="1" applyFill="1" applyBorder="1" applyAlignment="1">
      <alignment horizontal="center" wrapText="1"/>
    </xf>
    <xf numFmtId="0" fontId="0" fillId="0" borderId="1" xfId="0" applyBorder="1" applyAlignment="1">
      <alignment horizontal="center" vertical="center" wrapText="1"/>
    </xf>
    <xf numFmtId="0" fontId="0" fillId="11" borderId="1" xfId="0" applyFill="1" applyBorder="1" applyAlignment="1">
      <alignment horizontal="center" vertical="center" wrapText="1"/>
    </xf>
    <xf numFmtId="0" fontId="4" fillId="19" borderId="4" xfId="0" applyFont="1" applyFill="1" applyBorder="1" applyAlignment="1">
      <alignment horizontal="center" vertical="center" wrapText="1"/>
    </xf>
    <xf numFmtId="0" fontId="0" fillId="10" borderId="1" xfId="0" applyFill="1" applyBorder="1" applyAlignment="1">
      <alignment horizontal="center" vertical="center" wrapText="1"/>
    </xf>
    <xf numFmtId="0" fontId="20" fillId="15" borderId="3" xfId="0" applyFont="1" applyFill="1" applyBorder="1" applyAlignment="1">
      <alignment vertical="center" textRotation="255" wrapText="1"/>
    </xf>
    <xf numFmtId="3" fontId="0" fillId="8" borderId="1" xfId="0" applyNumberFormat="1" applyFont="1" applyFill="1" applyBorder="1" applyAlignment="1">
      <alignment vertical="center" wrapText="1"/>
    </xf>
    <xf numFmtId="14" fontId="0" fillId="11" borderId="1" xfId="0" applyNumberFormat="1" applyFill="1" applyBorder="1" applyAlignment="1">
      <alignment horizontal="center" vertical="center" wrapText="1"/>
    </xf>
    <xf numFmtId="0" fontId="0" fillId="11" borderId="1" xfId="0" applyFill="1" applyBorder="1" applyAlignment="1">
      <alignment horizontal="center" vertical="center" wrapText="1"/>
    </xf>
    <xf numFmtId="0" fontId="1" fillId="11" borderId="1" xfId="0" applyFont="1" applyFill="1" applyBorder="1" applyAlignment="1">
      <alignment horizontal="center" vertical="center" wrapText="1"/>
    </xf>
    <xf numFmtId="14" fontId="0" fillId="10" borderId="1" xfId="0" applyNumberFormat="1" applyFill="1" applyBorder="1" applyAlignment="1">
      <alignment horizontal="center" vertical="center" wrapText="1"/>
    </xf>
    <xf numFmtId="0" fontId="21" fillId="3" borderId="23" xfId="0" applyFont="1" applyFill="1" applyBorder="1" applyAlignment="1">
      <alignment vertical="center" wrapText="1"/>
    </xf>
    <xf numFmtId="0" fontId="0" fillId="23" borderId="1" xfId="0" applyFill="1" applyBorder="1" applyAlignment="1">
      <alignment horizontal="center" vertical="center" wrapText="1"/>
    </xf>
    <xf numFmtId="14" fontId="1" fillId="12" borderId="1" xfId="0" applyNumberFormat="1" applyFont="1" applyFill="1" applyBorder="1" applyAlignment="1">
      <alignment horizontal="center" vertical="center" wrapText="1"/>
    </xf>
    <xf numFmtId="14" fontId="0" fillId="6" borderId="1" xfId="0" applyNumberFormat="1" applyFill="1" applyBorder="1" applyAlignment="1">
      <alignment horizontal="center" vertical="center" wrapText="1"/>
    </xf>
    <xf numFmtId="14" fontId="0" fillId="10" borderId="1" xfId="0" applyNumberFormat="1" applyFill="1" applyBorder="1" applyAlignment="1">
      <alignment vertical="center" wrapText="1"/>
    </xf>
    <xf numFmtId="14" fontId="0" fillId="10" borderId="6" xfId="0" applyNumberFormat="1" applyFont="1" applyFill="1" applyBorder="1" applyAlignment="1">
      <alignment horizontal="center" vertical="center" wrapText="1"/>
    </xf>
    <xf numFmtId="14" fontId="0" fillId="10" borderId="6" xfId="0" applyNumberFormat="1" applyFill="1" applyBorder="1" applyAlignment="1">
      <alignment horizontal="center" vertical="center" wrapText="1"/>
    </xf>
    <xf numFmtId="14" fontId="0" fillId="0" borderId="0" xfId="0" applyNumberFormat="1" applyAlignment="1">
      <alignment horizontal="center" vertical="center" wrapText="1"/>
    </xf>
    <xf numFmtId="0" fontId="1" fillId="2" borderId="1" xfId="0" applyFont="1" applyFill="1" applyBorder="1" applyAlignment="1">
      <alignment horizontal="center" vertical="center" wrapText="1"/>
    </xf>
    <xf numFmtId="1" fontId="1" fillId="2" borderId="1"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3" fontId="0" fillId="2" borderId="1" xfId="0" applyNumberFormat="1" applyFill="1" applyBorder="1" applyAlignment="1">
      <alignment horizontal="center" vertical="center" wrapText="1"/>
    </xf>
    <xf numFmtId="14" fontId="0" fillId="2" borderId="1" xfId="0" applyNumberFormat="1" applyFill="1" applyBorder="1" applyAlignment="1">
      <alignment horizontal="center" vertical="center" wrapText="1"/>
    </xf>
    <xf numFmtId="0" fontId="0" fillId="10" borderId="1" xfId="0" applyFont="1" applyFill="1" applyBorder="1" applyAlignment="1">
      <alignment horizontal="center" vertical="center" wrapText="1"/>
    </xf>
    <xf numFmtId="0" fontId="1" fillId="10" borderId="1" xfId="0" applyFont="1" applyFill="1" applyBorder="1" applyAlignment="1">
      <alignment horizontal="center" vertical="center" wrapText="1"/>
    </xf>
    <xf numFmtId="3" fontId="0" fillId="10" borderId="1" xfId="0" applyNumberFormat="1" applyFont="1" applyFill="1" applyBorder="1" applyAlignment="1">
      <alignment horizontal="center" vertical="center" wrapText="1"/>
    </xf>
    <xf numFmtId="14" fontId="0" fillId="10" borderId="1" xfId="0" applyNumberFormat="1" applyFont="1" applyFill="1" applyBorder="1" applyAlignment="1">
      <alignment horizontal="center" vertical="center" wrapText="1"/>
    </xf>
    <xf numFmtId="0" fontId="0" fillId="0" borderId="0" xfId="0" applyFont="1" applyFill="1" applyBorder="1" applyAlignment="1">
      <alignment horizontal="center" vertical="center" wrapText="1"/>
    </xf>
    <xf numFmtId="14" fontId="0" fillId="11" borderId="1" xfId="0" applyNumberFormat="1" applyFill="1" applyBorder="1" applyAlignment="1">
      <alignment horizontal="center" vertical="center" wrapText="1"/>
    </xf>
    <xf numFmtId="0" fontId="0" fillId="11" borderId="1" xfId="0" applyFill="1" applyBorder="1" applyAlignment="1">
      <alignment horizontal="center" vertical="center" wrapText="1"/>
    </xf>
    <xf numFmtId="0" fontId="1" fillId="11" borderId="1" xfId="0" applyFont="1" applyFill="1" applyBorder="1" applyAlignment="1">
      <alignment horizontal="center" vertical="center" wrapText="1"/>
    </xf>
    <xf numFmtId="0" fontId="0" fillId="0" borderId="0" xfId="0" applyFill="1" applyBorder="1" applyAlignment="1">
      <alignment horizontal="center" vertical="center" wrapText="1"/>
    </xf>
    <xf numFmtId="0" fontId="0" fillId="0" borderId="0" xfId="0" applyFont="1" applyFill="1" applyBorder="1" applyAlignment="1">
      <alignment horizontal="center" vertical="center" wrapText="1"/>
    </xf>
    <xf numFmtId="0" fontId="0" fillId="2" borderId="1" xfId="0" applyFill="1" applyBorder="1" applyAlignment="1">
      <alignment horizontal="center" vertical="center" wrapText="1"/>
    </xf>
    <xf numFmtId="0" fontId="0" fillId="2" borderId="1" xfId="0" applyFill="1" applyBorder="1" applyAlignment="1">
      <alignment horizontal="center" vertical="center" wrapText="1"/>
    </xf>
    <xf numFmtId="3" fontId="0" fillId="2" borderId="1" xfId="0" applyNumberFormat="1" applyFill="1" applyBorder="1" applyAlignment="1">
      <alignment horizontal="center" vertical="center" wrapText="1"/>
    </xf>
    <xf numFmtId="14" fontId="0" fillId="2" borderId="1" xfId="0" applyNumberFormat="1" applyFill="1" applyBorder="1" applyAlignment="1">
      <alignment horizontal="center" vertical="center" wrapText="1"/>
    </xf>
    <xf numFmtId="0" fontId="1" fillId="2" borderId="1" xfId="0" applyFont="1" applyFill="1" applyBorder="1" applyAlignment="1">
      <alignment horizontal="center" vertical="center" wrapText="1"/>
    </xf>
    <xf numFmtId="0" fontId="0" fillId="2" borderId="1" xfId="0" applyFill="1" applyBorder="1" applyAlignment="1">
      <alignment vertical="center" wrapText="1"/>
    </xf>
    <xf numFmtId="0" fontId="0" fillId="2" borderId="2" xfId="0" applyFill="1" applyBorder="1" applyAlignment="1">
      <alignment horizontal="center" vertical="center" wrapText="1"/>
    </xf>
    <xf numFmtId="0" fontId="0" fillId="10" borderId="1" xfId="0" applyFont="1" applyFill="1" applyBorder="1" applyAlignment="1">
      <alignment horizontal="center" vertical="center" wrapText="1"/>
    </xf>
    <xf numFmtId="0" fontId="0" fillId="2" borderId="9" xfId="0" applyFill="1" applyBorder="1" applyAlignment="1">
      <alignment horizontal="center" vertical="center" wrapText="1"/>
    </xf>
    <xf numFmtId="0" fontId="0" fillId="2" borderId="1" xfId="0" applyFill="1" applyBorder="1" applyAlignment="1">
      <alignment horizontal="center" vertical="center" wrapText="1"/>
    </xf>
    <xf numFmtId="14" fontId="0" fillId="2" borderId="1" xfId="0" applyNumberFormat="1" applyFill="1" applyBorder="1" applyAlignment="1">
      <alignment horizontal="center" vertical="center" wrapText="1"/>
    </xf>
    <xf numFmtId="0" fontId="0" fillId="2" borderId="0" xfId="0" applyFill="1" applyBorder="1" applyAlignment="1">
      <alignment horizontal="center" vertical="center" wrapText="1"/>
    </xf>
    <xf numFmtId="14" fontId="0" fillId="11" borderId="1" xfId="0" applyNumberFormat="1" applyFill="1" applyBorder="1" applyAlignment="1">
      <alignment horizontal="center" vertical="center" wrapText="1"/>
    </xf>
    <xf numFmtId="0" fontId="0" fillId="11" borderId="1" xfId="0" applyFill="1" applyBorder="1" applyAlignment="1">
      <alignment horizontal="center" vertical="center" wrapText="1"/>
    </xf>
    <xf numFmtId="0" fontId="1" fillId="11" borderId="1" xfId="0" applyFont="1" applyFill="1" applyBorder="1" applyAlignment="1">
      <alignment horizontal="center" vertical="center" wrapText="1"/>
    </xf>
    <xf numFmtId="3" fontId="2" fillId="2" borderId="4" xfId="0" applyNumberFormat="1" applyFont="1" applyFill="1" applyBorder="1" applyAlignment="1">
      <alignment horizontal="center" vertical="center" wrapText="1"/>
    </xf>
    <xf numFmtId="14" fontId="0" fillId="2" borderId="4" xfId="0" applyNumberFormat="1" applyFont="1" applyFill="1" applyBorder="1" applyAlignment="1">
      <alignment horizontal="center" vertical="center" wrapText="1"/>
    </xf>
    <xf numFmtId="0" fontId="4" fillId="2" borderId="4" xfId="0" applyFont="1" applyFill="1" applyBorder="1" applyAlignment="1">
      <alignment horizontal="center" vertical="center" wrapText="1"/>
    </xf>
    <xf numFmtId="0" fontId="0" fillId="2" borderId="1" xfId="0" applyFill="1" applyBorder="1" applyAlignment="1">
      <alignment horizontal="center" vertical="center" wrapText="1"/>
    </xf>
    <xf numFmtId="0" fontId="0" fillId="19" borderId="1" xfId="0" applyFill="1" applyBorder="1" applyAlignment="1">
      <alignment horizontal="center" vertical="center"/>
    </xf>
    <xf numFmtId="0" fontId="0" fillId="8" borderId="1" xfId="0" applyFill="1" applyBorder="1" applyAlignment="1">
      <alignment horizontal="center" vertical="center" wrapText="1"/>
    </xf>
    <xf numFmtId="0" fontId="0" fillId="8" borderId="0" xfId="0" applyFill="1" applyAlignment="1">
      <alignment horizontal="center" vertical="center" wrapText="1"/>
    </xf>
    <xf numFmtId="0" fontId="0" fillId="2" borderId="4" xfId="0" applyFill="1" applyBorder="1" applyAlignment="1">
      <alignment vertical="center" wrapText="1"/>
    </xf>
    <xf numFmtId="0" fontId="2" fillId="2" borderId="4" xfId="0" applyFont="1" applyFill="1" applyBorder="1" applyAlignment="1">
      <alignment horizontal="center" vertical="center" wrapText="1"/>
    </xf>
    <xf numFmtId="0" fontId="0" fillId="18" borderId="1" xfId="0" applyFill="1" applyBorder="1" applyAlignment="1">
      <alignment horizontal="center" vertical="center" wrapText="1"/>
    </xf>
    <xf numFmtId="3" fontId="2" fillId="2" borderId="4" xfId="0" applyNumberFormat="1" applyFont="1" applyFill="1" applyBorder="1" applyAlignment="1">
      <alignment horizontal="center" vertical="center" wrapText="1"/>
    </xf>
    <xf numFmtId="0" fontId="0" fillId="2" borderId="4" xfId="0" applyFill="1" applyBorder="1" applyAlignment="1">
      <alignment horizontal="center" vertical="center" wrapText="1"/>
    </xf>
    <xf numFmtId="0" fontId="0" fillId="2" borderId="1" xfId="0" applyFill="1" applyBorder="1" applyAlignment="1">
      <alignment horizontal="center" vertical="center" wrapText="1"/>
    </xf>
    <xf numFmtId="0" fontId="2" fillId="2" borderId="1" xfId="0" applyFont="1" applyFill="1" applyBorder="1" applyAlignment="1">
      <alignment horizontal="center" vertical="center" wrapText="1"/>
    </xf>
    <xf numFmtId="0" fontId="0" fillId="2" borderId="1" xfId="0" applyFont="1" applyFill="1" applyBorder="1" applyAlignment="1">
      <alignment horizontal="center" vertical="center" wrapText="1"/>
    </xf>
    <xf numFmtId="0" fontId="0" fillId="2" borderId="1" xfId="0" applyFill="1" applyBorder="1" applyAlignment="1">
      <alignment vertical="center" wrapText="1"/>
    </xf>
    <xf numFmtId="166" fontId="4" fillId="19" borderId="1" xfId="0" applyNumberFormat="1" applyFont="1" applyFill="1" applyBorder="1" applyAlignment="1">
      <alignment vertical="center" wrapText="1"/>
    </xf>
    <xf numFmtId="0" fontId="0" fillId="10" borderId="1" xfId="0" applyFill="1" applyBorder="1" applyAlignment="1">
      <alignment horizontal="center" vertical="center" wrapText="1"/>
    </xf>
    <xf numFmtId="14" fontId="0" fillId="10" borderId="1" xfId="0" applyNumberFormat="1" applyFill="1" applyBorder="1" applyAlignment="1">
      <alignment horizontal="center" vertical="center" wrapText="1"/>
    </xf>
    <xf numFmtId="0" fontId="0" fillId="2" borderId="1" xfId="0" applyFill="1" applyBorder="1" applyAlignment="1">
      <alignment horizontal="center" vertical="center" wrapText="1"/>
    </xf>
    <xf numFmtId="3" fontId="3" fillId="15" borderId="1" xfId="0" applyNumberFormat="1" applyFont="1" applyFill="1" applyBorder="1" applyAlignment="1">
      <alignment horizontal="center" wrapText="1"/>
    </xf>
    <xf numFmtId="0" fontId="0" fillId="2" borderId="5" xfId="0" applyFill="1" applyBorder="1" applyAlignment="1">
      <alignment horizontal="center" vertical="center" wrapText="1"/>
    </xf>
    <xf numFmtId="0" fontId="0" fillId="2" borderId="1" xfId="0" applyFill="1" applyBorder="1" applyAlignment="1">
      <alignment horizontal="center" vertical="center" wrapText="1"/>
    </xf>
    <xf numFmtId="0" fontId="0" fillId="2" borderId="6" xfId="0" applyFill="1" applyBorder="1" applyAlignment="1">
      <alignment horizontal="center" vertical="center" wrapText="1"/>
    </xf>
    <xf numFmtId="0" fontId="0" fillId="2" borderId="1" xfId="0" applyFill="1" applyBorder="1" applyAlignment="1">
      <alignment horizontal="center" vertical="center" wrapText="1"/>
    </xf>
    <xf numFmtId="14" fontId="0" fillId="2" borderId="1" xfId="0" applyNumberFormat="1" applyFill="1" applyBorder="1" applyAlignment="1">
      <alignment horizontal="center" vertical="center" wrapText="1"/>
    </xf>
    <xf numFmtId="0" fontId="0" fillId="2" borderId="1" xfId="0" applyFill="1" applyBorder="1" applyAlignment="1">
      <alignment horizontal="center" vertical="center"/>
    </xf>
    <xf numFmtId="0" fontId="0" fillId="5" borderId="1" xfId="0" applyFill="1" applyBorder="1" applyAlignment="1">
      <alignment horizontal="center" vertical="center" wrapText="1"/>
    </xf>
    <xf numFmtId="14" fontId="0" fillId="18" borderId="1" xfId="0" applyNumberFormat="1" applyFill="1" applyBorder="1" applyAlignment="1">
      <alignment horizontal="center" vertical="center" wrapText="1"/>
    </xf>
    <xf numFmtId="0" fontId="0" fillId="18" borderId="1" xfId="0" applyFill="1" applyBorder="1" applyAlignment="1">
      <alignment horizontal="center" vertical="center" wrapText="1"/>
    </xf>
    <xf numFmtId="0" fontId="0" fillId="5" borderId="1" xfId="0" applyFill="1" applyBorder="1" applyAlignment="1">
      <alignment horizontal="left" vertical="center" wrapText="1"/>
    </xf>
    <xf numFmtId="0" fontId="3" fillId="5" borderId="1" xfId="0" applyFont="1" applyFill="1" applyBorder="1" applyAlignment="1">
      <alignment horizontal="center" vertical="center" wrapText="1"/>
    </xf>
    <xf numFmtId="0" fontId="0" fillId="10" borderId="2" xfId="0" applyFill="1" applyBorder="1" applyAlignment="1">
      <alignment horizontal="center" vertical="center" wrapText="1"/>
    </xf>
    <xf numFmtId="0" fontId="0" fillId="10" borderId="1" xfId="0" applyFill="1" applyBorder="1" applyAlignment="1">
      <alignment horizontal="center" vertical="center" wrapText="1"/>
    </xf>
    <xf numFmtId="14" fontId="0" fillId="10" borderId="1" xfId="0" applyNumberFormat="1" applyFill="1" applyBorder="1" applyAlignment="1">
      <alignment horizontal="center" vertical="center" wrapText="1"/>
    </xf>
    <xf numFmtId="0" fontId="0" fillId="10" borderId="1" xfId="0" applyFill="1" applyBorder="1" applyAlignment="1">
      <alignment horizontal="center" vertical="center" wrapText="1"/>
    </xf>
    <xf numFmtId="0" fontId="1" fillId="10" borderId="1" xfId="0" applyFont="1" applyFill="1" applyBorder="1" applyAlignment="1">
      <alignment horizontal="center" vertical="center" wrapText="1"/>
    </xf>
    <xf numFmtId="3" fontId="0" fillId="10" borderId="1" xfId="0" applyNumberFormat="1" applyFill="1" applyBorder="1" applyAlignment="1">
      <alignment horizontal="center" vertical="center" wrapText="1"/>
    </xf>
    <xf numFmtId="14" fontId="0" fillId="10" borderId="1" xfId="0" applyNumberFormat="1" applyFont="1" applyFill="1" applyBorder="1" applyAlignment="1">
      <alignment horizontal="center" vertical="center" wrapText="1"/>
    </xf>
    <xf numFmtId="14" fontId="0" fillId="10" borderId="1" xfId="0" applyNumberFormat="1" applyFill="1" applyBorder="1" applyAlignment="1">
      <alignment horizontal="center" vertical="center" wrapText="1"/>
    </xf>
    <xf numFmtId="0" fontId="4" fillId="2"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0" fillId="2" borderId="1" xfId="0" applyFont="1" applyFill="1" applyBorder="1" applyAlignment="1">
      <alignment horizontal="center" vertical="center" wrapText="1"/>
    </xf>
    <xf numFmtId="1" fontId="1" fillId="2" borderId="1" xfId="0" applyNumberFormat="1" applyFont="1" applyFill="1" applyBorder="1" applyAlignment="1">
      <alignment horizontal="center" vertical="center" wrapText="1"/>
    </xf>
    <xf numFmtId="3" fontId="0" fillId="2" borderId="1" xfId="0" applyNumberFormat="1" applyFont="1" applyFill="1" applyBorder="1" applyAlignment="1">
      <alignment horizontal="center" vertical="center" wrapText="1"/>
    </xf>
    <xf numFmtId="0" fontId="0" fillId="8" borderId="2" xfId="0" applyFont="1" applyFill="1" applyBorder="1" applyAlignment="1">
      <alignment horizontal="center" vertical="center" wrapText="1"/>
    </xf>
    <xf numFmtId="0" fontId="0" fillId="18" borderId="1" xfId="0" applyFill="1" applyBorder="1" applyAlignment="1">
      <alignment horizontal="center" vertical="center" wrapText="1"/>
    </xf>
    <xf numFmtId="14" fontId="0" fillId="18" borderId="4" xfId="0" applyNumberFormat="1" applyFont="1" applyFill="1" applyBorder="1" applyAlignment="1">
      <alignment horizontal="center" vertical="center" wrapText="1"/>
    </xf>
    <xf numFmtId="0" fontId="0" fillId="18" borderId="4" xfId="0" applyFont="1" applyFill="1" applyBorder="1" applyAlignment="1">
      <alignment horizontal="center" vertical="center" wrapText="1"/>
    </xf>
    <xf numFmtId="0" fontId="0" fillId="10" borderId="1" xfId="0" applyFill="1" applyBorder="1" applyAlignment="1">
      <alignment horizontal="center" vertical="center"/>
    </xf>
    <xf numFmtId="1" fontId="0" fillId="2" borderId="1" xfId="0" applyNumberFormat="1" applyFont="1" applyFill="1" applyBorder="1" applyAlignment="1">
      <alignment horizontal="center" vertical="center" wrapText="1"/>
    </xf>
    <xf numFmtId="14" fontId="0" fillId="2" borderId="6" xfId="0" applyNumberFormat="1" applyFont="1" applyFill="1" applyBorder="1" applyAlignment="1">
      <alignment horizontal="center" vertical="center" wrapText="1"/>
    </xf>
    <xf numFmtId="0" fontId="0" fillId="2" borderId="7" xfId="0" applyFont="1" applyFill="1" applyBorder="1" applyAlignment="1">
      <alignment horizontal="center" vertical="center" wrapText="1"/>
    </xf>
    <xf numFmtId="0" fontId="0" fillId="2" borderId="0" xfId="0" applyFont="1" applyFill="1" applyBorder="1" applyAlignment="1">
      <alignment horizontal="center" vertical="center" wrapText="1"/>
    </xf>
    <xf numFmtId="166" fontId="0" fillId="2" borderId="0" xfId="0" applyNumberFormat="1" applyFont="1" applyFill="1" applyBorder="1" applyAlignment="1">
      <alignment vertical="center" wrapText="1"/>
    </xf>
    <xf numFmtId="0" fontId="23" fillId="5" borderId="26" xfId="0" applyFont="1" applyFill="1" applyBorder="1" applyAlignment="1">
      <alignment vertical="center" textRotation="255" wrapText="1"/>
    </xf>
    <xf numFmtId="0" fontId="0" fillId="18" borderId="1" xfId="0" applyFill="1" applyBorder="1" applyAlignment="1">
      <alignment horizontal="center" vertical="center" wrapText="1"/>
    </xf>
    <xf numFmtId="0" fontId="0" fillId="15" borderId="2" xfId="0" applyFill="1" applyBorder="1" applyAlignment="1">
      <alignment vertical="center" wrapText="1"/>
    </xf>
    <xf numFmtId="0" fontId="0" fillId="15" borderId="3" xfId="0" applyFill="1" applyBorder="1" applyAlignment="1">
      <alignment vertical="center" wrapText="1"/>
    </xf>
    <xf numFmtId="0" fontId="0" fillId="15" borderId="4" xfId="0" applyFill="1" applyBorder="1" applyAlignment="1">
      <alignment vertical="center" wrapText="1"/>
    </xf>
    <xf numFmtId="0" fontId="0" fillId="19" borderId="1" xfId="0" applyFill="1" applyBorder="1" applyAlignment="1">
      <alignment horizontal="center" vertical="center" wrapText="1"/>
    </xf>
    <xf numFmtId="0" fontId="0" fillId="10" borderId="1" xfId="0" applyFill="1" applyBorder="1" applyAlignment="1">
      <alignment horizontal="center" vertical="center" wrapText="1"/>
    </xf>
    <xf numFmtId="0" fontId="0" fillId="2" borderId="4" xfId="0" applyFont="1" applyFill="1" applyBorder="1" applyAlignment="1">
      <alignment horizontal="center" vertical="center" wrapText="1"/>
    </xf>
    <xf numFmtId="0" fontId="0" fillId="2" borderId="1" xfId="0" applyFill="1" applyBorder="1" applyAlignment="1">
      <alignment horizontal="center" vertical="center" wrapText="1"/>
    </xf>
    <xf numFmtId="0" fontId="0" fillId="2" borderId="1" xfId="0" applyFont="1" applyFill="1" applyBorder="1" applyAlignment="1">
      <alignment horizontal="center" vertical="center" wrapText="1"/>
    </xf>
    <xf numFmtId="0" fontId="0" fillId="10" borderId="6" xfId="0" applyFont="1" applyFill="1" applyBorder="1" applyAlignment="1">
      <alignment horizontal="center" vertical="center" wrapText="1"/>
    </xf>
    <xf numFmtId="0" fontId="0" fillId="10" borderId="1" xfId="0" applyFont="1" applyFill="1" applyBorder="1" applyAlignment="1">
      <alignment horizontal="center" vertical="center" wrapText="1"/>
    </xf>
    <xf numFmtId="14" fontId="0" fillId="2" borderId="2" xfId="0" applyNumberFormat="1" applyFont="1" applyFill="1" applyBorder="1" applyAlignment="1">
      <alignment vertical="center" wrapText="1"/>
    </xf>
    <xf numFmtId="0" fontId="3" fillId="15" borderId="1" xfId="0" applyFont="1" applyFill="1" applyBorder="1" applyAlignment="1">
      <alignment vertical="center" wrapText="1"/>
    </xf>
    <xf numFmtId="0" fontId="7" fillId="24" borderId="1" xfId="0" applyFont="1" applyFill="1" applyBorder="1" applyAlignment="1">
      <alignment horizontal="center" vertical="center" wrapText="1"/>
    </xf>
    <xf numFmtId="3" fontId="7" fillId="24" borderId="1" xfId="0" applyNumberFormat="1" applyFont="1" applyFill="1" applyBorder="1" applyAlignment="1">
      <alignment horizontal="center" vertical="center" wrapText="1"/>
    </xf>
    <xf numFmtId="0" fontId="8" fillId="24" borderId="1" xfId="0" applyFont="1" applyFill="1" applyBorder="1" applyAlignment="1">
      <alignment horizontal="center" vertical="center" wrapText="1"/>
    </xf>
    <xf numFmtId="0" fontId="1" fillId="24" borderId="1" xfId="0" applyFont="1" applyFill="1" applyBorder="1" applyAlignment="1">
      <alignment horizontal="center" vertical="center" wrapText="1"/>
    </xf>
    <xf numFmtId="14" fontId="7" fillId="24" borderId="1" xfId="0" applyNumberFormat="1" applyFont="1" applyFill="1" applyBorder="1" applyAlignment="1">
      <alignment horizontal="center" vertical="center" wrapText="1"/>
    </xf>
    <xf numFmtId="166" fontId="1" fillId="24" borderId="1" xfId="0" applyNumberFormat="1" applyFont="1" applyFill="1" applyBorder="1" applyAlignment="1">
      <alignment horizontal="center" vertical="center" wrapText="1"/>
    </xf>
    <xf numFmtId="0" fontId="0" fillId="25" borderId="1" xfId="0" applyFont="1" applyFill="1" applyBorder="1" applyAlignment="1">
      <alignment horizontal="center" vertical="center" wrapText="1"/>
    </xf>
    <xf numFmtId="0" fontId="1" fillId="25" borderId="1" xfId="0" applyFont="1" applyFill="1" applyBorder="1" applyAlignment="1">
      <alignment horizontal="center" vertical="center" wrapText="1"/>
    </xf>
    <xf numFmtId="3" fontId="0" fillId="25" borderId="1" xfId="0" applyNumberFormat="1" applyFont="1" applyFill="1" applyBorder="1" applyAlignment="1">
      <alignment horizontal="center" vertical="center" wrapText="1"/>
    </xf>
    <xf numFmtId="14" fontId="0" fillId="25" borderId="1" xfId="0" applyNumberFormat="1" applyFont="1" applyFill="1" applyBorder="1" applyAlignment="1">
      <alignment horizontal="center" vertical="center" wrapText="1"/>
    </xf>
    <xf numFmtId="166" fontId="0" fillId="25" borderId="1" xfId="0" applyNumberFormat="1" applyFont="1" applyFill="1" applyBorder="1" applyAlignment="1">
      <alignment vertical="center" wrapText="1"/>
    </xf>
    <xf numFmtId="0" fontId="0" fillId="25" borderId="1" xfId="0" applyFill="1" applyBorder="1" applyAlignment="1">
      <alignment horizontal="center" vertical="center" wrapText="1"/>
    </xf>
    <xf numFmtId="3" fontId="0" fillId="25" borderId="1" xfId="0" applyNumberFormat="1" applyFill="1" applyBorder="1" applyAlignment="1">
      <alignment horizontal="center" vertical="center" wrapText="1"/>
    </xf>
    <xf numFmtId="14" fontId="0" fillId="25" borderId="1" xfId="0" applyNumberFormat="1" applyFill="1" applyBorder="1" applyAlignment="1">
      <alignment horizontal="center" vertical="center" wrapText="1"/>
    </xf>
    <xf numFmtId="0" fontId="0" fillId="25" borderId="0" xfId="0" applyFill="1" applyBorder="1" applyAlignment="1">
      <alignment horizontal="center" vertical="center" wrapText="1"/>
    </xf>
    <xf numFmtId="0" fontId="3" fillId="25" borderId="1" xfId="0" applyFont="1" applyFill="1" applyBorder="1" applyAlignment="1">
      <alignment horizontal="center" vertical="center" wrapText="1"/>
    </xf>
    <xf numFmtId="0" fontId="0" fillId="25" borderId="1" xfId="0" applyFill="1" applyBorder="1" applyAlignment="1">
      <alignment horizontal="center" vertical="center" wrapText="1"/>
    </xf>
    <xf numFmtId="0" fontId="0" fillId="25" borderId="0" xfId="0" applyFill="1" applyAlignment="1">
      <alignment horizontal="center" vertical="center" wrapText="1"/>
    </xf>
    <xf numFmtId="14" fontId="1" fillId="25" borderId="1" xfId="0" applyNumberFormat="1" applyFont="1" applyFill="1" applyBorder="1" applyAlignment="1">
      <alignment horizontal="center" vertical="center" wrapText="1"/>
    </xf>
    <xf numFmtId="1" fontId="0" fillId="25" borderId="1" xfId="0" applyNumberFormat="1" applyFont="1" applyFill="1" applyBorder="1" applyAlignment="1">
      <alignment horizontal="center" vertical="center" wrapText="1"/>
    </xf>
    <xf numFmtId="14" fontId="1" fillId="0" borderId="0" xfId="0" applyNumberFormat="1" applyFont="1" applyAlignment="1">
      <alignment horizontal="center" vertical="center" wrapText="1"/>
    </xf>
    <xf numFmtId="0" fontId="0" fillId="8" borderId="2" xfId="0" applyFont="1" applyFill="1" applyBorder="1" applyAlignment="1">
      <alignment horizontal="center" vertical="center" wrapText="1"/>
    </xf>
    <xf numFmtId="0" fontId="0" fillId="8" borderId="3" xfId="0" applyFont="1" applyFill="1" applyBorder="1" applyAlignment="1">
      <alignment horizontal="center" vertical="center" wrapText="1"/>
    </xf>
    <xf numFmtId="0" fontId="0" fillId="8" borderId="4" xfId="0" applyFont="1" applyFill="1" applyBorder="1" applyAlignment="1">
      <alignment horizontal="center" vertical="center" wrapText="1"/>
    </xf>
    <xf numFmtId="14" fontId="0" fillId="25" borderId="2" xfId="0" applyNumberFormat="1" applyFill="1" applyBorder="1" applyAlignment="1">
      <alignment horizontal="center" vertical="center" wrapText="1"/>
    </xf>
    <xf numFmtId="0" fontId="2" fillId="19" borderId="1" xfId="0" applyFont="1" applyFill="1" applyBorder="1" applyAlignment="1">
      <alignment horizontal="center" vertical="center" wrapText="1"/>
    </xf>
    <xf numFmtId="14" fontId="0" fillId="10" borderId="1" xfId="0" applyNumberFormat="1" applyFont="1" applyFill="1" applyBorder="1" applyAlignment="1">
      <alignment horizontal="center" vertical="center" wrapText="1"/>
    </xf>
    <xf numFmtId="0" fontId="0" fillId="10" borderId="1" xfId="0" applyFont="1" applyFill="1" applyBorder="1" applyAlignment="1">
      <alignment horizontal="center" vertical="center" wrapText="1"/>
    </xf>
    <xf numFmtId="14" fontId="0" fillId="18" borderId="4" xfId="0" applyNumberFormat="1" applyFont="1" applyFill="1" applyBorder="1" applyAlignment="1">
      <alignment horizontal="center" vertical="center" wrapText="1"/>
    </xf>
    <xf numFmtId="0" fontId="0" fillId="18" borderId="1" xfId="0" applyFill="1" applyBorder="1" applyAlignment="1">
      <alignment horizontal="center" vertical="center" wrapText="1"/>
    </xf>
    <xf numFmtId="3" fontId="2" fillId="15" borderId="4" xfId="0" applyNumberFormat="1" applyFont="1" applyFill="1" applyBorder="1" applyAlignment="1">
      <alignment horizontal="center" vertical="center" wrapText="1"/>
    </xf>
    <xf numFmtId="0" fontId="0" fillId="15" borderId="4" xfId="0" applyFill="1" applyBorder="1" applyAlignment="1">
      <alignment horizontal="center" vertical="center" wrapText="1"/>
    </xf>
    <xf numFmtId="0" fontId="0" fillId="18" borderId="4" xfId="0" applyFont="1" applyFill="1" applyBorder="1" applyAlignment="1">
      <alignment horizontal="center" vertical="center" wrapText="1"/>
    </xf>
    <xf numFmtId="0" fontId="0" fillId="15" borderId="4" xfId="0" applyFill="1" applyBorder="1" applyAlignment="1">
      <alignment vertical="center" wrapText="1"/>
    </xf>
    <xf numFmtId="0" fontId="2" fillId="15" borderId="4" xfId="0" applyFont="1" applyFill="1" applyBorder="1" applyAlignment="1">
      <alignment horizontal="center" vertical="center" wrapText="1"/>
    </xf>
    <xf numFmtId="0" fontId="0" fillId="15" borderId="1" xfId="0" applyFill="1" applyBorder="1" applyAlignment="1">
      <alignment horizontal="center" vertical="center" wrapText="1"/>
    </xf>
    <xf numFmtId="14" fontId="0" fillId="8" borderId="1" xfId="0" applyNumberFormat="1" applyFont="1" applyFill="1" applyBorder="1" applyAlignment="1">
      <alignment horizontal="center" vertical="center" wrapText="1"/>
    </xf>
    <xf numFmtId="14" fontId="0" fillId="19" borderId="1" xfId="0" applyNumberFormat="1" applyFont="1" applyFill="1" applyBorder="1" applyAlignment="1">
      <alignment horizontal="center" vertical="center" wrapText="1"/>
    </xf>
    <xf numFmtId="0" fontId="0" fillId="5" borderId="1" xfId="0" applyFill="1" applyBorder="1" applyAlignment="1">
      <alignment horizontal="left" vertical="center"/>
    </xf>
    <xf numFmtId="3" fontId="3" fillId="5" borderId="1" xfId="0" applyNumberFormat="1" applyFont="1" applyFill="1" applyBorder="1" applyAlignment="1">
      <alignment horizontal="center" vertical="center"/>
    </xf>
    <xf numFmtId="0" fontId="0" fillId="5" borderId="1" xfId="0" applyFill="1" applyBorder="1" applyAlignment="1">
      <alignment horizontal="center" vertical="center"/>
    </xf>
    <xf numFmtId="0" fontId="2" fillId="5" borderId="1" xfId="0" applyFont="1" applyFill="1" applyBorder="1" applyAlignment="1">
      <alignment vertical="top" wrapText="1"/>
    </xf>
    <xf numFmtId="0" fontId="0" fillId="11" borderId="2" xfId="0" applyFill="1" applyBorder="1" applyAlignment="1">
      <alignment horizontal="center" vertical="center" wrapText="1"/>
    </xf>
    <xf numFmtId="0" fontId="1" fillId="11" borderId="2" xfId="0" applyFont="1" applyFill="1" applyBorder="1" applyAlignment="1">
      <alignment horizontal="center" vertical="center" wrapText="1"/>
    </xf>
    <xf numFmtId="14" fontId="0" fillId="11" borderId="2" xfId="0" applyNumberFormat="1" applyFill="1" applyBorder="1" applyAlignment="1">
      <alignment horizontal="center" vertical="center" wrapText="1"/>
    </xf>
    <xf numFmtId="0" fontId="0" fillId="11" borderId="2" xfId="0" applyFont="1" applyFill="1" applyBorder="1" applyAlignment="1">
      <alignment vertical="center" wrapText="1"/>
    </xf>
    <xf numFmtId="0" fontId="0" fillId="10" borderId="1" xfId="0" applyFill="1" applyBorder="1" applyAlignment="1">
      <alignment horizontal="center" vertical="center" wrapText="1"/>
    </xf>
    <xf numFmtId="14" fontId="0" fillId="10" borderId="1" xfId="0" applyNumberFormat="1" applyFill="1" applyBorder="1" applyAlignment="1">
      <alignment horizontal="center" vertical="center" wrapText="1"/>
    </xf>
    <xf numFmtId="164" fontId="0" fillId="10" borderId="1" xfId="0" applyNumberFormat="1" applyFill="1" applyBorder="1" applyAlignment="1">
      <alignment horizontal="center" vertical="center" wrapText="1"/>
    </xf>
    <xf numFmtId="0" fontId="0" fillId="25" borderId="1" xfId="0" applyFill="1" applyBorder="1" applyAlignment="1">
      <alignment horizontal="center" vertical="center" wrapText="1"/>
    </xf>
    <xf numFmtId="0" fontId="0" fillId="10" borderId="1" xfId="0" applyFont="1" applyFill="1" applyBorder="1" applyAlignment="1">
      <alignment horizontal="center" vertical="center" wrapText="1"/>
    </xf>
    <xf numFmtId="0" fontId="0" fillId="10" borderId="1" xfId="0" applyFill="1" applyBorder="1" applyAlignment="1">
      <alignment horizontal="center" vertical="center" wrapText="1"/>
    </xf>
    <xf numFmtId="0" fontId="0" fillId="2" borderId="15" xfId="0" applyFill="1" applyBorder="1" applyAlignment="1">
      <alignment horizontal="left" vertical="center" wrapText="1"/>
    </xf>
    <xf numFmtId="0" fontId="0" fillId="2" borderId="10" xfId="0" applyFill="1" applyBorder="1" applyAlignment="1">
      <alignment horizontal="left" vertical="center" wrapText="1"/>
    </xf>
    <xf numFmtId="3" fontId="2" fillId="2" borderId="10" xfId="0" applyNumberFormat="1" applyFont="1" applyFill="1" applyBorder="1" applyAlignment="1">
      <alignment horizontal="center" vertical="center" wrapText="1"/>
    </xf>
    <xf numFmtId="0" fontId="0" fillId="2" borderId="10" xfId="0" applyFont="1" applyFill="1" applyBorder="1" applyAlignment="1">
      <alignment horizontal="center" vertical="center" wrapText="1"/>
    </xf>
    <xf numFmtId="0" fontId="0" fillId="19" borderId="1" xfId="0" applyFill="1" applyBorder="1" applyAlignment="1">
      <alignment horizontal="center" vertical="center" wrapText="1"/>
    </xf>
    <xf numFmtId="14" fontId="0" fillId="10" borderId="1" xfId="0" applyNumberFormat="1" applyFont="1" applyFill="1" applyBorder="1" applyAlignment="1">
      <alignment horizontal="center" vertical="center" wrapText="1"/>
    </xf>
    <xf numFmtId="0" fontId="0" fillId="10" borderId="1" xfId="0" applyFont="1" applyFill="1" applyBorder="1" applyAlignment="1">
      <alignment horizontal="center" vertical="center" wrapText="1"/>
    </xf>
    <xf numFmtId="0" fontId="0" fillId="0" borderId="0" xfId="0" applyFont="1" applyFill="1" applyBorder="1" applyAlignment="1">
      <alignment horizontal="center" vertical="center" wrapText="1"/>
    </xf>
    <xf numFmtId="0" fontId="0" fillId="10" borderId="1" xfId="0" applyFill="1" applyBorder="1" applyAlignment="1">
      <alignment horizontal="center" vertical="center" wrapText="1"/>
    </xf>
    <xf numFmtId="0" fontId="0" fillId="25" borderId="1" xfId="0" applyFill="1" applyBorder="1" applyAlignment="1">
      <alignment horizontal="center" vertical="center" wrapText="1"/>
    </xf>
    <xf numFmtId="0" fontId="0" fillId="2" borderId="4" xfId="0" applyFont="1" applyFill="1" applyBorder="1" applyAlignment="1">
      <alignment horizontal="center" vertical="center" wrapText="1"/>
    </xf>
    <xf numFmtId="14" fontId="0" fillId="2" borderId="4" xfId="0" applyNumberFormat="1" applyFont="1" applyFill="1" applyBorder="1" applyAlignment="1">
      <alignment horizontal="center" vertical="center" wrapText="1"/>
    </xf>
    <xf numFmtId="0" fontId="0" fillId="2" borderId="2" xfId="0" applyFill="1" applyBorder="1" applyAlignment="1">
      <alignment horizontal="center" vertical="center" wrapText="1"/>
    </xf>
    <xf numFmtId="3" fontId="2" fillId="2" borderId="2"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0" fontId="0" fillId="2" borderId="2" xfId="0" applyFill="1" applyBorder="1" applyAlignment="1">
      <alignment vertical="center" wrapText="1"/>
    </xf>
    <xf numFmtId="0" fontId="2" fillId="2" borderId="2" xfId="0" applyFont="1" applyFill="1" applyBorder="1" applyAlignment="1">
      <alignment horizontal="center" vertical="center" wrapText="1"/>
    </xf>
    <xf numFmtId="0" fontId="0" fillId="25" borderId="1" xfId="0" applyFill="1" applyBorder="1" applyAlignment="1">
      <alignment horizontal="center" vertical="center" wrapText="1"/>
    </xf>
    <xf numFmtId="0" fontId="1" fillId="25" borderId="1" xfId="0" applyFont="1" applyFill="1" applyBorder="1" applyAlignment="1">
      <alignment horizontal="center" vertical="center" wrapText="1"/>
    </xf>
    <xf numFmtId="3" fontId="0" fillId="25" borderId="1" xfId="0" applyNumberFormat="1" applyFill="1" applyBorder="1" applyAlignment="1">
      <alignment horizontal="center" vertical="center" wrapText="1"/>
    </xf>
    <xf numFmtId="14" fontId="1" fillId="24" borderId="1" xfId="0" applyNumberFormat="1" applyFont="1" applyFill="1" applyBorder="1" applyAlignment="1">
      <alignment horizontal="center" vertical="center" wrapText="1"/>
    </xf>
    <xf numFmtId="0" fontId="0" fillId="25" borderId="1" xfId="0" applyFont="1" applyFill="1" applyBorder="1" applyAlignment="1">
      <alignment horizontal="center" vertical="center" wrapText="1"/>
    </xf>
    <xf numFmtId="0" fontId="0" fillId="25" borderId="1" xfId="0" applyFill="1" applyBorder="1" applyAlignment="1">
      <alignment horizontal="center" vertical="center" wrapText="1"/>
    </xf>
    <xf numFmtId="0" fontId="0" fillId="2" borderId="1" xfId="0" applyFill="1" applyBorder="1" applyAlignment="1">
      <alignment horizontal="center" vertical="center" wrapText="1"/>
    </xf>
    <xf numFmtId="16" fontId="0" fillId="25" borderId="1" xfId="0" applyNumberFormat="1" applyFill="1" applyBorder="1" applyAlignment="1">
      <alignment horizontal="center" vertical="center" wrapText="1"/>
    </xf>
    <xf numFmtId="0" fontId="21" fillId="3" borderId="16" xfId="0" applyFont="1" applyFill="1" applyBorder="1" applyAlignment="1">
      <alignment vertical="center" wrapText="1"/>
    </xf>
    <xf numFmtId="1" fontId="0" fillId="25" borderId="1" xfId="0" applyNumberFormat="1" applyFont="1" applyFill="1" applyBorder="1" applyAlignment="1">
      <alignment horizontal="center" vertical="center" wrapText="1"/>
    </xf>
    <xf numFmtId="14" fontId="1" fillId="24" borderId="1" xfId="0" applyNumberFormat="1" applyFont="1" applyFill="1" applyBorder="1" applyAlignment="1">
      <alignment horizontal="center" vertical="center" wrapText="1"/>
    </xf>
    <xf numFmtId="0" fontId="1" fillId="25" borderId="1" xfId="0" applyFont="1" applyFill="1" applyBorder="1" applyAlignment="1">
      <alignment horizontal="center" vertical="center" wrapText="1"/>
    </xf>
    <xf numFmtId="0" fontId="0" fillId="25" borderId="1" xfId="0" applyFill="1" applyBorder="1" applyAlignment="1">
      <alignment horizontal="center" vertical="center" wrapText="1"/>
    </xf>
    <xf numFmtId="3" fontId="0" fillId="25" borderId="1" xfId="0" applyNumberFormat="1" applyFill="1" applyBorder="1" applyAlignment="1">
      <alignment horizontal="center" vertical="center" wrapText="1"/>
    </xf>
    <xf numFmtId="14" fontId="1" fillId="24" borderId="1" xfId="0" applyNumberFormat="1" applyFont="1" applyFill="1" applyBorder="1" applyAlignment="1">
      <alignment horizontal="center" vertical="center" wrapText="1"/>
    </xf>
    <xf numFmtId="0" fontId="0" fillId="25" borderId="1" xfId="0" applyFont="1" applyFill="1" applyBorder="1" applyAlignment="1">
      <alignment horizontal="center" vertical="center" wrapText="1"/>
    </xf>
    <xf numFmtId="0" fontId="1" fillId="25" borderId="1" xfId="0" applyFont="1" applyFill="1" applyBorder="1" applyAlignment="1">
      <alignment horizontal="center" vertical="center" wrapText="1"/>
    </xf>
    <xf numFmtId="0" fontId="0" fillId="25" borderId="1" xfId="0" applyFill="1" applyBorder="1" applyAlignment="1">
      <alignment horizontal="center" vertical="center" wrapText="1"/>
    </xf>
    <xf numFmtId="3" fontId="0" fillId="25" borderId="1" xfId="0" applyNumberFormat="1" applyFill="1" applyBorder="1" applyAlignment="1">
      <alignment horizontal="center" vertical="center" wrapText="1"/>
    </xf>
    <xf numFmtId="0" fontId="1" fillId="2" borderId="2" xfId="0" applyFont="1" applyFill="1" applyBorder="1" applyAlignment="1">
      <alignment horizontal="center" vertical="center" wrapText="1"/>
    </xf>
    <xf numFmtId="0" fontId="0" fillId="2" borderId="4" xfId="0" applyFont="1" applyFill="1" applyBorder="1" applyAlignment="1">
      <alignment horizontal="center" vertical="center" wrapText="1"/>
    </xf>
    <xf numFmtId="14" fontId="0" fillId="2" borderId="4" xfId="0" applyNumberFormat="1" applyFont="1" applyFill="1" applyBorder="1" applyAlignment="1">
      <alignment horizontal="center" vertical="center" wrapText="1"/>
    </xf>
    <xf numFmtId="0" fontId="0" fillId="2" borderId="2" xfId="0" applyFill="1" applyBorder="1" applyAlignment="1">
      <alignment horizontal="center" vertical="center" wrapText="1"/>
    </xf>
    <xf numFmtId="14" fontId="0" fillId="2" borderId="2" xfId="0" applyNumberFormat="1" applyFill="1" applyBorder="1" applyAlignment="1">
      <alignment horizontal="center" vertical="center" wrapText="1"/>
    </xf>
    <xf numFmtId="0" fontId="3" fillId="2" borderId="2" xfId="0" applyFont="1" applyFill="1" applyBorder="1" applyAlignment="1">
      <alignment horizontal="center" vertical="center" wrapText="1"/>
    </xf>
    <xf numFmtId="1" fontId="1" fillId="2" borderId="2" xfId="0" applyNumberFormat="1" applyFont="1" applyFill="1" applyBorder="1" applyAlignment="1">
      <alignment horizontal="center" vertical="center" wrapText="1"/>
    </xf>
    <xf numFmtId="3" fontId="0" fillId="2" borderId="2" xfId="0" applyNumberFormat="1" applyFill="1" applyBorder="1" applyAlignment="1">
      <alignment horizontal="center" vertical="center" wrapText="1"/>
    </xf>
    <xf numFmtId="0" fontId="1" fillId="2" borderId="1" xfId="0" applyFont="1" applyFill="1" applyBorder="1" applyAlignment="1">
      <alignment horizontal="center" vertical="center" wrapText="1"/>
    </xf>
    <xf numFmtId="1" fontId="1" fillId="2" borderId="1"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3" fontId="0" fillId="2" borderId="1" xfId="0" applyNumberFormat="1" applyFill="1" applyBorder="1" applyAlignment="1">
      <alignment horizontal="center" vertical="center" wrapText="1"/>
    </xf>
    <xf numFmtId="14" fontId="0" fillId="2" borderId="1" xfId="0" applyNumberFormat="1" applyFill="1" applyBorder="1" applyAlignment="1">
      <alignment horizontal="center" vertical="center" wrapText="1"/>
    </xf>
    <xf numFmtId="14" fontId="0" fillId="22" borderId="1" xfId="0" applyNumberFormat="1" applyFont="1" applyFill="1" applyBorder="1" applyAlignment="1">
      <alignment horizontal="center" vertical="center" wrapText="1"/>
    </xf>
    <xf numFmtId="14" fontId="0" fillId="22" borderId="1" xfId="0" applyNumberFormat="1" applyFill="1" applyBorder="1" applyAlignment="1">
      <alignment horizontal="center" vertical="center" wrapText="1"/>
    </xf>
    <xf numFmtId="0" fontId="0" fillId="25" borderId="0" xfId="0" applyFont="1" applyFill="1" applyAlignment="1">
      <alignment vertical="center" wrapText="1"/>
    </xf>
    <xf numFmtId="0" fontId="16" fillId="25" borderId="1" xfId="0" applyFont="1" applyFill="1" applyBorder="1" applyAlignment="1">
      <alignment horizontal="center" vertical="center" wrapText="1"/>
    </xf>
    <xf numFmtId="0" fontId="9" fillId="25" borderId="1" xfId="0" applyFont="1" applyFill="1" applyBorder="1" applyAlignment="1">
      <alignment horizontal="center" vertical="center" wrapText="1"/>
    </xf>
    <xf numFmtId="3" fontId="9" fillId="25" borderId="1" xfId="0" applyNumberFormat="1" applyFont="1" applyFill="1" applyBorder="1" applyAlignment="1">
      <alignment horizontal="center" vertical="center" wrapText="1"/>
    </xf>
    <xf numFmtId="0" fontId="31" fillId="25" borderId="1" xfId="0" applyFont="1" applyFill="1" applyBorder="1" applyAlignment="1">
      <alignment horizontal="center" vertical="center" wrapText="1"/>
    </xf>
    <xf numFmtId="14" fontId="9" fillId="25" borderId="1" xfId="0" applyNumberFormat="1" applyFont="1" applyFill="1" applyBorder="1" applyAlignment="1">
      <alignment horizontal="center" vertical="center" wrapText="1"/>
    </xf>
    <xf numFmtId="14" fontId="0" fillId="10" borderId="1" xfId="0" applyNumberFormat="1" applyFont="1" applyFill="1" applyBorder="1" applyAlignment="1">
      <alignment horizontal="center" vertical="center" wrapText="1"/>
    </xf>
    <xf numFmtId="0" fontId="0" fillId="10" borderId="1" xfId="0" applyFont="1" applyFill="1" applyBorder="1" applyAlignment="1">
      <alignment horizontal="center" vertical="center" wrapText="1"/>
    </xf>
    <xf numFmtId="14" fontId="1" fillId="24" borderId="1" xfId="0" applyNumberFormat="1" applyFont="1" applyFill="1" applyBorder="1" applyAlignment="1">
      <alignment horizontal="center" vertical="center" wrapText="1"/>
    </xf>
    <xf numFmtId="0" fontId="0" fillId="0" borderId="4" xfId="0" applyFont="1" applyFill="1" applyBorder="1" applyAlignment="1">
      <alignment horizontal="center" vertical="center" wrapText="1"/>
    </xf>
    <xf numFmtId="14" fontId="0" fillId="6" borderId="1"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0" fontId="0" fillId="2" borderId="6" xfId="0" applyFill="1" applyBorder="1" applyAlignment="1">
      <alignment horizontal="center" vertical="center" wrapText="1"/>
    </xf>
    <xf numFmtId="14" fontId="0" fillId="11" borderId="1" xfId="0" applyNumberFormat="1" applyFill="1" applyBorder="1" applyAlignment="1">
      <alignment horizontal="center" vertical="center" wrapText="1"/>
    </xf>
    <xf numFmtId="0" fontId="0" fillId="11" borderId="1" xfId="0" applyFill="1" applyBorder="1" applyAlignment="1">
      <alignment horizontal="center" vertical="center" wrapText="1"/>
    </xf>
    <xf numFmtId="0" fontId="1" fillId="11" borderId="1" xfId="0" applyFont="1" applyFill="1" applyBorder="1" applyAlignment="1">
      <alignment horizontal="center" vertical="center" wrapText="1"/>
    </xf>
    <xf numFmtId="0" fontId="0" fillId="2" borderId="2" xfId="0" applyFill="1" applyBorder="1" applyAlignment="1">
      <alignment horizontal="center" vertical="center" wrapText="1"/>
    </xf>
    <xf numFmtId="0" fontId="0" fillId="2" borderId="4" xfId="0" applyFill="1" applyBorder="1" applyAlignment="1">
      <alignment horizontal="center" vertical="center" wrapText="1"/>
    </xf>
    <xf numFmtId="0" fontId="0" fillId="2" borderId="9" xfId="0" applyFill="1" applyBorder="1" applyAlignment="1">
      <alignment horizontal="center" vertical="center" wrapText="1"/>
    </xf>
    <xf numFmtId="14" fontId="0" fillId="2" borderId="2" xfId="0" applyNumberFormat="1" applyFill="1" applyBorder="1" applyAlignment="1">
      <alignment horizontal="center" vertical="center" wrapText="1"/>
    </xf>
    <xf numFmtId="0" fontId="0" fillId="2" borderId="20" xfId="0" applyFill="1" applyBorder="1" applyAlignment="1">
      <alignment horizontal="left" vertical="center" wrapText="1"/>
    </xf>
    <xf numFmtId="0" fontId="0" fillId="2" borderId="1" xfId="0" applyFill="1" applyBorder="1" applyAlignment="1">
      <alignment horizontal="center" vertical="center" wrapText="1"/>
    </xf>
    <xf numFmtId="0" fontId="20" fillId="2" borderId="3" xfId="0" applyFont="1" applyFill="1" applyBorder="1" applyAlignment="1">
      <alignment vertical="center" textRotation="255" wrapText="1"/>
    </xf>
    <xf numFmtId="0" fontId="0" fillId="2" borderId="9" xfId="0" applyFill="1" applyBorder="1" applyAlignment="1">
      <alignment horizontal="left" vertical="center" wrapText="1"/>
    </xf>
    <xf numFmtId="3" fontId="2" fillId="2" borderId="9" xfId="0" applyNumberFormat="1" applyFont="1" applyFill="1" applyBorder="1" applyAlignment="1">
      <alignment horizontal="center" vertical="center" wrapText="1"/>
    </xf>
    <xf numFmtId="0" fontId="21" fillId="5" borderId="16" xfId="0" applyFont="1" applyFill="1" applyBorder="1" applyAlignment="1">
      <alignment vertical="center" wrapText="1"/>
    </xf>
    <xf numFmtId="0" fontId="0" fillId="6" borderId="4" xfId="0" applyFont="1" applyFill="1" applyBorder="1" applyAlignment="1">
      <alignment horizontal="center" vertical="center" wrapText="1"/>
    </xf>
    <xf numFmtId="0" fontId="0" fillId="15" borderId="4" xfId="0" applyFill="1" applyBorder="1" applyAlignment="1">
      <alignment horizontal="center" vertical="center" wrapText="1"/>
    </xf>
    <xf numFmtId="3" fontId="2" fillId="15" borderId="4" xfId="0" applyNumberFormat="1" applyFont="1" applyFill="1" applyBorder="1" applyAlignment="1">
      <alignment horizontal="center" vertical="center" wrapText="1"/>
    </xf>
    <xf numFmtId="0" fontId="2" fillId="15" borderId="4" xfId="0" applyFont="1" applyFill="1" applyBorder="1" applyAlignment="1">
      <alignment horizontal="center" vertical="center" wrapText="1"/>
    </xf>
    <xf numFmtId="0" fontId="0" fillId="15" borderId="4" xfId="0" applyFill="1" applyBorder="1" applyAlignment="1">
      <alignment vertical="center" wrapText="1"/>
    </xf>
    <xf numFmtId="14" fontId="0" fillId="6" borderId="4" xfId="0" applyNumberFormat="1" applyFont="1" applyFill="1" applyBorder="1" applyAlignment="1">
      <alignment horizontal="center" vertical="center" wrapText="1"/>
    </xf>
    <xf numFmtId="0" fontId="0" fillId="10" borderId="1" xfId="0" applyFill="1" applyBorder="1" applyAlignment="1">
      <alignment horizontal="center" vertical="center" wrapText="1"/>
    </xf>
    <xf numFmtId="0" fontId="0" fillId="11" borderId="1" xfId="0" applyFill="1" applyBorder="1" applyAlignment="1">
      <alignment horizontal="center" vertical="center" wrapText="1"/>
    </xf>
    <xf numFmtId="0" fontId="0" fillId="18" borderId="1" xfId="0" applyFill="1" applyBorder="1" applyAlignment="1">
      <alignment horizontal="center" vertical="center" wrapText="1"/>
    </xf>
    <xf numFmtId="0" fontId="0" fillId="2" borderId="2" xfId="0" applyFill="1" applyBorder="1" applyAlignment="1">
      <alignment horizontal="center" vertical="center" wrapText="1"/>
    </xf>
    <xf numFmtId="14" fontId="0" fillId="2" borderId="2" xfId="0" applyNumberFormat="1" applyFill="1" applyBorder="1" applyAlignment="1">
      <alignment horizontal="center" vertical="center" wrapText="1"/>
    </xf>
    <xf numFmtId="0" fontId="0" fillId="2" borderId="6" xfId="0" applyFill="1" applyBorder="1" applyAlignment="1">
      <alignment horizontal="center" vertical="center" wrapText="1"/>
    </xf>
    <xf numFmtId="0" fontId="0" fillId="2" borderId="1" xfId="0" applyFill="1" applyBorder="1" applyAlignment="1">
      <alignment horizontal="center" vertical="center" wrapText="1"/>
    </xf>
    <xf numFmtId="0" fontId="0" fillId="2" borderId="1" xfId="0" applyFill="1" applyBorder="1"/>
    <xf numFmtId="1" fontId="0" fillId="8" borderId="1" xfId="0" applyNumberFormat="1" applyFont="1" applyFill="1" applyBorder="1" applyAlignment="1">
      <alignment horizontal="center" vertical="center" wrapText="1"/>
    </xf>
    <xf numFmtId="3" fontId="2" fillId="3" borderId="1" xfId="0" applyNumberFormat="1" applyFont="1" applyFill="1" applyBorder="1" applyAlignment="1">
      <alignment horizontal="center" vertical="center" wrapText="1"/>
    </xf>
    <xf numFmtId="0" fontId="0" fillId="19" borderId="1" xfId="0" applyFill="1" applyBorder="1" applyAlignment="1">
      <alignment wrapText="1"/>
    </xf>
    <xf numFmtId="3" fontId="2" fillId="19" borderId="1" xfId="0" applyNumberFormat="1" applyFont="1" applyFill="1" applyBorder="1" applyAlignment="1">
      <alignment horizontal="center" wrapText="1"/>
    </xf>
    <xf numFmtId="0" fontId="3" fillId="2" borderId="6" xfId="0" applyFont="1" applyFill="1" applyBorder="1" applyAlignment="1">
      <alignment horizontal="center" vertical="center" wrapText="1"/>
    </xf>
    <xf numFmtId="14" fontId="0" fillId="6" borderId="1" xfId="0" applyNumberFormat="1" applyFill="1" applyBorder="1" applyAlignment="1">
      <alignment vertical="center" wrapText="1"/>
    </xf>
    <xf numFmtId="0" fontId="0" fillId="6" borderId="1" xfId="0" applyFill="1" applyBorder="1" applyAlignment="1">
      <alignment horizontal="center" vertical="center"/>
    </xf>
    <xf numFmtId="0" fontId="4" fillId="11" borderId="1" xfId="0" applyFont="1" applyFill="1" applyBorder="1" applyAlignment="1">
      <alignment vertical="center" wrapText="1"/>
    </xf>
    <xf numFmtId="14" fontId="0" fillId="6" borderId="1" xfId="0" applyNumberFormat="1" applyFont="1" applyFill="1" applyBorder="1" applyAlignment="1">
      <alignment horizontal="center" vertical="center" wrapText="1"/>
    </xf>
    <xf numFmtId="3" fontId="0" fillId="11" borderId="2" xfId="0" applyNumberFormat="1" applyFill="1" applyBorder="1" applyAlignment="1">
      <alignment horizontal="center" vertical="center" wrapText="1"/>
    </xf>
    <xf numFmtId="3" fontId="0" fillId="11" borderId="1" xfId="0" applyNumberFormat="1" applyFill="1" applyBorder="1" applyAlignment="1">
      <alignment horizontal="center" vertical="center" wrapText="1"/>
    </xf>
    <xf numFmtId="0" fontId="0" fillId="10" borderId="1" xfId="0" applyFill="1" applyBorder="1" applyAlignment="1">
      <alignment horizontal="center" vertical="center" wrapText="1"/>
    </xf>
    <xf numFmtId="14" fontId="0" fillId="22" borderId="4" xfId="0" applyNumberFormat="1" applyFont="1" applyFill="1" applyBorder="1" applyAlignment="1">
      <alignment horizontal="center" vertical="center" wrapText="1"/>
    </xf>
    <xf numFmtId="0" fontId="0" fillId="2" borderId="1" xfId="0" applyFont="1" applyFill="1" applyBorder="1" applyAlignment="1">
      <alignment horizontal="center" vertical="center" wrapText="1"/>
    </xf>
    <xf numFmtId="0" fontId="0" fillId="2" borderId="1" xfId="0" applyFill="1" applyBorder="1" applyAlignment="1">
      <alignment horizontal="center" vertical="center" wrapText="1"/>
    </xf>
    <xf numFmtId="14" fontId="0" fillId="2" borderId="1" xfId="0" applyNumberFormat="1" applyFill="1" applyBorder="1" applyAlignment="1">
      <alignment horizontal="center" vertical="center" wrapText="1"/>
    </xf>
    <xf numFmtId="3" fontId="2" fillId="2" borderId="1" xfId="0" applyNumberFormat="1" applyFont="1" applyFill="1" applyBorder="1" applyAlignment="1">
      <alignment horizontal="center" vertical="center" wrapText="1"/>
    </xf>
    <xf numFmtId="0" fontId="0" fillId="2" borderId="1" xfId="0" applyFill="1" applyBorder="1" applyAlignment="1">
      <alignment horizontal="left" vertical="center" wrapText="1"/>
    </xf>
    <xf numFmtId="0" fontId="0" fillId="2" borderId="1" xfId="0" applyFill="1" applyBorder="1" applyAlignment="1">
      <alignment horizontal="center" vertical="center" wrapText="1"/>
    </xf>
    <xf numFmtId="0" fontId="0" fillId="2"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21" fillId="5" borderId="28" xfId="0" applyFont="1" applyFill="1" applyBorder="1" applyAlignment="1">
      <alignment vertical="center" wrapText="1"/>
    </xf>
    <xf numFmtId="0" fontId="0" fillId="11" borderId="1" xfId="0" applyFill="1" applyBorder="1" applyAlignment="1">
      <alignment horizontal="center" vertical="center" wrapText="1"/>
    </xf>
    <xf numFmtId="14" fontId="0" fillId="11" borderId="1" xfId="0" applyNumberFormat="1" applyFill="1" applyBorder="1" applyAlignment="1">
      <alignment horizontal="center" vertical="center" wrapText="1"/>
    </xf>
    <xf numFmtId="14" fontId="0" fillId="8" borderId="1" xfId="0" applyNumberFormat="1" applyFont="1" applyFill="1" applyBorder="1" applyAlignment="1">
      <alignment horizontal="center" vertical="center" wrapText="1"/>
    </xf>
    <xf numFmtId="0" fontId="0" fillId="0" borderId="0" xfId="0" applyFill="1" applyBorder="1" applyAlignment="1">
      <alignment horizontal="center" vertical="center" wrapText="1"/>
    </xf>
    <xf numFmtId="0" fontId="1" fillId="11" borderId="1" xfId="0" applyFont="1" applyFill="1" applyBorder="1" applyAlignment="1">
      <alignment horizontal="center" vertical="center" wrapText="1"/>
    </xf>
    <xf numFmtId="0" fontId="0" fillId="11" borderId="1" xfId="0" applyFill="1" applyBorder="1" applyAlignment="1">
      <alignment horizontal="center" vertical="center" wrapText="1"/>
    </xf>
    <xf numFmtId="3" fontId="0" fillId="11" borderId="1" xfId="0" applyNumberFormat="1" applyFill="1" applyBorder="1" applyAlignment="1">
      <alignment horizontal="center" vertical="center" wrapText="1"/>
    </xf>
    <xf numFmtId="0" fontId="0" fillId="11" borderId="1" xfId="0" applyFill="1" applyBorder="1" applyAlignment="1">
      <alignment vertical="center" wrapText="1"/>
    </xf>
    <xf numFmtId="14" fontId="0" fillId="11" borderId="1" xfId="0" applyNumberFormat="1" applyFill="1" applyBorder="1" applyAlignment="1">
      <alignment horizontal="center" vertical="center" wrapText="1"/>
    </xf>
    <xf numFmtId="14" fontId="0" fillId="10" borderId="1" xfId="0" applyNumberFormat="1" applyFill="1" applyBorder="1" applyAlignment="1">
      <alignment horizontal="center" vertical="center" wrapText="1"/>
    </xf>
    <xf numFmtId="0" fontId="0" fillId="10" borderId="1" xfId="0" applyFill="1" applyBorder="1" applyAlignment="1">
      <alignment horizontal="center" vertical="center" wrapText="1"/>
    </xf>
    <xf numFmtId="0" fontId="0" fillId="11" borderId="1" xfId="0" applyFill="1" applyBorder="1" applyAlignment="1">
      <alignment horizontal="center" vertical="center" wrapText="1"/>
    </xf>
    <xf numFmtId="1" fontId="0" fillId="25" borderId="1" xfId="0" applyNumberFormat="1" applyFont="1" applyFill="1" applyBorder="1" applyAlignment="1">
      <alignment horizontal="center" vertical="center" wrapText="1"/>
    </xf>
    <xf numFmtId="14" fontId="1" fillId="24" borderId="1" xfId="0" applyNumberFormat="1" applyFont="1" applyFill="1" applyBorder="1" applyAlignment="1">
      <alignment horizontal="center" vertical="center" wrapText="1"/>
    </xf>
    <xf numFmtId="0" fontId="0" fillId="25" borderId="1" xfId="0" applyFont="1" applyFill="1" applyBorder="1" applyAlignment="1">
      <alignment horizontal="center" vertical="center" wrapText="1"/>
    </xf>
    <xf numFmtId="0" fontId="1" fillId="25" borderId="1" xfId="0" applyFont="1" applyFill="1" applyBorder="1" applyAlignment="1">
      <alignment horizontal="center" vertical="center" wrapText="1"/>
    </xf>
    <xf numFmtId="0" fontId="0" fillId="8" borderId="2" xfId="0" applyFont="1" applyFill="1" applyBorder="1" applyAlignment="1">
      <alignment horizontal="center" vertical="center" wrapText="1"/>
    </xf>
    <xf numFmtId="0" fontId="0" fillId="10" borderId="1" xfId="0" applyFill="1" applyBorder="1" applyAlignment="1">
      <alignment horizontal="center" vertical="center" wrapText="1"/>
    </xf>
    <xf numFmtId="14" fontId="0" fillId="10" borderId="1" xfId="0" applyNumberFormat="1" applyFill="1" applyBorder="1" applyAlignment="1">
      <alignment horizontal="center" vertical="center" wrapText="1"/>
    </xf>
    <xf numFmtId="0" fontId="4" fillId="25" borderId="1" xfId="0" applyFont="1" applyFill="1" applyBorder="1" applyAlignment="1">
      <alignment horizontal="center" vertical="center" wrapText="1"/>
    </xf>
    <xf numFmtId="0" fontId="0" fillId="10" borderId="2" xfId="0" applyFill="1" applyBorder="1" applyAlignment="1">
      <alignment horizontal="center" vertical="center" wrapText="1"/>
    </xf>
    <xf numFmtId="0" fontId="0" fillId="10" borderId="1" xfId="0" applyFont="1" applyFill="1" applyBorder="1" applyAlignment="1">
      <alignment horizontal="center" vertical="center" wrapText="1"/>
    </xf>
    <xf numFmtId="0" fontId="0" fillId="10" borderId="1" xfId="0" applyFill="1" applyBorder="1" applyAlignment="1">
      <alignment horizontal="center" vertical="center" wrapText="1"/>
    </xf>
    <xf numFmtId="0" fontId="0" fillId="0" borderId="0" xfId="0" applyFill="1" applyBorder="1" applyAlignment="1">
      <alignment horizontal="center" vertical="center" wrapText="1"/>
    </xf>
    <xf numFmtId="0" fontId="0" fillId="2" borderId="1" xfId="0" applyFill="1" applyBorder="1" applyAlignment="1">
      <alignment horizontal="center" vertical="center" wrapText="1"/>
    </xf>
    <xf numFmtId="0" fontId="0" fillId="14" borderId="1" xfId="0" applyFill="1" applyBorder="1" applyAlignment="1">
      <alignment horizontal="center" vertical="center" wrapText="1"/>
    </xf>
    <xf numFmtId="14" fontId="0" fillId="0" borderId="0" xfId="0" applyNumberFormat="1" applyFill="1" applyBorder="1" applyAlignment="1">
      <alignment vertical="center" wrapText="1"/>
    </xf>
    <xf numFmtId="14" fontId="0" fillId="2" borderId="1" xfId="0" applyNumberFormat="1" applyFont="1" applyFill="1" applyBorder="1" applyAlignment="1">
      <alignment vertical="center" wrapText="1"/>
    </xf>
    <xf numFmtId="0" fontId="2" fillId="2" borderId="1" xfId="0" applyFont="1" applyFill="1" applyBorder="1" applyAlignment="1">
      <alignment vertical="center" wrapText="1"/>
    </xf>
    <xf numFmtId="0" fontId="0" fillId="2" borderId="0" xfId="0" applyFill="1" applyAlignment="1">
      <alignment wrapText="1"/>
    </xf>
    <xf numFmtId="0" fontId="3" fillId="19" borderId="1" xfId="0" applyFont="1" applyFill="1" applyBorder="1" applyAlignment="1">
      <alignment horizontal="center" vertical="center" wrapText="1"/>
    </xf>
    <xf numFmtId="1" fontId="1" fillId="19" borderId="1" xfId="0" applyNumberFormat="1" applyFont="1" applyFill="1" applyBorder="1" applyAlignment="1">
      <alignment horizontal="center" vertical="center" wrapText="1"/>
    </xf>
    <xf numFmtId="0" fontId="0" fillId="2" borderId="2" xfId="0" applyFill="1" applyBorder="1" applyAlignment="1">
      <alignment horizontal="center" vertical="center" wrapText="1"/>
    </xf>
    <xf numFmtId="0" fontId="0" fillId="2" borderId="4" xfId="0" applyFill="1" applyBorder="1" applyAlignment="1">
      <alignment horizontal="center" vertical="center" wrapText="1"/>
    </xf>
    <xf numFmtId="0" fontId="0" fillId="2" borderId="9" xfId="0" applyFill="1" applyBorder="1" applyAlignment="1">
      <alignment horizontal="center" vertical="center" wrapText="1"/>
    </xf>
    <xf numFmtId="0" fontId="2" fillId="2" borderId="4" xfId="0" applyFont="1" applyFill="1" applyBorder="1" applyAlignment="1">
      <alignment horizontal="center" vertical="center" wrapText="1"/>
    </xf>
    <xf numFmtId="0" fontId="1" fillId="10" borderId="2" xfId="0" applyFont="1" applyFill="1" applyBorder="1" applyAlignment="1">
      <alignment horizontal="center" vertical="center" wrapText="1"/>
    </xf>
    <xf numFmtId="0" fontId="0" fillId="10" borderId="2" xfId="0" applyFill="1" applyBorder="1" applyAlignment="1">
      <alignment horizontal="center" vertical="center" wrapText="1"/>
    </xf>
    <xf numFmtId="3" fontId="0" fillId="10" borderId="2" xfId="0" applyNumberFormat="1" applyFill="1" applyBorder="1" applyAlignment="1">
      <alignment horizontal="center" vertical="center" wrapText="1"/>
    </xf>
    <xf numFmtId="14" fontId="0" fillId="10" borderId="2" xfId="0" applyNumberFormat="1" applyFill="1" applyBorder="1" applyAlignment="1">
      <alignment horizontal="center" vertical="center" wrapText="1"/>
    </xf>
    <xf numFmtId="0" fontId="0" fillId="2" borderId="1" xfId="0" applyFill="1" applyBorder="1" applyAlignment="1">
      <alignment horizontal="center" vertical="center" wrapText="1"/>
    </xf>
    <xf numFmtId="14" fontId="0" fillId="2" borderId="4" xfId="0" applyNumberFormat="1" applyFill="1" applyBorder="1" applyAlignment="1">
      <alignment horizontal="center" vertical="center" wrapText="1"/>
    </xf>
    <xf numFmtId="0" fontId="0" fillId="2" borderId="8" xfId="0" applyFill="1" applyBorder="1" applyAlignment="1">
      <alignment horizontal="left" vertical="center" wrapText="1"/>
    </xf>
    <xf numFmtId="0" fontId="0" fillId="11" borderId="4" xfId="0" applyFill="1" applyBorder="1" applyAlignment="1">
      <alignment horizontal="center" vertical="center" wrapText="1"/>
    </xf>
    <xf numFmtId="0" fontId="0" fillId="11" borderId="1" xfId="0" applyFill="1" applyBorder="1" applyAlignment="1">
      <alignment horizontal="center" vertical="center" wrapText="1"/>
    </xf>
    <xf numFmtId="0" fontId="0" fillId="11" borderId="1" xfId="0" applyFill="1" applyBorder="1" applyAlignment="1">
      <alignment vertical="center" wrapText="1"/>
    </xf>
    <xf numFmtId="0" fontId="0" fillId="2" borderId="1" xfId="0" applyFill="1" applyBorder="1" applyAlignment="1">
      <alignment horizontal="center" vertical="center" wrapText="1"/>
    </xf>
    <xf numFmtId="0" fontId="3" fillId="2" borderId="1" xfId="0" applyFont="1" applyFill="1" applyBorder="1" applyAlignment="1">
      <alignment horizontal="center" vertical="center" wrapText="1"/>
    </xf>
    <xf numFmtId="14" fontId="0" fillId="2" borderId="1" xfId="0" applyNumberFormat="1" applyFill="1" applyBorder="1" applyAlignment="1">
      <alignment horizontal="center" vertical="center" wrapText="1"/>
    </xf>
    <xf numFmtId="0" fontId="0" fillId="2" borderId="14" xfId="0" applyFill="1" applyBorder="1" applyAlignment="1">
      <alignment horizontal="left" vertical="center" wrapText="1"/>
    </xf>
    <xf numFmtId="3" fontId="2" fillId="2" borderId="14" xfId="0" applyNumberFormat="1" applyFont="1" applyFill="1" applyBorder="1" applyAlignment="1">
      <alignment horizontal="center" vertical="center" wrapText="1"/>
    </xf>
    <xf numFmtId="3" fontId="2" fillId="2" borderId="4" xfId="0" applyNumberFormat="1" applyFont="1" applyFill="1" applyBorder="1" applyAlignment="1">
      <alignment horizontal="center" vertical="center" wrapText="1"/>
    </xf>
    <xf numFmtId="0" fontId="0" fillId="2" borderId="2" xfId="0" applyFill="1" applyBorder="1" applyAlignment="1">
      <alignment horizontal="center" vertical="center" wrapText="1"/>
    </xf>
    <xf numFmtId="0" fontId="0" fillId="2" borderId="4" xfId="0" applyFill="1" applyBorder="1" applyAlignment="1">
      <alignment horizontal="center" vertical="center" wrapText="1"/>
    </xf>
    <xf numFmtId="0" fontId="2" fillId="2" borderId="4" xfId="0" applyFont="1" applyFill="1" applyBorder="1" applyAlignment="1">
      <alignment horizontal="center" vertical="center" wrapText="1"/>
    </xf>
    <xf numFmtId="0" fontId="0" fillId="2" borderId="4" xfId="0" applyFill="1" applyBorder="1" applyAlignment="1">
      <alignment vertical="center" wrapText="1"/>
    </xf>
    <xf numFmtId="0" fontId="0" fillId="2" borderId="1" xfId="0" applyFill="1" applyBorder="1" applyAlignment="1">
      <alignment horizontal="center" vertical="center" wrapText="1"/>
    </xf>
    <xf numFmtId="14" fontId="0" fillId="2" borderId="4" xfId="0" applyNumberFormat="1" applyFill="1" applyBorder="1" applyAlignment="1">
      <alignment horizontal="center" vertical="center" wrapText="1"/>
    </xf>
    <xf numFmtId="0" fontId="0" fillId="2" borderId="6" xfId="0" applyFill="1" applyBorder="1" applyAlignment="1">
      <alignment horizontal="center" vertical="center" wrapText="1"/>
    </xf>
    <xf numFmtId="0" fontId="4" fillId="2" borderId="4" xfId="0" applyFont="1" applyFill="1" applyBorder="1" applyAlignment="1">
      <alignment horizontal="center" vertical="center" wrapText="1"/>
    </xf>
    <xf numFmtId="0" fontId="17" fillId="14" borderId="1" xfId="0" applyFont="1" applyFill="1" applyBorder="1" applyAlignment="1">
      <alignment horizontal="center" vertical="center" wrapText="1"/>
    </xf>
    <xf numFmtId="0" fontId="3" fillId="18" borderId="1" xfId="0" applyFont="1" applyFill="1" applyBorder="1" applyAlignment="1">
      <alignment horizontal="center" vertical="center" wrapText="1"/>
    </xf>
    <xf numFmtId="0" fontId="3" fillId="0" borderId="1" xfId="0" applyFont="1" applyFill="1" applyBorder="1" applyAlignment="1">
      <alignment horizontal="center" vertical="center" wrapText="1"/>
    </xf>
    <xf numFmtId="0" fontId="3" fillId="14" borderId="1" xfId="0" applyFont="1" applyFill="1" applyBorder="1" applyAlignment="1">
      <alignment horizontal="center" vertical="center" wrapText="1"/>
    </xf>
    <xf numFmtId="0" fontId="8" fillId="25" borderId="1" xfId="0" applyFont="1" applyFill="1" applyBorder="1" applyAlignment="1">
      <alignment horizontal="center" wrapText="1"/>
    </xf>
    <xf numFmtId="0" fontId="0" fillId="25" borderId="1" xfId="0" applyFill="1" applyBorder="1" applyAlignment="1">
      <alignment horizontal="center" wrapText="1"/>
    </xf>
    <xf numFmtId="0" fontId="0" fillId="14" borderId="1" xfId="0" applyFont="1" applyFill="1" applyBorder="1" applyAlignment="1">
      <alignment horizontal="center" vertical="center" wrapText="1"/>
    </xf>
    <xf numFmtId="0" fontId="23" fillId="3" borderId="16" xfId="0" applyFont="1" applyFill="1" applyBorder="1" applyAlignment="1">
      <alignment vertical="center" textRotation="255" wrapText="1"/>
    </xf>
    <xf numFmtId="0" fontId="23" fillId="3" borderId="26" xfId="0" applyFont="1" applyFill="1" applyBorder="1" applyAlignment="1">
      <alignment vertical="center" textRotation="255" wrapText="1"/>
    </xf>
    <xf numFmtId="0" fontId="0" fillId="10" borderId="1" xfId="0" applyFill="1" applyBorder="1" applyAlignment="1">
      <alignment horizontal="center" vertical="center" wrapText="1"/>
    </xf>
    <xf numFmtId="0" fontId="0" fillId="10" borderId="1" xfId="0" applyFont="1" applyFill="1" applyBorder="1" applyAlignment="1">
      <alignment horizontal="center" vertical="center" wrapText="1"/>
    </xf>
    <xf numFmtId="0" fontId="0" fillId="10" borderId="1" xfId="0" applyFill="1" applyBorder="1" applyAlignment="1">
      <alignment horizontal="center" vertical="center"/>
    </xf>
    <xf numFmtId="0" fontId="0" fillId="25" borderId="1" xfId="0" applyFill="1" applyBorder="1" applyAlignment="1">
      <alignment horizontal="center" vertical="center" wrapText="1"/>
    </xf>
    <xf numFmtId="0" fontId="0" fillId="25" borderId="1" xfId="0" applyFont="1" applyFill="1" applyBorder="1" applyAlignment="1">
      <alignment horizontal="center" vertical="center" wrapText="1"/>
    </xf>
    <xf numFmtId="0" fontId="0" fillId="11" borderId="1" xfId="0" applyFill="1" applyBorder="1" applyAlignment="1">
      <alignment vertical="center" wrapText="1"/>
    </xf>
    <xf numFmtId="0" fontId="0" fillId="10" borderId="0" xfId="0" applyFill="1" applyAlignment="1">
      <alignment horizontal="center" vertical="center" wrapText="1"/>
    </xf>
    <xf numFmtId="0" fontId="0" fillId="25" borderId="0" xfId="0" applyFont="1" applyFill="1" applyAlignment="1">
      <alignment horizontal="center" vertical="center" wrapText="1"/>
    </xf>
    <xf numFmtId="0" fontId="0" fillId="8" borderId="0" xfId="0" applyFont="1" applyFill="1" applyAlignment="1">
      <alignment horizontal="center" vertical="center" wrapText="1"/>
    </xf>
    <xf numFmtId="0" fontId="0" fillId="18" borderId="1" xfId="0" applyFill="1" applyBorder="1" applyAlignment="1">
      <alignment vertical="center" wrapText="1"/>
    </xf>
    <xf numFmtId="0" fontId="1" fillId="5" borderId="1" xfId="0" applyFont="1" applyFill="1" applyBorder="1" applyAlignment="1">
      <alignment wrapText="1"/>
    </xf>
    <xf numFmtId="0" fontId="1" fillId="10" borderId="2" xfId="0" applyFont="1" applyFill="1" applyBorder="1" applyAlignment="1">
      <alignment horizontal="center" vertical="center" wrapText="1"/>
    </xf>
    <xf numFmtId="0" fontId="0" fillId="10" borderId="2" xfId="0" applyFill="1" applyBorder="1" applyAlignment="1">
      <alignment horizontal="center" vertical="center" wrapText="1"/>
    </xf>
    <xf numFmtId="3" fontId="0" fillId="10" borderId="2" xfId="0" applyNumberFormat="1" applyFill="1" applyBorder="1" applyAlignment="1">
      <alignment horizontal="center" vertical="center" wrapText="1"/>
    </xf>
    <xf numFmtId="14" fontId="0" fillId="10" borderId="2" xfId="0" applyNumberFormat="1" applyFill="1" applyBorder="1" applyAlignment="1">
      <alignment horizontal="center" vertical="center" wrapText="1"/>
    </xf>
    <xf numFmtId="0" fontId="0" fillId="10" borderId="1" xfId="0" applyFont="1" applyFill="1" applyBorder="1" applyAlignment="1">
      <alignment horizontal="center" vertical="center" wrapText="1"/>
    </xf>
    <xf numFmtId="0" fontId="0" fillId="10" borderId="1" xfId="0" applyFill="1" applyBorder="1" applyAlignment="1">
      <alignment horizontal="center" vertical="center" wrapText="1"/>
    </xf>
    <xf numFmtId="14" fontId="0" fillId="10" borderId="1" xfId="0" applyNumberFormat="1" applyFill="1" applyBorder="1" applyAlignment="1">
      <alignment horizontal="center" vertical="center" wrapText="1"/>
    </xf>
    <xf numFmtId="0" fontId="0" fillId="22" borderId="1" xfId="0" applyFont="1" applyFill="1" applyBorder="1" applyAlignment="1">
      <alignment horizontal="center" vertical="center" wrapText="1"/>
    </xf>
    <xf numFmtId="0" fontId="0" fillId="8" borderId="1" xfId="0" applyFill="1" applyBorder="1" applyAlignment="1">
      <alignment vertical="center" wrapText="1"/>
    </xf>
    <xf numFmtId="3" fontId="0" fillId="8" borderId="1" xfId="0" applyNumberFormat="1" applyFill="1" applyBorder="1" applyAlignment="1">
      <alignment horizontal="center" vertical="center" wrapText="1"/>
    </xf>
    <xf numFmtId="14" fontId="0" fillId="8" borderId="1" xfId="0" applyNumberFormat="1" applyFill="1" applyBorder="1" applyAlignment="1">
      <alignment horizontal="center" vertical="center" wrapText="1"/>
    </xf>
    <xf numFmtId="0" fontId="0" fillId="8" borderId="0" xfId="0" applyFill="1" applyBorder="1" applyAlignment="1">
      <alignment horizontal="center" vertical="center" wrapText="1"/>
    </xf>
    <xf numFmtId="0" fontId="0" fillId="2" borderId="2" xfId="0" applyFill="1" applyBorder="1" applyAlignment="1">
      <alignment horizontal="center" vertical="center" wrapText="1"/>
    </xf>
    <xf numFmtId="0" fontId="0" fillId="2" borderId="4" xfId="0" applyFill="1" applyBorder="1" applyAlignment="1">
      <alignment horizontal="center" vertical="center" wrapText="1"/>
    </xf>
    <xf numFmtId="0" fontId="0" fillId="2" borderId="1" xfId="0" applyFill="1" applyBorder="1" applyAlignment="1">
      <alignment horizontal="center" vertical="center" wrapText="1"/>
    </xf>
    <xf numFmtId="14" fontId="0" fillId="2" borderId="4" xfId="0" applyNumberFormat="1" applyFill="1" applyBorder="1" applyAlignment="1">
      <alignment horizontal="center" vertical="center" wrapText="1"/>
    </xf>
    <xf numFmtId="14" fontId="0" fillId="2" borderId="1" xfId="0" applyNumberFormat="1" applyFill="1" applyBorder="1" applyAlignment="1">
      <alignment horizontal="center" vertical="center" wrapText="1"/>
    </xf>
    <xf numFmtId="0" fontId="0" fillId="11" borderId="1" xfId="0" applyFill="1" applyBorder="1" applyAlignment="1">
      <alignment horizontal="center" vertical="center" wrapText="1"/>
    </xf>
    <xf numFmtId="0" fontId="0" fillId="8" borderId="2" xfId="0" applyFont="1" applyFill="1" applyBorder="1" applyAlignment="1">
      <alignment horizontal="center" vertical="center" wrapText="1"/>
    </xf>
    <xf numFmtId="166" fontId="0" fillId="8" borderId="4" xfId="0" applyNumberFormat="1" applyFont="1" applyFill="1" applyBorder="1" applyAlignment="1">
      <alignment horizontal="center" vertical="center" wrapText="1"/>
    </xf>
    <xf numFmtId="0" fontId="0" fillId="6" borderId="1" xfId="0" applyFill="1" applyBorder="1" applyAlignment="1">
      <alignment horizontal="center" vertical="center" wrapText="1"/>
    </xf>
    <xf numFmtId="0" fontId="0" fillId="14" borderId="1" xfId="0" applyFill="1" applyBorder="1" applyAlignment="1">
      <alignment horizontal="center" vertical="center"/>
    </xf>
    <xf numFmtId="3" fontId="0" fillId="11" borderId="2" xfId="0" applyNumberFormat="1" applyFill="1" applyBorder="1" applyAlignment="1">
      <alignment horizontal="center" vertical="center" wrapText="1"/>
    </xf>
    <xf numFmtId="0" fontId="0" fillId="11" borderId="2" xfId="0" applyFill="1" applyBorder="1" applyAlignment="1">
      <alignment horizontal="center" vertical="center" wrapText="1"/>
    </xf>
    <xf numFmtId="0" fontId="0" fillId="11" borderId="1" xfId="0" applyFill="1" applyBorder="1" applyAlignment="1">
      <alignment horizontal="center" vertical="center" wrapText="1"/>
    </xf>
    <xf numFmtId="14" fontId="0" fillId="11" borderId="1" xfId="0" applyNumberFormat="1" applyFill="1" applyBorder="1" applyAlignment="1">
      <alignment horizontal="center" vertical="center" wrapText="1"/>
    </xf>
    <xf numFmtId="0" fontId="0" fillId="0" borderId="0" xfId="0" applyFill="1" applyBorder="1" applyAlignment="1">
      <alignment horizontal="center" vertical="center" wrapText="1"/>
    </xf>
    <xf numFmtId="0" fontId="1" fillId="11" borderId="1" xfId="0" applyFont="1" applyFill="1" applyBorder="1" applyAlignment="1">
      <alignment horizontal="center" vertical="center" wrapText="1"/>
    </xf>
    <xf numFmtId="0" fontId="21" fillId="5" borderId="16" xfId="0" applyFont="1" applyFill="1" applyBorder="1" applyAlignment="1">
      <alignment vertical="center" textRotation="255" wrapText="1"/>
    </xf>
    <xf numFmtId="0" fontId="5" fillId="3" borderId="26" xfId="0" applyFont="1" applyFill="1" applyBorder="1" applyAlignment="1">
      <alignment vertical="center" textRotation="255" wrapText="1"/>
    </xf>
    <xf numFmtId="0" fontId="0" fillId="3" borderId="1" xfId="0" applyFill="1" applyBorder="1" applyAlignment="1">
      <alignment vertical="center" wrapText="1"/>
    </xf>
    <xf numFmtId="14" fontId="0" fillId="14" borderId="1" xfId="0" applyNumberFormat="1" applyFill="1" applyBorder="1" applyAlignment="1">
      <alignment vertical="center" wrapText="1"/>
    </xf>
    <xf numFmtId="0" fontId="21" fillId="5" borderId="26" xfId="0" applyFont="1" applyFill="1" applyBorder="1" applyAlignment="1">
      <alignment vertical="center" wrapText="1"/>
    </xf>
    <xf numFmtId="0" fontId="0" fillId="10" borderId="1" xfId="0" applyFont="1" applyFill="1" applyBorder="1" applyAlignment="1">
      <alignment horizontal="center" vertical="center" wrapText="1"/>
    </xf>
    <xf numFmtId="0" fontId="1" fillId="10" borderId="1" xfId="0" applyFont="1" applyFill="1" applyBorder="1" applyAlignment="1">
      <alignment horizontal="center" vertical="center" wrapText="1"/>
    </xf>
    <xf numFmtId="3" fontId="0" fillId="10" borderId="1" xfId="0" applyNumberFormat="1" applyFont="1" applyFill="1" applyBorder="1" applyAlignment="1">
      <alignment horizontal="center" vertical="center" wrapText="1"/>
    </xf>
    <xf numFmtId="0" fontId="0" fillId="18" borderId="1" xfId="0" applyFill="1" applyBorder="1" applyAlignment="1">
      <alignment horizontal="center" vertical="center" wrapText="1"/>
    </xf>
    <xf numFmtId="0" fontId="21" fillId="3" borderId="29" xfId="0" applyFont="1" applyFill="1" applyBorder="1" applyAlignment="1">
      <alignment vertical="center" wrapText="1"/>
    </xf>
    <xf numFmtId="0" fontId="0" fillId="2" borderId="6" xfId="0" applyFont="1" applyFill="1" applyBorder="1" applyAlignment="1">
      <alignment horizontal="center" vertical="center" wrapText="1"/>
    </xf>
    <xf numFmtId="0" fontId="0" fillId="14" borderId="1" xfId="0" applyFont="1" applyFill="1" applyBorder="1" applyAlignment="1">
      <alignment vertical="center" wrapText="1"/>
    </xf>
    <xf numFmtId="0" fontId="0" fillId="19" borderId="1" xfId="0" applyFill="1" applyBorder="1" applyAlignment="1">
      <alignment horizontal="left" vertical="center" wrapText="1"/>
    </xf>
    <xf numFmtId="3" fontId="2" fillId="19" borderId="1" xfId="0" applyNumberFormat="1" applyFont="1" applyFill="1" applyBorder="1" applyAlignment="1">
      <alignment horizontal="center" vertical="center" wrapText="1"/>
    </xf>
    <xf numFmtId="0" fontId="0" fillId="10" borderId="1" xfId="0" applyFill="1" applyBorder="1" applyAlignment="1">
      <alignment horizontal="center" vertical="center" wrapText="1"/>
    </xf>
    <xf numFmtId="0" fontId="0" fillId="13" borderId="2" xfId="0" applyFont="1" applyFill="1" applyBorder="1" applyAlignment="1">
      <alignment horizontal="center" vertical="center" wrapText="1"/>
    </xf>
    <xf numFmtId="0" fontId="0" fillId="22" borderId="1" xfId="0" applyFill="1" applyBorder="1" applyAlignment="1">
      <alignment vertical="center" wrapText="1"/>
    </xf>
    <xf numFmtId="0" fontId="0" fillId="10" borderId="2" xfId="0" applyFill="1" applyBorder="1" applyAlignment="1">
      <alignment horizontal="center" vertical="center" wrapText="1"/>
    </xf>
    <xf numFmtId="0" fontId="1" fillId="10" borderId="2" xfId="0" applyFont="1" applyFill="1" applyBorder="1" applyAlignment="1">
      <alignment horizontal="center" vertical="center" wrapText="1"/>
    </xf>
    <xf numFmtId="3" fontId="0" fillId="10" borderId="2" xfId="0" applyNumberFormat="1" applyFill="1" applyBorder="1" applyAlignment="1">
      <alignment horizontal="center" vertical="center" wrapText="1"/>
    </xf>
    <xf numFmtId="0" fontId="0" fillId="10" borderId="1" xfId="0" applyFill="1" applyBorder="1" applyAlignment="1">
      <alignment horizontal="center" vertical="center" wrapText="1"/>
    </xf>
    <xf numFmtId="14" fontId="0" fillId="11" borderId="2" xfId="0" applyNumberFormat="1" applyFill="1" applyBorder="1" applyAlignment="1">
      <alignment horizontal="center" vertical="center" wrapText="1"/>
    </xf>
    <xf numFmtId="0" fontId="1" fillId="11" borderId="2" xfId="0" applyFont="1" applyFill="1" applyBorder="1" applyAlignment="1">
      <alignment horizontal="center" vertical="center" wrapText="1"/>
    </xf>
    <xf numFmtId="0" fontId="0" fillId="11" borderId="2" xfId="0" applyFill="1" applyBorder="1" applyAlignment="1">
      <alignment horizontal="center" vertical="center" wrapText="1"/>
    </xf>
    <xf numFmtId="0" fontId="0" fillId="11" borderId="4" xfId="0" applyFill="1" applyBorder="1" applyAlignment="1">
      <alignment horizontal="center" vertical="center" wrapText="1"/>
    </xf>
    <xf numFmtId="0" fontId="0" fillId="11" borderId="1" xfId="0" applyFill="1" applyBorder="1" applyAlignment="1">
      <alignment horizontal="center" vertical="center" wrapText="1"/>
    </xf>
    <xf numFmtId="0" fontId="0" fillId="11" borderId="2" xfId="0" applyFill="1" applyBorder="1" applyAlignment="1">
      <alignment vertical="center" wrapText="1"/>
    </xf>
    <xf numFmtId="0" fontId="0" fillId="0" borderId="0" xfId="0" applyFill="1" applyBorder="1" applyAlignment="1">
      <alignment horizontal="center" vertical="center" wrapText="1"/>
    </xf>
    <xf numFmtId="3" fontId="0" fillId="11" borderId="2" xfId="0" applyNumberFormat="1" applyFill="1" applyBorder="1" applyAlignment="1">
      <alignment horizontal="center" vertical="center"/>
    </xf>
    <xf numFmtId="0" fontId="0" fillId="8" borderId="2" xfId="0" applyFont="1" applyFill="1" applyBorder="1" applyAlignment="1">
      <alignment horizontal="center" vertical="center" wrapText="1"/>
    </xf>
    <xf numFmtId="0" fontId="0" fillId="2" borderId="4" xfId="0" applyFont="1" applyFill="1" applyBorder="1" applyAlignment="1">
      <alignment horizontal="center" vertical="center" wrapText="1"/>
    </xf>
    <xf numFmtId="3" fontId="2" fillId="2" borderId="4"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14" fontId="0" fillId="2" borderId="1" xfId="0" applyNumberFormat="1" applyFill="1" applyBorder="1" applyAlignment="1">
      <alignment horizontal="center" vertical="center" wrapText="1"/>
    </xf>
    <xf numFmtId="0" fontId="0" fillId="2" borderId="4" xfId="0" applyFill="1" applyBorder="1" applyAlignment="1">
      <alignment horizontal="left" vertical="center" wrapText="1"/>
    </xf>
    <xf numFmtId="0" fontId="0" fillId="2" borderId="1" xfId="0" applyFill="1" applyBorder="1" applyAlignment="1">
      <alignment horizontal="left" vertical="center" wrapText="1"/>
    </xf>
    <xf numFmtId="0" fontId="21" fillId="3" borderId="28" xfId="0" applyFont="1" applyFill="1" applyBorder="1" applyAlignment="1">
      <alignment vertical="center" wrapText="1"/>
    </xf>
    <xf numFmtId="0" fontId="0" fillId="14" borderId="1" xfId="0" applyFill="1" applyBorder="1" applyAlignment="1">
      <alignment horizontal="center" vertical="center" wrapText="1"/>
    </xf>
    <xf numFmtId="0" fontId="0" fillId="10" borderId="2" xfId="0" applyFill="1" applyBorder="1" applyAlignment="1">
      <alignment horizontal="center" vertical="center" wrapText="1"/>
    </xf>
    <xf numFmtId="0" fontId="0" fillId="10" borderId="1" xfId="0" applyFill="1" applyBorder="1" applyAlignment="1">
      <alignment horizontal="center" vertical="center" wrapText="1"/>
    </xf>
    <xf numFmtId="0" fontId="0" fillId="10" borderId="1" xfId="0" applyFont="1" applyFill="1" applyBorder="1" applyAlignment="1">
      <alignment horizontal="center" vertical="center" wrapText="1"/>
    </xf>
    <xf numFmtId="0" fontId="38" fillId="27" borderId="40" xfId="0" applyFont="1" applyFill="1" applyBorder="1" applyAlignment="1">
      <alignment horizontal="center" vertical="center" wrapText="1"/>
    </xf>
    <xf numFmtId="0" fontId="41" fillId="27" borderId="40" xfId="0" applyFont="1" applyFill="1" applyBorder="1" applyAlignment="1">
      <alignment horizontal="center" vertical="center" wrapText="1"/>
    </xf>
    <xf numFmtId="0" fontId="38" fillId="26" borderId="40" xfId="0" applyFont="1" applyFill="1" applyBorder="1" applyAlignment="1">
      <alignment horizontal="center" vertical="center" wrapText="1"/>
    </xf>
    <xf numFmtId="0" fontId="38" fillId="28" borderId="40" xfId="0" applyFont="1" applyFill="1" applyBorder="1" applyAlignment="1">
      <alignment horizontal="center" vertical="center" wrapText="1"/>
    </xf>
    <xf numFmtId="0" fontId="38" fillId="28" borderId="41" xfId="0" applyFont="1" applyFill="1" applyBorder="1" applyAlignment="1">
      <alignment horizontal="center" vertical="center" wrapText="1"/>
    </xf>
    <xf numFmtId="0" fontId="1" fillId="10" borderId="1" xfId="0" applyFont="1" applyFill="1" applyBorder="1" applyAlignment="1">
      <alignment horizontal="center" vertical="center" wrapText="1"/>
    </xf>
    <xf numFmtId="0" fontId="0" fillId="10" borderId="1" xfId="0" applyFont="1" applyFill="1" applyBorder="1" applyAlignment="1">
      <alignment horizontal="center" vertical="center" wrapText="1"/>
    </xf>
    <xf numFmtId="14" fontId="0" fillId="10" borderId="1" xfId="0" applyNumberFormat="1" applyFill="1" applyBorder="1" applyAlignment="1">
      <alignment horizontal="center" vertical="center" wrapText="1"/>
    </xf>
    <xf numFmtId="14" fontId="0" fillId="10" borderId="1" xfId="0" applyNumberFormat="1" applyFont="1" applyFill="1" applyBorder="1" applyAlignment="1">
      <alignment horizontal="center" vertical="center" wrapText="1"/>
    </xf>
    <xf numFmtId="3" fontId="0" fillId="10" borderId="1" xfId="0" applyNumberFormat="1" applyFont="1" applyFill="1" applyBorder="1" applyAlignment="1">
      <alignment horizontal="center" vertical="center"/>
    </xf>
    <xf numFmtId="0" fontId="0" fillId="10" borderId="1" xfId="0" applyFont="1" applyFill="1" applyBorder="1" applyAlignment="1">
      <alignment horizontal="center" vertical="center"/>
    </xf>
    <xf numFmtId="0" fontId="0" fillId="0" borderId="0" xfId="0" applyFill="1" applyBorder="1" applyAlignment="1">
      <alignment horizontal="center" vertical="center" wrapText="1"/>
    </xf>
    <xf numFmtId="0" fontId="0" fillId="17" borderId="2" xfId="0" applyFill="1" applyBorder="1" applyAlignment="1">
      <alignment horizontal="center" vertical="center" wrapText="1"/>
    </xf>
    <xf numFmtId="16" fontId="0" fillId="14" borderId="1" xfId="0" applyNumberFormat="1" applyFill="1" applyBorder="1" applyAlignment="1">
      <alignment horizontal="center" vertical="center" wrapText="1"/>
    </xf>
    <xf numFmtId="0" fontId="0" fillId="2" borderId="1" xfId="0" applyFont="1" applyFill="1" applyBorder="1" applyAlignment="1">
      <alignment horizontal="center" vertical="center" wrapText="1"/>
    </xf>
    <xf numFmtId="0" fontId="0" fillId="7" borderId="1" xfId="0" applyFill="1" applyBorder="1" applyAlignment="1">
      <alignment vertical="center" wrapText="1"/>
    </xf>
    <xf numFmtId="0" fontId="0" fillId="7" borderId="1" xfId="0" applyFill="1" applyBorder="1" applyAlignment="1">
      <alignment horizontal="center" vertical="center" wrapText="1"/>
    </xf>
    <xf numFmtId="0" fontId="0" fillId="7" borderId="1" xfId="0" applyFont="1" applyFill="1" applyBorder="1" applyAlignment="1">
      <alignment horizontal="center" vertical="center" wrapText="1"/>
    </xf>
    <xf numFmtId="14" fontId="0" fillId="2" borderId="1" xfId="0" applyNumberFormat="1" applyFont="1" applyFill="1" applyBorder="1" applyAlignment="1">
      <alignment horizontal="center" vertical="center" wrapText="1"/>
    </xf>
    <xf numFmtId="0" fontId="1" fillId="2" borderId="1" xfId="0" applyFont="1" applyFill="1" applyBorder="1" applyAlignment="1">
      <alignment horizontal="center" vertical="center" wrapText="1"/>
    </xf>
    <xf numFmtId="0" fontId="0" fillId="2" borderId="1" xfId="0" applyFont="1" applyFill="1" applyBorder="1" applyAlignment="1">
      <alignment horizontal="center" vertical="center" wrapText="1"/>
    </xf>
    <xf numFmtId="3" fontId="0" fillId="2" borderId="1" xfId="0" applyNumberFormat="1" applyFont="1" applyFill="1" applyBorder="1" applyAlignment="1">
      <alignment horizontal="center" vertical="center" wrapText="1"/>
    </xf>
    <xf numFmtId="0" fontId="21" fillId="15" borderId="1" xfId="0" applyFont="1" applyFill="1" applyBorder="1" applyAlignment="1">
      <alignment vertical="center"/>
    </xf>
    <xf numFmtId="0" fontId="0" fillId="15" borderId="1" xfId="0" applyFill="1" applyBorder="1" applyAlignment="1">
      <alignment horizontal="left" vertical="center" wrapText="1"/>
    </xf>
    <xf numFmtId="0" fontId="0" fillId="2" borderId="1" xfId="0" applyFill="1" applyBorder="1" applyAlignment="1">
      <alignment horizontal="center" vertical="center" wrapText="1"/>
    </xf>
    <xf numFmtId="0" fontId="0" fillId="2" borderId="0" xfId="0" applyFill="1" applyAlignment="1">
      <alignment horizontal="center" vertical="center" wrapText="1"/>
    </xf>
    <xf numFmtId="0" fontId="0" fillId="7" borderId="4" xfId="0" applyFill="1" applyBorder="1" applyAlignment="1">
      <alignment horizontal="center" vertical="center" wrapText="1"/>
    </xf>
    <xf numFmtId="0" fontId="0" fillId="10" borderId="1" xfId="0" applyFill="1" applyBorder="1" applyAlignment="1">
      <alignment horizontal="center" vertical="center" wrapText="1"/>
    </xf>
    <xf numFmtId="0" fontId="0" fillId="0" borderId="0" xfId="0" applyFill="1" applyBorder="1" applyAlignment="1">
      <alignment horizontal="center" vertical="center" wrapText="1"/>
    </xf>
    <xf numFmtId="0" fontId="9" fillId="7" borderId="1" xfId="0" applyFont="1" applyFill="1" applyBorder="1" applyAlignment="1">
      <alignment horizontal="center" vertical="center" wrapText="1"/>
    </xf>
    <xf numFmtId="0" fontId="0" fillId="11" borderId="1" xfId="0" applyFill="1" applyBorder="1" applyAlignment="1">
      <alignment horizontal="left" vertical="center" wrapText="1"/>
    </xf>
    <xf numFmtId="0" fontId="0" fillId="11" borderId="2" xfId="0" applyFill="1" applyBorder="1" applyAlignment="1">
      <alignment vertical="center" wrapText="1"/>
    </xf>
    <xf numFmtId="0" fontId="0" fillId="7" borderId="0" xfId="0" applyFill="1" applyAlignment="1">
      <alignment horizontal="center" vertical="center" wrapText="1"/>
    </xf>
    <xf numFmtId="0" fontId="0" fillId="11" borderId="1" xfId="0" applyFill="1" applyBorder="1" applyAlignment="1">
      <alignment horizontal="center" vertical="center" wrapText="1"/>
    </xf>
    <xf numFmtId="0" fontId="0" fillId="10" borderId="1" xfId="0" applyFill="1" applyBorder="1" applyAlignment="1">
      <alignment horizontal="center" vertical="center" wrapText="1"/>
    </xf>
    <xf numFmtId="0" fontId="0" fillId="10" borderId="1" xfId="0" applyFont="1" applyFill="1" applyBorder="1" applyAlignment="1">
      <alignment horizontal="center" vertical="center" wrapText="1"/>
    </xf>
    <xf numFmtId="0" fontId="0" fillId="10" borderId="1" xfId="0" applyFont="1" applyFill="1" applyBorder="1" applyAlignment="1">
      <alignment horizontal="center" vertical="center"/>
    </xf>
    <xf numFmtId="0" fontId="46" fillId="0" borderId="0" xfId="2" applyFont="1"/>
    <xf numFmtId="0" fontId="46" fillId="30" borderId="0" xfId="2" applyFont="1" applyFill="1" applyBorder="1"/>
    <xf numFmtId="0" fontId="45" fillId="30" borderId="0" xfId="2" applyFont="1" applyFill="1" applyBorder="1"/>
    <xf numFmtId="0" fontId="45" fillId="0" borderId="0" xfId="2" applyFont="1" applyAlignment="1"/>
    <xf numFmtId="0" fontId="45" fillId="0" borderId="0" xfId="2" applyFont="1"/>
    <xf numFmtId="0" fontId="45" fillId="0" borderId="0" xfId="2" applyFont="1" applyFill="1" applyBorder="1" applyAlignment="1"/>
    <xf numFmtId="0" fontId="45" fillId="0" borderId="0" xfId="2" applyFont="1" applyFill="1" applyAlignment="1"/>
    <xf numFmtId="0" fontId="50" fillId="0" borderId="0" xfId="2" applyFont="1" applyFill="1" applyAlignment="1"/>
    <xf numFmtId="0" fontId="49" fillId="17" borderId="1" xfId="2" applyFont="1" applyFill="1" applyBorder="1" applyAlignment="1">
      <alignment horizontal="center" vertical="center"/>
    </xf>
    <xf numFmtId="0" fontId="49" fillId="33" borderId="1" xfId="2" applyFont="1" applyFill="1" applyBorder="1" applyAlignment="1">
      <alignment horizontal="center" vertical="center"/>
    </xf>
    <xf numFmtId="0" fontId="45" fillId="0" borderId="1" xfId="2" applyFont="1" applyFill="1" applyBorder="1" applyAlignment="1">
      <alignment horizontal="center" vertical="center" wrapText="1"/>
    </xf>
    <xf numFmtId="14" fontId="45" fillId="36" borderId="1" xfId="2" applyNumberFormat="1" applyFont="1" applyFill="1" applyBorder="1" applyAlignment="1">
      <alignment horizontal="center" vertical="center" wrapText="1"/>
    </xf>
    <xf numFmtId="14" fontId="45" fillId="32" borderId="1" xfId="2" applyNumberFormat="1" applyFont="1" applyFill="1" applyBorder="1" applyAlignment="1">
      <alignment horizontal="center" vertical="center" wrapText="1"/>
    </xf>
    <xf numFmtId="0" fontId="48" fillId="0" borderId="1" xfId="2" applyFont="1" applyFill="1" applyBorder="1" applyAlignment="1">
      <alignment horizontal="center" vertical="center" wrapText="1"/>
    </xf>
    <xf numFmtId="0" fontId="45" fillId="0" borderId="1" xfId="2" applyFont="1" applyFill="1" applyBorder="1" applyAlignment="1">
      <alignment horizontal="center" vertical="center"/>
    </xf>
    <xf numFmtId="0" fontId="49" fillId="2" borderId="1" xfId="2" applyFont="1" applyFill="1" applyBorder="1" applyAlignment="1">
      <alignment horizontal="center" vertical="center"/>
    </xf>
    <xf numFmtId="14" fontId="45" fillId="38" borderId="1" xfId="2" applyNumberFormat="1" applyFont="1" applyFill="1" applyBorder="1" applyAlignment="1">
      <alignment horizontal="center" vertical="center" wrapText="1"/>
    </xf>
    <xf numFmtId="0" fontId="48" fillId="0" borderId="0" xfId="2" applyFont="1" applyAlignment="1">
      <alignment wrapText="1"/>
    </xf>
    <xf numFmtId="0" fontId="48" fillId="0" borderId="0" xfId="2" applyFont="1" applyFill="1" applyBorder="1" applyAlignment="1">
      <alignment horizontal="center"/>
    </xf>
    <xf numFmtId="0" fontId="48" fillId="10" borderId="1" xfId="2" applyFont="1" applyFill="1" applyBorder="1" applyAlignment="1">
      <alignment horizontal="center" vertical="center" wrapText="1"/>
    </xf>
    <xf numFmtId="0" fontId="45" fillId="10" borderId="1" xfId="2" applyFont="1" applyFill="1" applyBorder="1" applyAlignment="1">
      <alignment horizontal="center" vertical="center"/>
    </xf>
    <xf numFmtId="0" fontId="45" fillId="10" borderId="1" xfId="2" applyFont="1" applyFill="1" applyBorder="1" applyAlignment="1">
      <alignment horizontal="center" vertical="center" wrapText="1"/>
    </xf>
    <xf numFmtId="0" fontId="49" fillId="33" borderId="5" xfId="2" applyFont="1" applyFill="1" applyBorder="1" applyAlignment="1">
      <alignment horizontal="center" vertical="center"/>
    </xf>
    <xf numFmtId="14" fontId="45" fillId="36" borderId="5" xfId="2" applyNumberFormat="1" applyFont="1" applyFill="1" applyBorder="1" applyAlignment="1">
      <alignment horizontal="center" vertical="center" wrapText="1"/>
    </xf>
    <xf numFmtId="0" fontId="45" fillId="10" borderId="5" xfId="2" applyFont="1" applyFill="1" applyBorder="1" applyAlignment="1">
      <alignment horizontal="center" vertical="center" wrapText="1"/>
    </xf>
    <xf numFmtId="0" fontId="45" fillId="10" borderId="5" xfId="2" applyFont="1" applyFill="1" applyBorder="1" applyAlignment="1">
      <alignment horizontal="center" vertical="center"/>
    </xf>
    <xf numFmtId="0" fontId="49" fillId="0" borderId="45" xfId="2" applyFont="1" applyFill="1" applyBorder="1" applyAlignment="1">
      <alignment horizontal="center" vertical="center"/>
    </xf>
    <xf numFmtId="0" fontId="49" fillId="17" borderId="19" xfId="2" applyFont="1" applyFill="1" applyBorder="1" applyAlignment="1">
      <alignment horizontal="center" vertical="center"/>
    </xf>
    <xf numFmtId="0" fontId="45" fillId="0" borderId="45" xfId="2" applyFont="1" applyFill="1" applyBorder="1" applyAlignment="1">
      <alignment horizontal="center" vertical="center" wrapText="1"/>
    </xf>
    <xf numFmtId="14" fontId="45" fillId="32" borderId="19" xfId="2" applyNumberFormat="1" applyFont="1" applyFill="1" applyBorder="1" applyAlignment="1">
      <alignment horizontal="center" vertical="center" wrapText="1"/>
    </xf>
    <xf numFmtId="0" fontId="46" fillId="0" borderId="45" xfId="2" applyFont="1" applyFill="1" applyBorder="1" applyAlignment="1">
      <alignment horizontal="center" vertical="center" wrapText="1"/>
    </xf>
    <xf numFmtId="0" fontId="48" fillId="0" borderId="19" xfId="2" applyFont="1" applyFill="1" applyBorder="1" applyAlignment="1">
      <alignment horizontal="center" vertical="center" wrapText="1"/>
    </xf>
    <xf numFmtId="0" fontId="46" fillId="0" borderId="45" xfId="2" applyFont="1" applyFill="1" applyBorder="1" applyAlignment="1">
      <alignment horizontal="center" vertical="center"/>
    </xf>
    <xf numFmtId="0" fontId="45" fillId="0" borderId="19" xfId="2" applyFont="1" applyFill="1" applyBorder="1" applyAlignment="1">
      <alignment horizontal="center" vertical="center"/>
    </xf>
    <xf numFmtId="0" fontId="46" fillId="0" borderId="27" xfId="2" applyFont="1" applyFill="1" applyBorder="1" applyAlignment="1">
      <alignment horizontal="center" vertical="center"/>
    </xf>
    <xf numFmtId="0" fontId="45" fillId="10" borderId="10" xfId="2" applyFont="1" applyFill="1" applyBorder="1" applyAlignment="1">
      <alignment horizontal="center" vertical="center"/>
    </xf>
    <xf numFmtId="0" fontId="45" fillId="0" borderId="10" xfId="2" applyFont="1" applyFill="1" applyBorder="1" applyAlignment="1">
      <alignment horizontal="center" vertical="center"/>
    </xf>
    <xf numFmtId="0" fontId="45" fillId="0" borderId="18" xfId="2" applyFont="1" applyFill="1" applyBorder="1" applyAlignment="1">
      <alignment horizontal="center" vertical="center"/>
    </xf>
    <xf numFmtId="0" fontId="51" fillId="22" borderId="1" xfId="2" applyFont="1" applyFill="1" applyBorder="1" applyAlignment="1"/>
    <xf numFmtId="0" fontId="51" fillId="34" borderId="1" xfId="2" applyFont="1" applyFill="1" applyBorder="1" applyAlignment="1"/>
    <xf numFmtId="0" fontId="51" fillId="23" borderId="1" xfId="2" applyFont="1" applyFill="1" applyBorder="1" applyAlignment="1"/>
    <xf numFmtId="0" fontId="51" fillId="14" borderId="1" xfId="2" applyFont="1" applyFill="1" applyBorder="1" applyAlignment="1"/>
    <xf numFmtId="14" fontId="46" fillId="22" borderId="1" xfId="2" applyNumberFormat="1" applyFont="1" applyFill="1" applyBorder="1" applyAlignment="1"/>
    <xf numFmtId="14" fontId="46" fillId="34" borderId="1" xfId="2" applyNumberFormat="1" applyFont="1" applyFill="1" applyBorder="1" applyAlignment="1"/>
    <xf numFmtId="14" fontId="46" fillId="23" borderId="1" xfId="2" applyNumberFormat="1" applyFont="1" applyFill="1" applyBorder="1" applyAlignment="1"/>
    <xf numFmtId="14" fontId="46" fillId="14" borderId="1" xfId="2" applyNumberFormat="1" applyFont="1" applyFill="1" applyBorder="1" applyAlignment="1"/>
    <xf numFmtId="14" fontId="48" fillId="36" borderId="1" xfId="2" applyNumberFormat="1" applyFont="1" applyFill="1" applyBorder="1" applyAlignment="1">
      <alignment horizontal="center" vertical="center" wrapText="1"/>
    </xf>
    <xf numFmtId="0" fontId="47" fillId="31" borderId="0" xfId="2" applyFont="1" applyFill="1" applyBorder="1" applyAlignment="1">
      <alignment vertical="center"/>
    </xf>
    <xf numFmtId="14" fontId="45" fillId="0" borderId="0" xfId="2" applyNumberFormat="1" applyFont="1" applyAlignment="1"/>
    <xf numFmtId="14" fontId="49" fillId="33" borderId="1" xfId="2" applyNumberFormat="1" applyFont="1" applyFill="1" applyBorder="1" applyAlignment="1">
      <alignment horizontal="center" vertical="center"/>
    </xf>
    <xf numFmtId="14" fontId="49" fillId="17" borderId="1" xfId="2" applyNumberFormat="1" applyFont="1" applyFill="1" applyBorder="1" applyAlignment="1">
      <alignment horizontal="center" vertical="center"/>
    </xf>
    <xf numFmtId="14" fontId="45" fillId="0" borderId="1" xfId="2" applyNumberFormat="1" applyFont="1" applyBorder="1" applyAlignment="1"/>
    <xf numFmtId="14" fontId="48" fillId="0" borderId="1" xfId="2" applyNumberFormat="1" applyFont="1" applyFill="1" applyBorder="1" applyAlignment="1">
      <alignment horizontal="center" vertical="center" wrapText="1"/>
    </xf>
    <xf numFmtId="14" fontId="45" fillId="0" borderId="0" xfId="2" applyNumberFormat="1" applyFont="1" applyFill="1" applyAlignment="1"/>
    <xf numFmtId="14" fontId="45" fillId="37" borderId="1" xfId="2" applyNumberFormat="1" applyFont="1" applyFill="1" applyBorder="1" applyAlignment="1">
      <alignment vertical="center" wrapText="1"/>
    </xf>
    <xf numFmtId="0" fontId="45" fillId="0" borderId="0" xfId="2" applyFont="1" applyAlignment="1">
      <alignment vertical="center"/>
    </xf>
    <xf numFmtId="0" fontId="48" fillId="10" borderId="5" xfId="2" applyFont="1" applyFill="1" applyBorder="1" applyAlignment="1">
      <alignment horizontal="center" vertical="center"/>
    </xf>
    <xf numFmtId="14" fontId="48" fillId="0" borderId="1" xfId="2" applyNumberFormat="1" applyFont="1" applyBorder="1" applyAlignment="1">
      <alignment horizontal="center" vertical="center"/>
    </xf>
    <xf numFmtId="0" fontId="45" fillId="0" borderId="0" xfId="2" applyFont="1" applyAlignment="1">
      <alignment horizontal="center" vertical="center"/>
    </xf>
    <xf numFmtId="14" fontId="45" fillId="17" borderId="1" xfId="2" applyNumberFormat="1" applyFont="1" applyFill="1" applyBorder="1" applyAlignment="1">
      <alignment vertical="center"/>
    </xf>
    <xf numFmtId="0" fontId="7" fillId="12" borderId="6" xfId="0" applyFont="1" applyFill="1" applyBorder="1" applyAlignment="1">
      <alignment horizontal="center" vertical="center" wrapText="1"/>
    </xf>
    <xf numFmtId="0" fontId="3" fillId="10" borderId="6" xfId="0" applyFont="1" applyFill="1" applyBorder="1" applyAlignment="1">
      <alignment horizontal="center" vertical="center" wrapText="1"/>
    </xf>
    <xf numFmtId="0" fontId="0" fillId="10" borderId="6" xfId="0" applyFill="1" applyBorder="1" applyAlignment="1">
      <alignment horizontal="center" vertical="center" wrapText="1"/>
    </xf>
    <xf numFmtId="0" fontId="0" fillId="6" borderId="6" xfId="0" applyFill="1" applyBorder="1" applyAlignment="1">
      <alignment horizontal="center" vertical="center" wrapText="1"/>
    </xf>
    <xf numFmtId="0" fontId="0" fillId="10" borderId="9" xfId="0" applyFill="1" applyBorder="1" applyAlignment="1">
      <alignment horizontal="center" vertical="center" wrapText="1"/>
    </xf>
    <xf numFmtId="0" fontId="4" fillId="10" borderId="6" xfId="0" applyFont="1" applyFill="1" applyBorder="1" applyAlignment="1">
      <alignment horizontal="center" vertical="center" wrapText="1"/>
    </xf>
    <xf numFmtId="0" fontId="3" fillId="10" borderId="5" xfId="0" applyNumberFormat="1" applyFont="1" applyFill="1" applyBorder="1" applyAlignment="1">
      <alignment horizontal="center" vertical="center" wrapText="1"/>
    </xf>
    <xf numFmtId="0" fontId="3" fillId="10" borderId="5" xfId="0" applyFont="1" applyFill="1" applyBorder="1" applyAlignment="1">
      <alignment horizontal="center" vertical="center" wrapText="1"/>
    </xf>
    <xf numFmtId="0" fontId="3" fillId="6" borderId="5" xfId="0" applyFont="1" applyFill="1" applyBorder="1" applyAlignment="1">
      <alignment horizontal="center" vertical="center" wrapText="1"/>
    </xf>
    <xf numFmtId="0" fontId="3" fillId="10" borderId="5" xfId="0" applyFont="1" applyFill="1" applyBorder="1" applyAlignment="1">
      <alignment horizontal="center" vertical="center"/>
    </xf>
    <xf numFmtId="0" fontId="0" fillId="2" borderId="5" xfId="0" applyFont="1" applyFill="1" applyBorder="1" applyAlignment="1">
      <alignment horizontal="center" vertical="center" wrapText="1"/>
    </xf>
    <xf numFmtId="0" fontId="0" fillId="10" borderId="5" xfId="0" applyFont="1" applyFill="1" applyBorder="1" applyAlignment="1">
      <alignment horizontal="center" vertical="center" wrapText="1"/>
    </xf>
    <xf numFmtId="0" fontId="3" fillId="10" borderId="20" xfId="0" applyFont="1" applyFill="1" applyBorder="1" applyAlignment="1">
      <alignment horizontal="center" vertical="center" wrapText="1"/>
    </xf>
    <xf numFmtId="0" fontId="0" fillId="10" borderId="5" xfId="0" applyFill="1" applyBorder="1" applyAlignment="1">
      <alignment horizontal="center" vertical="center" wrapText="1"/>
    </xf>
    <xf numFmtId="0" fontId="4" fillId="10" borderId="5" xfId="0" applyFont="1" applyFill="1" applyBorder="1" applyAlignment="1">
      <alignment horizontal="center" vertical="center" wrapText="1"/>
    </xf>
    <xf numFmtId="1" fontId="1" fillId="12" borderId="0" xfId="0" applyNumberFormat="1" applyFont="1" applyFill="1" applyAlignment="1">
      <alignment horizontal="center" vertical="center" wrapText="1"/>
    </xf>
    <xf numFmtId="0" fontId="0" fillId="11" borderId="1" xfId="0" applyFill="1" applyBorder="1" applyAlignment="1">
      <alignment horizontal="center" vertical="center" wrapText="1"/>
    </xf>
    <xf numFmtId="14" fontId="0" fillId="11" borderId="1" xfId="0" applyNumberFormat="1" applyFill="1" applyBorder="1" applyAlignment="1">
      <alignment horizontal="center" vertical="center" wrapText="1"/>
    </xf>
    <xf numFmtId="0" fontId="0" fillId="11" borderId="1" xfId="0" applyFill="1" applyBorder="1" applyAlignment="1">
      <alignment vertical="center" wrapText="1"/>
    </xf>
    <xf numFmtId="3" fontId="0" fillId="11" borderId="1" xfId="0" applyNumberFormat="1" applyFill="1" applyBorder="1" applyAlignment="1">
      <alignment horizontal="center" vertical="center" wrapText="1"/>
    </xf>
    <xf numFmtId="0" fontId="1" fillId="11" borderId="1" xfId="0" applyFont="1" applyFill="1" applyBorder="1" applyAlignment="1">
      <alignment horizontal="center" vertical="center" wrapText="1"/>
    </xf>
    <xf numFmtId="0" fontId="0" fillId="11" borderId="1" xfId="0" applyFill="1" applyBorder="1" applyAlignment="1">
      <alignment horizontal="left" vertical="center" wrapText="1"/>
    </xf>
    <xf numFmtId="0" fontId="0" fillId="5" borderId="1" xfId="0" applyFill="1" applyBorder="1" applyAlignment="1">
      <alignment horizontal="center" vertical="center" wrapText="1"/>
    </xf>
    <xf numFmtId="14" fontId="0" fillId="14" borderId="1" xfId="0" applyNumberFormat="1" applyFill="1" applyBorder="1" applyAlignment="1">
      <alignment horizontal="center" vertical="center" wrapText="1"/>
    </xf>
    <xf numFmtId="0" fontId="0" fillId="14" borderId="1" xfId="0" applyFill="1" applyBorder="1" applyAlignment="1">
      <alignment horizontal="center" vertical="center" wrapText="1"/>
    </xf>
    <xf numFmtId="0" fontId="0" fillId="3" borderId="1" xfId="0" applyFill="1" applyBorder="1" applyAlignment="1">
      <alignment horizontal="center" vertical="center" wrapText="1"/>
    </xf>
    <xf numFmtId="0" fontId="0" fillId="19" borderId="1" xfId="0" applyFill="1" applyBorder="1" applyAlignment="1">
      <alignment horizontal="center" vertical="center" wrapText="1"/>
    </xf>
    <xf numFmtId="0" fontId="21" fillId="5" borderId="1" xfId="0" applyFont="1" applyFill="1" applyBorder="1" applyAlignment="1">
      <alignment horizontal="center" vertical="center" wrapText="1"/>
    </xf>
    <xf numFmtId="0" fontId="0" fillId="2" borderId="1" xfId="0" applyFill="1" applyBorder="1" applyAlignment="1">
      <alignment vertical="center" wrapText="1"/>
    </xf>
    <xf numFmtId="0" fontId="0" fillId="3" borderId="1" xfId="0" applyFill="1" applyBorder="1" applyAlignment="1">
      <alignment horizontal="left" vertical="center" wrapText="1"/>
    </xf>
    <xf numFmtId="0" fontId="0" fillId="5" borderId="1" xfId="0" applyFill="1" applyBorder="1" applyAlignment="1">
      <alignment horizontal="left" vertical="center" wrapText="1"/>
    </xf>
    <xf numFmtId="0" fontId="21" fillId="3" borderId="1" xfId="0" applyFont="1" applyFill="1" applyBorder="1" applyAlignment="1">
      <alignment horizontal="center" vertical="center" wrapText="1"/>
    </xf>
    <xf numFmtId="0" fontId="3" fillId="5" borderId="1" xfId="0" applyFont="1" applyFill="1" applyBorder="1" applyAlignment="1">
      <alignment horizontal="center" vertical="center" wrapText="1"/>
    </xf>
    <xf numFmtId="0" fontId="0" fillId="15" borderId="1" xfId="0" applyFill="1" applyBorder="1" applyAlignment="1">
      <alignment vertical="center" wrapText="1"/>
    </xf>
    <xf numFmtId="0" fontId="2" fillId="15" borderId="1" xfId="0" applyFont="1" applyFill="1" applyBorder="1" applyAlignment="1">
      <alignment horizontal="center" vertical="center" wrapText="1"/>
    </xf>
    <xf numFmtId="0" fontId="0" fillId="15" borderId="1" xfId="0" applyFill="1" applyBorder="1" applyAlignment="1">
      <alignment horizontal="center" vertical="center" wrapText="1"/>
    </xf>
    <xf numFmtId="14" fontId="0" fillId="14" borderId="1"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0" fontId="4" fillId="2" borderId="1" xfId="0" applyFont="1" applyFill="1" applyBorder="1" applyAlignment="1">
      <alignment horizontal="center" vertical="center" wrapText="1"/>
    </xf>
    <xf numFmtId="14" fontId="0" fillId="2" borderId="1" xfId="0" applyNumberFormat="1" applyFill="1" applyBorder="1" applyAlignment="1">
      <alignment horizontal="center" vertical="center" wrapText="1"/>
    </xf>
    <xf numFmtId="3"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0" fontId="0" fillId="2" borderId="1" xfId="0" applyFill="1" applyBorder="1" applyAlignment="1">
      <alignment horizontal="center" wrapText="1"/>
    </xf>
    <xf numFmtId="0" fontId="0" fillId="2" borderId="1" xfId="0" applyFill="1" applyBorder="1" applyAlignment="1">
      <alignment horizontal="left" vertical="center" wrapText="1"/>
    </xf>
    <xf numFmtId="0" fontId="0" fillId="23" borderId="1" xfId="0" applyFont="1" applyFill="1" applyBorder="1" applyAlignment="1">
      <alignment horizontal="center" vertical="center" wrapText="1"/>
    </xf>
    <xf numFmtId="0" fontId="0" fillId="11" borderId="1" xfId="0" applyFill="1" applyBorder="1" applyAlignment="1">
      <alignment horizontal="center" vertical="center" wrapText="1"/>
    </xf>
    <xf numFmtId="14" fontId="0" fillId="14" borderId="1" xfId="0" applyNumberFormat="1" applyFill="1" applyBorder="1" applyAlignment="1">
      <alignment horizontal="center" vertical="center" wrapText="1"/>
    </xf>
    <xf numFmtId="0" fontId="0" fillId="14" borderId="1" xfId="0" applyFill="1" applyBorder="1" applyAlignment="1">
      <alignment horizontal="center" vertical="center" wrapText="1"/>
    </xf>
    <xf numFmtId="0" fontId="0" fillId="5" borderId="1" xfId="0" applyFill="1" applyBorder="1" applyAlignment="1">
      <alignment horizontal="center" vertical="center" wrapText="1"/>
    </xf>
    <xf numFmtId="0" fontId="0" fillId="5" borderId="1" xfId="0" applyFill="1" applyBorder="1" applyAlignment="1">
      <alignment horizontal="left" vertical="center" wrapText="1"/>
    </xf>
    <xf numFmtId="0" fontId="0" fillId="19" borderId="1" xfId="0" applyFill="1" applyBorder="1" applyAlignment="1">
      <alignment horizontal="center" vertical="center" wrapText="1"/>
    </xf>
    <xf numFmtId="0" fontId="0" fillId="15" borderId="1" xfId="0" applyFill="1" applyBorder="1" applyAlignment="1">
      <alignment horizontal="center" vertical="center" wrapText="1"/>
    </xf>
    <xf numFmtId="0" fontId="5" fillId="15" borderId="1" xfId="0" applyFont="1" applyFill="1" applyBorder="1" applyAlignment="1">
      <alignment horizontal="center" vertical="center" wrapText="1"/>
    </xf>
    <xf numFmtId="0" fontId="2" fillId="15" borderId="1" xfId="0" applyFont="1" applyFill="1" applyBorder="1" applyAlignment="1">
      <alignment horizontal="center" vertical="center" wrapText="1"/>
    </xf>
    <xf numFmtId="14" fontId="0" fillId="14" borderId="1" xfId="0" applyNumberFormat="1" applyFont="1" applyFill="1" applyBorder="1" applyAlignment="1">
      <alignment horizontal="center" vertical="center" wrapText="1"/>
    </xf>
    <xf numFmtId="0" fontId="0" fillId="14" borderId="1" xfId="0" applyFont="1" applyFill="1" applyBorder="1" applyAlignment="1">
      <alignment horizontal="center" vertical="center" wrapText="1"/>
    </xf>
    <xf numFmtId="0" fontId="0" fillId="15" borderId="1" xfId="0" applyFill="1" applyBorder="1" applyAlignment="1">
      <alignment vertical="center" wrapText="1"/>
    </xf>
    <xf numFmtId="0" fontId="0" fillId="2" borderId="1" xfId="0" applyFill="1" applyBorder="1" applyAlignment="1">
      <alignment horizontal="center" vertical="center" wrapText="1"/>
    </xf>
    <xf numFmtId="14" fontId="0" fillId="2" borderId="1" xfId="0" applyNumberFormat="1" applyFill="1" applyBorder="1" applyAlignment="1">
      <alignment horizontal="center" vertical="center" wrapText="1"/>
    </xf>
    <xf numFmtId="0" fontId="3" fillId="2" borderId="1" xfId="0" applyFont="1" applyFill="1" applyBorder="1" applyAlignment="1">
      <alignment horizontal="center" vertical="center" wrapText="1"/>
    </xf>
    <xf numFmtId="0" fontId="0" fillId="2" borderId="1" xfId="0" applyFill="1" applyBorder="1" applyAlignment="1">
      <alignment horizontal="center" wrapText="1"/>
    </xf>
    <xf numFmtId="3" fontId="2" fillId="2" borderId="1" xfId="0" applyNumberFormat="1" applyFont="1" applyFill="1" applyBorder="1" applyAlignment="1">
      <alignment horizontal="center" vertical="center" wrapText="1"/>
    </xf>
    <xf numFmtId="0" fontId="0" fillId="2" borderId="1" xfId="0" applyFill="1" applyBorder="1" applyAlignment="1">
      <alignment horizontal="left" vertical="center" wrapText="1"/>
    </xf>
    <xf numFmtId="166" fontId="0" fillId="22" borderId="1" xfId="0" applyNumberFormat="1" applyFont="1" applyFill="1" applyBorder="1" applyAlignment="1">
      <alignment vertical="center" wrapText="1"/>
    </xf>
    <xf numFmtId="0" fontId="0" fillId="19" borderId="1" xfId="0" applyFill="1" applyBorder="1" applyAlignment="1">
      <alignment horizontal="center" wrapText="1"/>
    </xf>
    <xf numFmtId="0" fontId="1" fillId="0" borderId="1" xfId="0" applyFont="1" applyFill="1" applyBorder="1" applyAlignment="1">
      <alignment horizontal="center" vertical="center" wrapText="1"/>
    </xf>
    <xf numFmtId="0" fontId="7" fillId="11" borderId="1" xfId="0" applyFont="1" applyFill="1" applyBorder="1" applyAlignment="1">
      <alignment vertical="center" wrapText="1"/>
    </xf>
    <xf numFmtId="0" fontId="5" fillId="11" borderId="1" xfId="0" applyFont="1" applyFill="1" applyBorder="1" applyAlignment="1">
      <alignment horizontal="center" vertical="center" wrapText="1"/>
    </xf>
    <xf numFmtId="3" fontId="7" fillId="11" borderId="1" xfId="0" applyNumberFormat="1" applyFont="1" applyFill="1" applyBorder="1" applyAlignment="1">
      <alignment horizontal="center" vertical="center" wrapText="1"/>
    </xf>
    <xf numFmtId="0" fontId="7" fillId="11" borderId="1" xfId="0" applyFont="1" applyFill="1" applyBorder="1" applyAlignment="1">
      <alignment horizontal="center" vertical="center" wrapText="1"/>
    </xf>
    <xf numFmtId="0" fontId="8" fillId="11" borderId="1" xfId="0" applyFont="1" applyFill="1" applyBorder="1" applyAlignment="1">
      <alignment horizontal="center" vertical="center" wrapText="1"/>
    </xf>
    <xf numFmtId="14" fontId="7" fillId="11" borderId="1" xfId="0" applyNumberFormat="1" applyFont="1" applyFill="1" applyBorder="1" applyAlignment="1">
      <alignment horizontal="center" vertical="center" wrapText="1"/>
    </xf>
    <xf numFmtId="0" fontId="1" fillId="9" borderId="1" xfId="0" applyFont="1" applyFill="1" applyBorder="1" applyAlignment="1">
      <alignment horizontal="center" wrapText="1"/>
    </xf>
    <xf numFmtId="0" fontId="1" fillId="21" borderId="1" xfId="0" applyFont="1" applyFill="1" applyBorder="1" applyAlignment="1">
      <alignment horizontal="left" vertical="center" wrapText="1"/>
    </xf>
    <xf numFmtId="3" fontId="5" fillId="21" borderId="1" xfId="0" applyNumberFormat="1" applyFont="1" applyFill="1" applyBorder="1" applyAlignment="1">
      <alignment horizontal="center" vertical="center" wrapText="1"/>
    </xf>
    <xf numFmtId="0" fontId="1" fillId="21" borderId="1" xfId="0" applyFont="1" applyFill="1" applyBorder="1" applyAlignment="1">
      <alignment horizontal="center" vertical="center" wrapText="1"/>
    </xf>
    <xf numFmtId="0" fontId="5" fillId="21" borderId="1" xfId="0" applyFont="1" applyFill="1" applyBorder="1" applyAlignment="1">
      <alignment horizontal="center" vertical="center" wrapText="1"/>
    </xf>
    <xf numFmtId="3" fontId="3" fillId="3" borderId="1" xfId="0" applyNumberFormat="1" applyFont="1" applyFill="1" applyBorder="1" applyAlignment="1">
      <alignment horizontal="center" vertical="center" wrapText="1"/>
    </xf>
    <xf numFmtId="0" fontId="0" fillId="6" borderId="1" xfId="0" applyFill="1" applyBorder="1" applyAlignment="1">
      <alignment horizontal="center" vertical="center" wrapText="1"/>
    </xf>
    <xf numFmtId="3" fontId="2" fillId="19" borderId="1" xfId="0" applyNumberFormat="1" applyFont="1" applyFill="1" applyBorder="1" applyAlignment="1">
      <alignment horizontal="center" vertical="center" wrapText="1"/>
    </xf>
    <xf numFmtId="0" fontId="0" fillId="18" borderId="1" xfId="0" applyFill="1" applyBorder="1" applyAlignment="1">
      <alignment horizontal="center" vertical="center"/>
    </xf>
    <xf numFmtId="0" fontId="0" fillId="0" borderId="1" xfId="0" applyFill="1" applyBorder="1" applyAlignment="1">
      <alignment horizontal="center" vertical="center"/>
    </xf>
    <xf numFmtId="0" fontId="2" fillId="5" borderId="1" xfId="0" applyFont="1" applyFill="1" applyBorder="1" applyAlignment="1">
      <alignment horizontal="center" vertical="top" wrapText="1"/>
    </xf>
    <xf numFmtId="0" fontId="0" fillId="5" borderId="1" xfId="0" applyFont="1" applyFill="1" applyBorder="1" applyAlignment="1">
      <alignment horizontal="center" vertical="center" wrapText="1"/>
    </xf>
    <xf numFmtId="0" fontId="3" fillId="3" borderId="1" xfId="0" applyFont="1" applyFill="1" applyBorder="1" applyAlignment="1">
      <alignment horizontal="center" wrapText="1"/>
    </xf>
    <xf numFmtId="0" fontId="2" fillId="19" borderId="1" xfId="0" applyFont="1" applyFill="1" applyBorder="1" applyAlignment="1">
      <alignment horizontal="center" vertical="center" wrapText="1"/>
    </xf>
    <xf numFmtId="0" fontId="0" fillId="3" borderId="1" xfId="0" applyFont="1" applyFill="1" applyBorder="1" applyAlignment="1">
      <alignment horizontal="left" vertical="center" wrapText="1"/>
    </xf>
    <xf numFmtId="3" fontId="2" fillId="5" borderId="1" xfId="0" applyNumberFormat="1" applyFont="1" applyFill="1" applyBorder="1" applyAlignment="1">
      <alignment horizontal="center" vertical="center" wrapText="1"/>
    </xf>
    <xf numFmtId="0" fontId="0" fillId="0" borderId="1" xfId="0" applyFill="1" applyBorder="1" applyAlignment="1">
      <alignment horizontal="center" vertical="center" wrapText="1"/>
    </xf>
    <xf numFmtId="0" fontId="2" fillId="14" borderId="1" xfId="0" applyFont="1" applyFill="1" applyBorder="1" applyAlignment="1">
      <alignment horizontal="center" vertical="center" wrapText="1"/>
    </xf>
    <xf numFmtId="0" fontId="2" fillId="18" borderId="1" xfId="0" applyFont="1" applyFill="1" applyBorder="1" applyAlignment="1">
      <alignment horizontal="center" vertical="center" wrapText="1"/>
    </xf>
    <xf numFmtId="0" fontId="21" fillId="5" borderId="1" xfId="0" applyFont="1" applyFill="1" applyBorder="1" applyAlignment="1">
      <alignment vertical="center"/>
    </xf>
    <xf numFmtId="0" fontId="0" fillId="5" borderId="1" xfId="0" applyFill="1" applyBorder="1" applyAlignment="1">
      <alignment wrapText="1"/>
    </xf>
    <xf numFmtId="0" fontId="1" fillId="5" borderId="1" xfId="0" applyFont="1" applyFill="1" applyBorder="1" applyAlignment="1">
      <alignment vertical="center" wrapText="1"/>
    </xf>
    <xf numFmtId="0" fontId="1" fillId="3" borderId="1" xfId="0" applyFont="1" applyFill="1" applyBorder="1" applyAlignment="1">
      <alignment horizontal="center" wrapText="1"/>
    </xf>
    <xf numFmtId="0" fontId="8" fillId="3" borderId="1" xfId="0" applyFont="1" applyFill="1" applyBorder="1" applyAlignment="1">
      <alignment horizontal="center" wrapText="1"/>
    </xf>
    <xf numFmtId="0" fontId="22" fillId="0" borderId="1" xfId="0" applyFont="1" applyFill="1" applyBorder="1" applyAlignment="1">
      <alignment horizontal="center" textRotation="255" wrapText="1"/>
    </xf>
    <xf numFmtId="0" fontId="0" fillId="0" borderId="1" xfId="0" applyFill="1" applyBorder="1" applyAlignment="1">
      <alignment horizontal="left" vertical="center" wrapText="1"/>
    </xf>
    <xf numFmtId="3" fontId="2" fillId="0"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3" fontId="2" fillId="2" borderId="1" xfId="0" applyNumberFormat="1" applyFont="1" applyFill="1" applyBorder="1" applyAlignment="1">
      <alignment horizontal="center" vertical="center" wrapText="1"/>
    </xf>
    <xf numFmtId="0" fontId="0" fillId="2" borderId="1" xfId="0" applyFill="1" applyBorder="1" applyAlignment="1">
      <alignment vertical="center" wrapText="1"/>
    </xf>
    <xf numFmtId="0" fontId="0" fillId="2" borderId="1" xfId="0" applyFill="1" applyBorder="1" applyAlignment="1">
      <alignment horizontal="center" vertical="center" wrapText="1"/>
    </xf>
    <xf numFmtId="0" fontId="3"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14" fontId="0" fillId="2" borderId="1" xfId="0" applyNumberFormat="1" applyFill="1" applyBorder="1" applyAlignment="1">
      <alignment horizontal="center" vertical="center" wrapText="1"/>
    </xf>
    <xf numFmtId="0" fontId="2" fillId="6" borderId="1" xfId="0" applyFont="1" applyFill="1" applyBorder="1" applyAlignment="1">
      <alignment horizontal="center" vertical="center" wrapText="1"/>
    </xf>
    <xf numFmtId="0" fontId="4" fillId="22" borderId="1" xfId="0" applyFont="1" applyFill="1" applyBorder="1" applyAlignment="1">
      <alignment wrapText="1"/>
    </xf>
    <xf numFmtId="0" fontId="0" fillId="0" borderId="1" xfId="0" applyFill="1" applyBorder="1" applyAlignment="1">
      <alignment vertical="center" wrapText="1"/>
    </xf>
    <xf numFmtId="3" fontId="2" fillId="15" borderId="1" xfId="0" applyNumberFormat="1" applyFont="1" applyFill="1" applyBorder="1" applyAlignment="1">
      <alignment horizontal="center" vertical="center"/>
    </xf>
    <xf numFmtId="14" fontId="0" fillId="6" borderId="1" xfId="0" applyNumberFormat="1" applyFont="1" applyFill="1" applyBorder="1" applyAlignment="1">
      <alignment vertical="center" wrapText="1"/>
    </xf>
    <xf numFmtId="0" fontId="0" fillId="6" borderId="1" xfId="0" applyFont="1" applyFill="1" applyBorder="1" applyAlignment="1">
      <alignment vertical="center" wrapText="1"/>
    </xf>
    <xf numFmtId="3" fontId="2" fillId="0" borderId="1" xfId="0" applyNumberFormat="1" applyFont="1" applyFill="1" applyBorder="1" applyAlignment="1">
      <alignment horizontal="center" wrapText="1"/>
    </xf>
    <xf numFmtId="0" fontId="2" fillId="0" borderId="1" xfId="0" applyFont="1" applyFill="1" applyBorder="1" applyAlignment="1">
      <alignment horizontal="center" vertical="center" wrapText="1"/>
    </xf>
    <xf numFmtId="0" fontId="1" fillId="0" borderId="1" xfId="0" applyFont="1" applyFill="1" applyBorder="1" applyAlignment="1">
      <alignment wrapText="1"/>
    </xf>
    <xf numFmtId="3" fontId="5" fillId="0" borderId="1" xfId="0" applyNumberFormat="1" applyFont="1" applyFill="1" applyBorder="1" applyAlignment="1">
      <alignment horizontal="center" wrapText="1"/>
    </xf>
    <xf numFmtId="0" fontId="2" fillId="8" borderId="1" xfId="0" applyFont="1" applyFill="1" applyBorder="1" applyAlignment="1">
      <alignment horizontal="center" vertical="center" wrapText="1"/>
    </xf>
    <xf numFmtId="0" fontId="20" fillId="2" borderId="1" xfId="0" applyFont="1" applyFill="1" applyBorder="1" applyAlignment="1">
      <alignment vertical="center" textRotation="255" wrapText="1"/>
    </xf>
    <xf numFmtId="0" fontId="0" fillId="14" borderId="1" xfId="0" applyFill="1" applyBorder="1" applyAlignment="1">
      <alignment horizontal="center" vertical="center" wrapText="1"/>
    </xf>
    <xf numFmtId="0" fontId="0" fillId="2" borderId="1" xfId="0" applyFill="1" applyBorder="1" applyAlignment="1">
      <alignment horizontal="center" vertical="center" wrapText="1"/>
    </xf>
    <xf numFmtId="0" fontId="0" fillId="14" borderId="1" xfId="0" applyFont="1" applyFill="1" applyBorder="1" applyAlignment="1">
      <alignment horizontal="center" vertical="center" wrapText="1"/>
    </xf>
    <xf numFmtId="0" fontId="0" fillId="0" borderId="1" xfId="0" applyFill="1" applyBorder="1" applyAlignment="1">
      <alignment horizontal="center" vertical="center" wrapText="1"/>
    </xf>
    <xf numFmtId="0" fontId="0" fillId="8" borderId="2" xfId="0" applyFont="1" applyFill="1" applyBorder="1" applyAlignment="1">
      <alignment horizontal="center" vertical="center" wrapText="1"/>
    </xf>
    <xf numFmtId="166" fontId="0" fillId="8" borderId="4" xfId="0" applyNumberFormat="1" applyFont="1" applyFill="1" applyBorder="1" applyAlignment="1">
      <alignment horizontal="center" vertical="center" wrapText="1"/>
    </xf>
    <xf numFmtId="0" fontId="3" fillId="10" borderId="8" xfId="0" applyFont="1" applyFill="1" applyBorder="1" applyAlignment="1">
      <alignment horizontal="center" vertical="center" wrapText="1"/>
    </xf>
    <xf numFmtId="0" fontId="0" fillId="11" borderId="1" xfId="0" applyFill="1" applyBorder="1" applyAlignment="1">
      <alignment horizontal="center" vertical="center" wrapText="1"/>
    </xf>
    <xf numFmtId="0" fontId="0" fillId="11" borderId="1" xfId="0" applyFont="1" applyFill="1" applyBorder="1" applyAlignment="1">
      <alignment horizontal="center" vertical="center" wrapText="1"/>
    </xf>
    <xf numFmtId="14" fontId="0" fillId="14" borderId="1" xfId="0" applyNumberFormat="1" applyFill="1" applyBorder="1" applyAlignment="1">
      <alignment horizontal="center" vertical="center" wrapText="1"/>
    </xf>
    <xf numFmtId="1" fontId="1" fillId="12" borderId="2" xfId="0" applyNumberFormat="1" applyFont="1" applyFill="1" applyBorder="1" applyAlignment="1">
      <alignment horizontal="center" vertical="center" wrapText="1"/>
    </xf>
    <xf numFmtId="0" fontId="0" fillId="10" borderId="1" xfId="0" applyFont="1" applyFill="1" applyBorder="1" applyAlignment="1">
      <alignment horizontal="center" vertical="center" wrapText="1"/>
    </xf>
    <xf numFmtId="0" fontId="1" fillId="10" borderId="1" xfId="0" applyFont="1" applyFill="1" applyBorder="1" applyAlignment="1">
      <alignment horizontal="center" vertical="center" wrapText="1"/>
    </xf>
    <xf numFmtId="3" fontId="0" fillId="10" borderId="1" xfId="0" applyNumberFormat="1" applyFont="1" applyFill="1" applyBorder="1" applyAlignment="1">
      <alignment horizontal="center" vertical="center" wrapText="1"/>
    </xf>
    <xf numFmtId="0" fontId="3" fillId="10" borderId="5" xfId="0" applyFont="1" applyFill="1" applyBorder="1" applyAlignment="1">
      <alignment horizontal="center" vertical="center" wrapText="1"/>
    </xf>
    <xf numFmtId="1" fontId="1" fillId="12" borderId="1" xfId="0" applyNumberFormat="1" applyFont="1" applyFill="1" applyBorder="1" applyAlignment="1">
      <alignment horizontal="center" vertical="center" wrapText="1"/>
    </xf>
    <xf numFmtId="1" fontId="7" fillId="12" borderId="1" xfId="0" applyNumberFormat="1" applyFont="1" applyFill="1" applyBorder="1" applyAlignment="1">
      <alignment horizontal="center" vertical="center" wrapText="1"/>
    </xf>
    <xf numFmtId="14" fontId="0" fillId="10" borderId="1" xfId="0" applyNumberFormat="1" applyFont="1" applyFill="1" applyBorder="1" applyAlignment="1">
      <alignment horizontal="center" vertical="center" wrapText="1"/>
    </xf>
    <xf numFmtId="1" fontId="5" fillId="12" borderId="1" xfId="0" applyNumberFormat="1" applyFont="1" applyFill="1" applyBorder="1" applyAlignment="1">
      <alignment horizontal="center" vertical="center" wrapText="1"/>
    </xf>
    <xf numFmtId="1" fontId="7" fillId="12" borderId="5" xfId="0" applyNumberFormat="1" applyFont="1" applyFill="1" applyBorder="1" applyAlignment="1">
      <alignment horizontal="center" vertical="center" wrapText="1"/>
    </xf>
    <xf numFmtId="1" fontId="1" fillId="12" borderId="5" xfId="0" applyNumberFormat="1" applyFont="1" applyFill="1" applyBorder="1" applyAlignment="1">
      <alignment horizontal="center" vertical="center" wrapText="1"/>
    </xf>
    <xf numFmtId="0" fontId="3" fillId="10" borderId="8" xfId="0" applyNumberFormat="1" applyFont="1" applyFill="1" applyBorder="1" applyAlignment="1">
      <alignment horizontal="center" vertical="center" wrapText="1"/>
    </xf>
    <xf numFmtId="0" fontId="27" fillId="10" borderId="8" xfId="0" applyFont="1" applyFill="1" applyBorder="1" applyAlignment="1">
      <alignment vertical="center" wrapText="1"/>
    </xf>
    <xf numFmtId="0" fontId="3" fillId="0" borderId="1" xfId="0" applyFont="1" applyBorder="1" applyAlignment="1">
      <alignment horizontal="center" vertical="center" wrapText="1"/>
    </xf>
    <xf numFmtId="0" fontId="0" fillId="14" borderId="1" xfId="0" applyFill="1" applyBorder="1" applyAlignment="1">
      <alignment horizontal="center" vertical="center" wrapText="1"/>
    </xf>
    <xf numFmtId="0" fontId="0" fillId="3" borderId="1" xfId="0" applyFill="1" applyBorder="1" applyAlignment="1">
      <alignment horizontal="center" wrapText="1"/>
    </xf>
    <xf numFmtId="0" fontId="0" fillId="10" borderId="2" xfId="0" applyFill="1" applyBorder="1" applyAlignment="1">
      <alignment horizontal="center" vertical="center" wrapText="1"/>
    </xf>
    <xf numFmtId="0" fontId="0" fillId="10" borderId="4" xfId="0" applyFill="1" applyBorder="1" applyAlignment="1">
      <alignment horizontal="center" vertical="center" wrapText="1"/>
    </xf>
    <xf numFmtId="0" fontId="0" fillId="10" borderId="1" xfId="0" applyFill="1" applyBorder="1" applyAlignment="1">
      <alignment horizontal="center" vertical="center" wrapText="1"/>
    </xf>
    <xf numFmtId="0" fontId="0" fillId="10" borderId="2" xfId="0" applyFont="1" applyFill="1" applyBorder="1" applyAlignment="1">
      <alignment horizontal="center" vertical="center" wrapText="1"/>
    </xf>
    <xf numFmtId="0" fontId="0" fillId="0" borderId="1" xfId="0" applyFill="1" applyBorder="1" applyAlignment="1">
      <alignment horizontal="center" vertical="center" wrapText="1"/>
    </xf>
    <xf numFmtId="166" fontId="0" fillId="10" borderId="1" xfId="0" applyNumberFormat="1" applyFont="1" applyFill="1" applyBorder="1" applyAlignment="1">
      <alignment vertical="center" wrapText="1"/>
    </xf>
    <xf numFmtId="0" fontId="0" fillId="10" borderId="0" xfId="0" applyFont="1" applyFill="1" applyAlignment="1">
      <alignment vertical="center" wrapText="1"/>
    </xf>
    <xf numFmtId="1" fontId="8" fillId="12" borderId="1" xfId="0" applyNumberFormat="1" applyFont="1" applyFill="1" applyBorder="1" applyAlignment="1">
      <alignment horizontal="center" vertical="center" wrapText="1"/>
    </xf>
    <xf numFmtId="1" fontId="9" fillId="10" borderId="1" xfId="0" applyNumberFormat="1" applyFont="1" applyFill="1" applyBorder="1" applyAlignment="1">
      <alignment horizontal="center" vertical="center" wrapText="1"/>
    </xf>
    <xf numFmtId="1" fontId="0" fillId="6" borderId="1" xfId="0" applyNumberFormat="1" applyFill="1" applyBorder="1" applyAlignment="1">
      <alignment horizontal="center" vertical="center" wrapText="1"/>
    </xf>
    <xf numFmtId="1" fontId="0" fillId="10" borderId="1" xfId="0" applyNumberFormat="1" applyFont="1" applyFill="1" applyBorder="1" applyAlignment="1">
      <alignment horizontal="center" vertical="center"/>
    </xf>
    <xf numFmtId="1" fontId="0" fillId="19" borderId="1" xfId="0" applyNumberFormat="1" applyFont="1" applyFill="1" applyBorder="1" applyAlignment="1">
      <alignment horizontal="center" vertical="center" wrapText="1"/>
    </xf>
    <xf numFmtId="1" fontId="0" fillId="10" borderId="1" xfId="0" applyNumberFormat="1" applyFill="1" applyBorder="1" applyAlignment="1">
      <alignment horizontal="center" vertical="center"/>
    </xf>
    <xf numFmtId="1" fontId="0" fillId="22" borderId="1" xfId="0" applyNumberFormat="1" applyFont="1" applyFill="1" applyBorder="1" applyAlignment="1">
      <alignment horizontal="center" vertical="center" wrapText="1"/>
    </xf>
    <xf numFmtId="1" fontId="0" fillId="2" borderId="1" xfId="0" applyNumberFormat="1" applyFill="1" applyBorder="1" applyAlignment="1">
      <alignment horizontal="center" vertical="center" wrapText="1"/>
    </xf>
    <xf numFmtId="1" fontId="0" fillId="0" borderId="0" xfId="0" applyNumberFormat="1" applyAlignment="1">
      <alignment horizontal="center" vertical="center" wrapText="1"/>
    </xf>
    <xf numFmtId="0" fontId="2" fillId="10" borderId="5" xfId="0" applyFont="1" applyFill="1" applyBorder="1" applyAlignment="1">
      <alignment horizontal="center" vertical="center" wrapText="1"/>
    </xf>
    <xf numFmtId="0" fontId="5" fillId="12" borderId="5" xfId="0" applyFont="1" applyFill="1" applyBorder="1" applyAlignment="1">
      <alignment horizontal="center" vertical="center" wrapText="1"/>
    </xf>
    <xf numFmtId="0" fontId="2" fillId="10" borderId="5" xfId="0" applyNumberFormat="1" applyFont="1" applyFill="1" applyBorder="1" applyAlignment="1">
      <alignment horizontal="center" vertical="center" wrapText="1"/>
    </xf>
    <xf numFmtId="0" fontId="2" fillId="10" borderId="8" xfId="0" applyNumberFormat="1" applyFont="1" applyFill="1" applyBorder="1" applyAlignment="1">
      <alignment horizontal="center" vertical="center" wrapText="1"/>
    </xf>
    <xf numFmtId="0" fontId="2" fillId="6" borderId="5" xfId="0" applyFont="1" applyFill="1" applyBorder="1" applyAlignment="1">
      <alignment horizontal="center" vertical="center" wrapText="1"/>
    </xf>
    <xf numFmtId="0" fontId="2" fillId="10" borderId="5" xfId="0" applyFont="1" applyFill="1" applyBorder="1" applyAlignment="1">
      <alignment horizontal="center" vertical="center"/>
    </xf>
    <xf numFmtId="0" fontId="2" fillId="2" borderId="5" xfId="0" applyFont="1" applyFill="1" applyBorder="1" applyAlignment="1">
      <alignment horizontal="center" vertical="center" wrapText="1"/>
    </xf>
    <xf numFmtId="0" fontId="2" fillId="10" borderId="20" xfId="0" applyFont="1" applyFill="1" applyBorder="1" applyAlignment="1">
      <alignment horizontal="center" vertical="center" wrapText="1"/>
    </xf>
    <xf numFmtId="0" fontId="2" fillId="10" borderId="8" xfId="0" applyFont="1" applyFill="1" applyBorder="1" applyAlignment="1">
      <alignment horizontal="center" vertical="center" wrapText="1"/>
    </xf>
    <xf numFmtId="0" fontId="2" fillId="2" borderId="20" xfId="0" applyFont="1" applyFill="1" applyBorder="1" applyAlignment="1">
      <alignment horizontal="center" vertical="center" wrapText="1"/>
    </xf>
    <xf numFmtId="0" fontId="2" fillId="2" borderId="22" xfId="0" applyFont="1" applyFill="1" applyBorder="1" applyAlignment="1">
      <alignment horizontal="center" vertical="center" wrapText="1"/>
    </xf>
    <xf numFmtId="0" fontId="2" fillId="2" borderId="8" xfId="0" applyFont="1" applyFill="1" applyBorder="1" applyAlignment="1">
      <alignment horizontal="center" vertical="center" wrapText="1"/>
    </xf>
    <xf numFmtId="0" fontId="2" fillId="10" borderId="22" xfId="0" applyFont="1" applyFill="1" applyBorder="1" applyAlignment="1">
      <alignment horizontal="center" vertical="center" wrapText="1"/>
    </xf>
    <xf numFmtId="0" fontId="53" fillId="10" borderId="8" xfId="0" applyFont="1" applyFill="1" applyBorder="1" applyAlignment="1">
      <alignment vertical="center" wrapText="1"/>
    </xf>
    <xf numFmtId="0" fontId="2" fillId="10" borderId="1" xfId="0" applyFont="1" applyFill="1" applyBorder="1" applyAlignment="1">
      <alignment horizontal="center" vertical="center" wrapText="1"/>
    </xf>
    <xf numFmtId="0" fontId="2" fillId="0" borderId="0" xfId="0" applyFont="1" applyBorder="1" applyAlignment="1">
      <alignment horizontal="center" vertical="center" wrapText="1"/>
    </xf>
    <xf numFmtId="0" fontId="1" fillId="22" borderId="1" xfId="0" applyFont="1" applyFill="1" applyBorder="1" applyAlignment="1">
      <alignment horizontal="center" vertical="center" wrapText="1"/>
    </xf>
    <xf numFmtId="0" fontId="0" fillId="22" borderId="1" xfId="0" applyFill="1" applyBorder="1" applyAlignment="1">
      <alignment horizontal="center" vertical="center" wrapText="1"/>
    </xf>
    <xf numFmtId="0" fontId="0" fillId="6" borderId="1" xfId="0" applyFill="1" applyBorder="1" applyAlignment="1">
      <alignment horizontal="center" vertical="center" wrapText="1"/>
    </xf>
    <xf numFmtId="0" fontId="0" fillId="2" borderId="1" xfId="0" applyFill="1" applyBorder="1" applyAlignment="1">
      <alignment horizontal="center" vertical="center" wrapText="1"/>
    </xf>
    <xf numFmtId="0" fontId="2" fillId="2" borderId="1" xfId="0" applyFont="1" applyFill="1" applyBorder="1" applyAlignment="1">
      <alignment horizontal="center" vertical="center" wrapText="1"/>
    </xf>
    <xf numFmtId="0" fontId="0" fillId="25" borderId="1" xfId="0" applyFill="1" applyBorder="1" applyAlignment="1">
      <alignment horizontal="center" vertical="center" wrapText="1"/>
    </xf>
    <xf numFmtId="3" fontId="2" fillId="2" borderId="1" xfId="0" applyNumberFormat="1" applyFont="1" applyFill="1" applyBorder="1" applyAlignment="1">
      <alignment horizontal="center" vertical="center" wrapText="1"/>
    </xf>
    <xf numFmtId="0" fontId="0" fillId="10" borderId="2" xfId="0" applyFill="1" applyBorder="1" applyAlignment="1">
      <alignment horizontal="center" vertical="center" wrapText="1"/>
    </xf>
    <xf numFmtId="0" fontId="0" fillId="10" borderId="4" xfId="0" applyFill="1" applyBorder="1" applyAlignment="1">
      <alignment horizontal="center" vertical="center" wrapText="1"/>
    </xf>
    <xf numFmtId="0" fontId="0" fillId="10" borderId="1" xfId="0" applyFill="1" applyBorder="1" applyAlignment="1">
      <alignment horizontal="center" vertical="center" wrapText="1"/>
    </xf>
    <xf numFmtId="14" fontId="0" fillId="10" borderId="1" xfId="0" applyNumberFormat="1" applyFill="1" applyBorder="1" applyAlignment="1">
      <alignment horizontal="center" vertical="center" wrapText="1"/>
    </xf>
    <xf numFmtId="0" fontId="0" fillId="10" borderId="1" xfId="0" applyFont="1" applyFill="1" applyBorder="1" applyAlignment="1">
      <alignment horizontal="center" vertical="center" wrapText="1"/>
    </xf>
    <xf numFmtId="0" fontId="1" fillId="10" borderId="4" xfId="0" applyFont="1" applyFill="1" applyBorder="1" applyAlignment="1">
      <alignment horizontal="center" vertical="center" wrapText="1"/>
    </xf>
    <xf numFmtId="0" fontId="0" fillId="2" borderId="2" xfId="0" applyFill="1" applyBorder="1" applyAlignment="1">
      <alignment horizontal="center" vertical="center" wrapText="1"/>
    </xf>
    <xf numFmtId="0" fontId="0" fillId="2" borderId="4" xfId="0" applyFill="1" applyBorder="1" applyAlignment="1">
      <alignment horizontal="center" vertical="center" wrapText="1"/>
    </xf>
    <xf numFmtId="0" fontId="0" fillId="10" borderId="2" xfId="0" applyFont="1" applyFill="1" applyBorder="1" applyAlignment="1">
      <alignment horizontal="center" vertical="center" wrapText="1"/>
    </xf>
    <xf numFmtId="0" fontId="0" fillId="0" borderId="0" xfId="0" applyFill="1" applyBorder="1" applyAlignment="1">
      <alignment horizontal="center" vertical="center" wrapText="1"/>
    </xf>
    <xf numFmtId="0" fontId="0" fillId="10" borderId="1" xfId="0" applyFill="1" applyBorder="1" applyAlignment="1">
      <alignment horizontal="center" vertical="center"/>
    </xf>
    <xf numFmtId="0" fontId="0" fillId="7" borderId="1" xfId="0" applyFill="1" applyBorder="1" applyAlignment="1">
      <alignment horizontal="center" vertical="center" wrapText="1"/>
    </xf>
    <xf numFmtId="14" fontId="0" fillId="2" borderId="1" xfId="0" applyNumberFormat="1" applyFill="1" applyBorder="1" applyAlignment="1">
      <alignment horizontal="center" vertical="center" wrapText="1"/>
    </xf>
    <xf numFmtId="0" fontId="0" fillId="2" borderId="1" xfId="0" applyFont="1" applyFill="1" applyBorder="1" applyAlignment="1">
      <alignment horizontal="center" vertical="center" wrapText="1"/>
    </xf>
    <xf numFmtId="0" fontId="0" fillId="2" borderId="1" xfId="0" applyFill="1" applyBorder="1" applyAlignment="1">
      <alignment horizontal="center" wrapText="1"/>
    </xf>
    <xf numFmtId="0" fontId="0" fillId="2" borderId="1" xfId="0" applyFill="1" applyBorder="1" applyAlignment="1">
      <alignment horizontal="left" vertical="center" wrapText="1"/>
    </xf>
    <xf numFmtId="1" fontId="0" fillId="10" borderId="2" xfId="0" applyNumberFormat="1" applyFill="1" applyBorder="1" applyAlignment="1">
      <alignment horizontal="center" vertical="center" wrapText="1"/>
    </xf>
    <xf numFmtId="1" fontId="0" fillId="10" borderId="4" xfId="0" applyNumberFormat="1" applyFill="1" applyBorder="1" applyAlignment="1">
      <alignment horizontal="center" vertical="center" wrapText="1"/>
    </xf>
    <xf numFmtId="166" fontId="4" fillId="0" borderId="1" xfId="0" applyNumberFormat="1" applyFont="1" applyFill="1" applyBorder="1" applyAlignment="1">
      <alignment vertical="center" wrapText="1"/>
    </xf>
    <xf numFmtId="0" fontId="0" fillId="0" borderId="1" xfId="0" applyFont="1" applyFill="1" applyBorder="1" applyAlignment="1">
      <alignment vertical="center" wrapText="1"/>
    </xf>
    <xf numFmtId="0" fontId="0" fillId="11" borderId="1" xfId="0" applyFill="1" applyBorder="1" applyAlignment="1">
      <alignment horizontal="center" vertical="center" wrapText="1"/>
    </xf>
    <xf numFmtId="14" fontId="0" fillId="11" borderId="1" xfId="0" applyNumberFormat="1" applyFill="1" applyBorder="1" applyAlignment="1">
      <alignment horizontal="center" vertical="center" wrapText="1"/>
    </xf>
    <xf numFmtId="0" fontId="0" fillId="11" borderId="1" xfId="0" applyFont="1" applyFill="1" applyBorder="1" applyAlignment="1">
      <alignment horizontal="center" vertical="center" wrapText="1"/>
    </xf>
    <xf numFmtId="0" fontId="0" fillId="19" borderId="1" xfId="0" applyFill="1" applyBorder="1" applyAlignment="1">
      <alignment horizontal="center" vertical="center" wrapText="1"/>
    </xf>
    <xf numFmtId="0" fontId="0" fillId="25" borderId="1" xfId="0" applyFill="1" applyBorder="1" applyAlignment="1">
      <alignment horizontal="center" vertical="center" wrapText="1"/>
    </xf>
    <xf numFmtId="0" fontId="0" fillId="10" borderId="1" xfId="0" applyFill="1" applyBorder="1" applyAlignment="1">
      <alignment horizontal="center" vertical="center" wrapText="1"/>
    </xf>
    <xf numFmtId="0" fontId="1" fillId="10" borderId="1" xfId="0" applyFont="1" applyFill="1" applyBorder="1" applyAlignment="1">
      <alignment horizontal="center" vertical="center" wrapText="1"/>
    </xf>
    <xf numFmtId="0" fontId="3" fillId="10" borderId="1" xfId="0" applyFont="1" applyFill="1" applyBorder="1" applyAlignment="1">
      <alignment horizontal="center" vertical="center" wrapText="1"/>
    </xf>
    <xf numFmtId="1" fontId="1" fillId="12" borderId="1" xfId="0" applyNumberFormat="1" applyFont="1" applyFill="1" applyBorder="1" applyAlignment="1">
      <alignment horizontal="center" vertical="center" wrapText="1"/>
    </xf>
    <xf numFmtId="0" fontId="0" fillId="10" borderId="1" xfId="0" applyFont="1" applyFill="1" applyBorder="1" applyAlignment="1">
      <alignment horizontal="center" vertical="center" wrapText="1"/>
    </xf>
    <xf numFmtId="3" fontId="0" fillId="10" borderId="1" xfId="0" applyNumberFormat="1" applyFont="1" applyFill="1" applyBorder="1" applyAlignment="1">
      <alignment horizontal="center" vertical="center" wrapText="1"/>
    </xf>
    <xf numFmtId="14" fontId="0" fillId="10" borderId="1" xfId="0" applyNumberFormat="1" applyFill="1" applyBorder="1" applyAlignment="1">
      <alignment horizontal="center" vertical="center" wrapText="1"/>
    </xf>
    <xf numFmtId="14" fontId="0" fillId="14" borderId="1" xfId="0" applyNumberFormat="1" applyFill="1" applyBorder="1" applyAlignment="1">
      <alignment horizontal="center" vertical="center" wrapText="1"/>
    </xf>
    <xf numFmtId="0" fontId="0" fillId="14" borderId="1" xfId="0" applyFill="1" applyBorder="1" applyAlignment="1">
      <alignment horizontal="center" vertical="center" wrapText="1"/>
    </xf>
    <xf numFmtId="0" fontId="0" fillId="15" borderId="1" xfId="0" applyFill="1" applyBorder="1" applyAlignment="1">
      <alignment horizontal="center" vertical="center" wrapText="1"/>
    </xf>
    <xf numFmtId="0" fontId="2" fillId="15" borderId="1" xfId="0" applyFont="1" applyFill="1" applyBorder="1" applyAlignment="1">
      <alignment horizontal="center" vertical="center" wrapText="1"/>
    </xf>
    <xf numFmtId="3" fontId="2" fillId="15" borderId="1" xfId="0" applyNumberFormat="1" applyFont="1" applyFill="1" applyBorder="1" applyAlignment="1">
      <alignment horizontal="center" vertical="center" wrapText="1"/>
    </xf>
    <xf numFmtId="0" fontId="0" fillId="15" borderId="1" xfId="0" applyFill="1" applyBorder="1" applyAlignment="1">
      <alignment vertical="center" wrapText="1"/>
    </xf>
    <xf numFmtId="1" fontId="0" fillId="19" borderId="1" xfId="0" applyNumberFormat="1" applyFill="1" applyBorder="1" applyAlignment="1">
      <alignment horizontal="center" vertical="center" wrapText="1"/>
    </xf>
    <xf numFmtId="0" fontId="0" fillId="19" borderId="0" xfId="0" applyFill="1" applyAlignment="1">
      <alignment horizontal="center" vertical="center" wrapText="1"/>
    </xf>
    <xf numFmtId="0" fontId="0" fillId="11" borderId="1" xfId="0" applyFill="1" applyBorder="1"/>
    <xf numFmtId="0" fontId="0" fillId="11" borderId="1" xfId="0" applyFill="1" applyBorder="1" applyAlignment="1">
      <alignment horizontal="center" vertical="center"/>
    </xf>
    <xf numFmtId="0" fontId="0" fillId="19" borderId="1" xfId="0" applyFill="1" applyBorder="1" applyAlignment="1">
      <alignment horizontal="center" vertical="center" wrapText="1"/>
    </xf>
    <xf numFmtId="0" fontId="2" fillId="22" borderId="1" xfId="0" applyFont="1" applyFill="1" applyBorder="1" applyAlignment="1">
      <alignment horizontal="center" vertical="center" wrapText="1"/>
    </xf>
    <xf numFmtId="0" fontId="0" fillId="11" borderId="1" xfId="0" applyFill="1" applyBorder="1" applyAlignment="1">
      <alignment vertical="center" wrapText="1"/>
    </xf>
    <xf numFmtId="14" fontId="0" fillId="11" borderId="1" xfId="0" applyNumberFormat="1" applyFill="1" applyBorder="1" applyAlignment="1">
      <alignment horizontal="center" vertical="center" wrapText="1"/>
    </xf>
    <xf numFmtId="0" fontId="1" fillId="11" borderId="1" xfId="0" applyFont="1" applyFill="1" applyBorder="1" applyAlignment="1">
      <alignment horizontal="center" vertical="center" wrapText="1"/>
    </xf>
    <xf numFmtId="0" fontId="0" fillId="11" borderId="1" xfId="0" applyFill="1" applyBorder="1" applyAlignment="1">
      <alignment horizontal="left" vertical="center" wrapText="1"/>
    </xf>
    <xf numFmtId="0" fontId="0" fillId="11" borderId="1" xfId="0" applyFill="1" applyBorder="1" applyAlignment="1">
      <alignment horizontal="center" vertical="center" wrapText="1"/>
    </xf>
    <xf numFmtId="3" fontId="0" fillId="11" borderId="1" xfId="0" applyNumberFormat="1" applyFill="1" applyBorder="1" applyAlignment="1">
      <alignment horizontal="center" vertical="center" wrapText="1"/>
    </xf>
    <xf numFmtId="0" fontId="1" fillId="11" borderId="2" xfId="0" applyFont="1" applyFill="1" applyBorder="1" applyAlignment="1">
      <alignment horizontal="center" vertical="center" wrapText="1"/>
    </xf>
    <xf numFmtId="0" fontId="1" fillId="11" borderId="3" xfId="0" applyFont="1" applyFill="1" applyBorder="1" applyAlignment="1">
      <alignment horizontal="center" vertical="center" wrapText="1"/>
    </xf>
    <xf numFmtId="0" fontId="1" fillId="11" borderId="4" xfId="0" applyFont="1" applyFill="1" applyBorder="1" applyAlignment="1">
      <alignment horizontal="center" vertical="center" wrapText="1"/>
    </xf>
    <xf numFmtId="0" fontId="2" fillId="11" borderId="1" xfId="0" applyFont="1" applyFill="1" applyBorder="1" applyAlignment="1">
      <alignment horizontal="center" vertical="center" wrapText="1"/>
    </xf>
    <xf numFmtId="0" fontId="0" fillId="11" borderId="1" xfId="0" applyFill="1" applyBorder="1" applyAlignment="1">
      <alignment vertical="center" wrapText="1"/>
    </xf>
    <xf numFmtId="14" fontId="0" fillId="11" borderId="1" xfId="0" applyNumberFormat="1" applyFont="1" applyFill="1" applyBorder="1" applyAlignment="1">
      <alignment horizontal="center" vertical="center" wrapText="1"/>
    </xf>
    <xf numFmtId="0" fontId="0" fillId="11" borderId="1" xfId="0" applyFont="1" applyFill="1" applyBorder="1" applyAlignment="1">
      <alignment horizontal="center" vertical="center" wrapText="1"/>
    </xf>
    <xf numFmtId="3" fontId="0" fillId="11" borderId="1" xfId="0" applyNumberFormat="1" applyFont="1" applyFill="1" applyBorder="1" applyAlignment="1">
      <alignment horizontal="center" vertical="center" wrapText="1"/>
    </xf>
    <xf numFmtId="0" fontId="0" fillId="11" borderId="2" xfId="0" applyFill="1" applyBorder="1" applyAlignment="1">
      <alignment horizontal="center" vertical="center" wrapText="1"/>
    </xf>
    <xf numFmtId="0" fontId="0" fillId="11" borderId="4" xfId="0" applyFill="1" applyBorder="1" applyAlignment="1">
      <alignment horizontal="center" vertical="center" wrapText="1"/>
    </xf>
    <xf numFmtId="3" fontId="0" fillId="11" borderId="2" xfId="0" applyNumberFormat="1" applyFill="1" applyBorder="1" applyAlignment="1">
      <alignment horizontal="center" vertical="center" wrapText="1"/>
    </xf>
    <xf numFmtId="3" fontId="0" fillId="11" borderId="4" xfId="0" applyNumberFormat="1" applyFill="1" applyBorder="1" applyAlignment="1">
      <alignment horizontal="center" vertical="center" wrapText="1"/>
    </xf>
    <xf numFmtId="14" fontId="0" fillId="11" borderId="2" xfId="0" applyNumberFormat="1" applyFill="1" applyBorder="1" applyAlignment="1">
      <alignment horizontal="center" vertical="center" wrapText="1"/>
    </xf>
    <xf numFmtId="14" fontId="0" fillId="11" borderId="4" xfId="0" applyNumberFormat="1" applyFill="1" applyBorder="1" applyAlignment="1">
      <alignment horizontal="center" vertical="center" wrapText="1"/>
    </xf>
    <xf numFmtId="14" fontId="0" fillId="8" borderId="2" xfId="0" applyNumberFormat="1" applyFont="1" applyFill="1" applyBorder="1" applyAlignment="1">
      <alignment horizontal="center" vertical="center" wrapText="1"/>
    </xf>
    <xf numFmtId="14" fontId="0" fillId="8" borderId="4" xfId="0" applyNumberFormat="1" applyFont="1" applyFill="1" applyBorder="1" applyAlignment="1">
      <alignment horizontal="center" vertical="center" wrapText="1"/>
    </xf>
    <xf numFmtId="0" fontId="0" fillId="8" borderId="2" xfId="0" applyFont="1" applyFill="1" applyBorder="1" applyAlignment="1">
      <alignment horizontal="center" vertical="center" wrapText="1"/>
    </xf>
    <xf numFmtId="0" fontId="0" fillId="8" borderId="4" xfId="0" applyFont="1" applyFill="1" applyBorder="1" applyAlignment="1">
      <alignment horizontal="center" vertical="center" wrapText="1"/>
    </xf>
    <xf numFmtId="14" fontId="0" fillId="8" borderId="3" xfId="0" applyNumberFormat="1" applyFont="1" applyFill="1" applyBorder="1" applyAlignment="1">
      <alignment horizontal="center" vertical="center" wrapText="1"/>
    </xf>
    <xf numFmtId="0" fontId="0" fillId="8" borderId="3" xfId="0" applyFont="1" applyFill="1" applyBorder="1" applyAlignment="1">
      <alignment horizontal="center" vertical="center" wrapText="1"/>
    </xf>
    <xf numFmtId="166" fontId="0" fillId="8" borderId="2" xfId="0" applyNumberFormat="1" applyFont="1" applyFill="1" applyBorder="1" applyAlignment="1">
      <alignment horizontal="center" vertical="center" wrapText="1"/>
    </xf>
    <xf numFmtId="166" fontId="0" fillId="8" borderId="3" xfId="0" applyNumberFormat="1" applyFont="1" applyFill="1" applyBorder="1" applyAlignment="1">
      <alignment horizontal="center" vertical="center" wrapText="1"/>
    </xf>
    <xf numFmtId="166" fontId="0" fillId="8" borderId="4" xfId="0" applyNumberFormat="1" applyFont="1" applyFill="1" applyBorder="1" applyAlignment="1">
      <alignment horizontal="center" vertical="center" wrapText="1"/>
    </xf>
    <xf numFmtId="0" fontId="1" fillId="8" borderId="2" xfId="0" applyFont="1" applyFill="1" applyBorder="1" applyAlignment="1">
      <alignment horizontal="center" vertical="center" wrapText="1"/>
    </xf>
    <xf numFmtId="0" fontId="1" fillId="8" borderId="3" xfId="0" applyFont="1" applyFill="1" applyBorder="1" applyAlignment="1">
      <alignment horizontal="center" vertical="center" wrapText="1"/>
    </xf>
    <xf numFmtId="0" fontId="1" fillId="8" borderId="4" xfId="0" applyFont="1" applyFill="1" applyBorder="1" applyAlignment="1">
      <alignment horizontal="center" vertical="center" wrapText="1"/>
    </xf>
    <xf numFmtId="3" fontId="0" fillId="8" borderId="2" xfId="0" applyNumberFormat="1" applyFont="1" applyFill="1" applyBorder="1" applyAlignment="1">
      <alignment horizontal="center" vertical="center" wrapText="1"/>
    </xf>
    <xf numFmtId="3" fontId="0" fillId="8" borderId="3" xfId="0" applyNumberFormat="1" applyFont="1" applyFill="1" applyBorder="1" applyAlignment="1">
      <alignment horizontal="center" vertical="center" wrapText="1"/>
    </xf>
    <xf numFmtId="3" fontId="0" fillId="8" borderId="4" xfId="0" applyNumberFormat="1" applyFont="1" applyFill="1" applyBorder="1" applyAlignment="1">
      <alignment horizontal="center" vertical="center" wrapText="1"/>
    </xf>
    <xf numFmtId="0" fontId="1" fillId="13" borderId="2" xfId="0" applyFont="1" applyFill="1" applyBorder="1" applyAlignment="1">
      <alignment horizontal="center" vertical="center" wrapText="1"/>
    </xf>
    <xf numFmtId="0" fontId="1" fillId="13" borderId="3" xfId="0" applyFont="1" applyFill="1" applyBorder="1" applyAlignment="1">
      <alignment horizontal="center" vertical="center" wrapText="1"/>
    </xf>
    <xf numFmtId="0" fontId="1" fillId="13" borderId="4" xfId="0" applyFont="1" applyFill="1" applyBorder="1" applyAlignment="1">
      <alignment horizontal="center" vertical="center" wrapText="1"/>
    </xf>
    <xf numFmtId="167" fontId="10" fillId="13" borderId="2" xfId="0" applyNumberFormat="1" applyFont="1" applyFill="1" applyBorder="1" applyAlignment="1">
      <alignment horizontal="center" vertical="center" wrapText="1"/>
    </xf>
    <xf numFmtId="167" fontId="10" fillId="13" borderId="3" xfId="0" applyNumberFormat="1" applyFont="1" applyFill="1" applyBorder="1" applyAlignment="1">
      <alignment horizontal="center" vertical="center" wrapText="1"/>
    </xf>
    <xf numFmtId="167" fontId="10" fillId="13" borderId="4" xfId="0" applyNumberFormat="1" applyFont="1" applyFill="1" applyBorder="1" applyAlignment="1">
      <alignment horizontal="center" vertical="center" wrapText="1"/>
    </xf>
    <xf numFmtId="0" fontId="0" fillId="13" borderId="2" xfId="0" applyFont="1" applyFill="1" applyBorder="1" applyAlignment="1">
      <alignment horizontal="center" vertical="center" wrapText="1"/>
    </xf>
    <xf numFmtId="0" fontId="0" fillId="13" borderId="3" xfId="0" applyFont="1" applyFill="1" applyBorder="1" applyAlignment="1">
      <alignment horizontal="center" vertical="center" wrapText="1"/>
    </xf>
    <xf numFmtId="0" fontId="0" fillId="13" borderId="4" xfId="0" applyFont="1" applyFill="1" applyBorder="1" applyAlignment="1">
      <alignment horizontal="center" vertical="center" wrapText="1"/>
    </xf>
    <xf numFmtId="14" fontId="0" fillId="13" borderId="2" xfId="0" applyNumberFormat="1" applyFont="1" applyFill="1" applyBorder="1" applyAlignment="1">
      <alignment horizontal="center" vertical="center" wrapText="1"/>
    </xf>
    <xf numFmtId="14" fontId="0" fillId="13" borderId="3" xfId="0" applyNumberFormat="1" applyFont="1" applyFill="1" applyBorder="1" applyAlignment="1">
      <alignment horizontal="center" vertical="center" wrapText="1"/>
    </xf>
    <xf numFmtId="14" fontId="0" fillId="13" borderId="4" xfId="0" applyNumberFormat="1" applyFont="1" applyFill="1" applyBorder="1" applyAlignment="1">
      <alignment horizontal="center" vertical="center" wrapText="1"/>
    </xf>
    <xf numFmtId="3" fontId="0" fillId="13" borderId="2" xfId="0" applyNumberFormat="1" applyFont="1" applyFill="1" applyBorder="1" applyAlignment="1">
      <alignment horizontal="center" vertical="center" wrapText="1"/>
    </xf>
    <xf numFmtId="3" fontId="0" fillId="13" borderId="3" xfId="0" applyNumberFormat="1" applyFont="1" applyFill="1" applyBorder="1" applyAlignment="1">
      <alignment horizontal="center" vertical="center" wrapText="1"/>
    </xf>
    <xf numFmtId="3" fontId="0" fillId="13" borderId="4" xfId="0" applyNumberFormat="1" applyFont="1" applyFill="1" applyBorder="1" applyAlignment="1">
      <alignment horizontal="center" vertical="center" wrapText="1"/>
    </xf>
    <xf numFmtId="164" fontId="0" fillId="8" borderId="2" xfId="0" applyNumberFormat="1" applyFont="1" applyFill="1" applyBorder="1" applyAlignment="1">
      <alignment horizontal="center" vertical="center" wrapText="1"/>
    </xf>
    <xf numFmtId="164" fontId="0" fillId="8" borderId="4" xfId="0" applyNumberFormat="1" applyFont="1" applyFill="1" applyBorder="1" applyAlignment="1">
      <alignment horizontal="center" vertical="center" wrapText="1"/>
    </xf>
    <xf numFmtId="166" fontId="25" fillId="8" borderId="2" xfId="0" applyNumberFormat="1" applyFont="1" applyFill="1" applyBorder="1" applyAlignment="1">
      <alignment horizontal="center" vertical="center" wrapText="1"/>
    </xf>
    <xf numFmtId="3" fontId="0" fillId="8" borderId="2" xfId="0" applyNumberFormat="1" applyFont="1" applyFill="1" applyBorder="1" applyAlignment="1">
      <alignment horizontal="center" vertical="center"/>
    </xf>
    <xf numFmtId="3" fontId="0" fillId="8" borderId="4" xfId="0" applyNumberFormat="1" applyFont="1" applyFill="1" applyBorder="1" applyAlignment="1">
      <alignment horizontal="center" vertical="center"/>
    </xf>
    <xf numFmtId="0" fontId="4" fillId="2" borderId="1" xfId="0" applyFont="1" applyFill="1" applyBorder="1" applyAlignment="1">
      <alignment horizontal="center" wrapText="1"/>
    </xf>
    <xf numFmtId="14" fontId="0" fillId="14" borderId="1" xfId="0" applyNumberFormat="1" applyFill="1" applyBorder="1" applyAlignment="1">
      <alignment horizontal="center" vertical="center" wrapText="1"/>
    </xf>
    <xf numFmtId="14" fontId="0" fillId="14" borderId="1" xfId="0" applyNumberFormat="1" applyFont="1" applyFill="1" applyBorder="1" applyAlignment="1">
      <alignment horizontal="center" vertical="center" wrapText="1"/>
    </xf>
    <xf numFmtId="0" fontId="2" fillId="14" borderId="1" xfId="0" applyFont="1" applyFill="1" applyBorder="1" applyAlignment="1">
      <alignment horizontal="center" vertical="center" wrapText="1"/>
    </xf>
    <xf numFmtId="0" fontId="0" fillId="14" borderId="1" xfId="0" applyFill="1" applyBorder="1" applyAlignment="1">
      <alignment horizontal="center" vertical="center" wrapText="1"/>
    </xf>
    <xf numFmtId="14" fontId="0" fillId="14" borderId="1" xfId="0" applyNumberFormat="1" applyFill="1" applyBorder="1" applyAlignment="1">
      <alignment horizontal="center" vertical="center"/>
    </xf>
    <xf numFmtId="0" fontId="0" fillId="19" borderId="1" xfId="0" applyFill="1" applyBorder="1" applyAlignment="1">
      <alignment horizontal="center" vertical="center" wrapText="1"/>
    </xf>
    <xf numFmtId="0" fontId="4" fillId="3" borderId="1" xfId="0" applyFont="1" applyFill="1" applyBorder="1" applyAlignment="1">
      <alignment horizontal="center" vertical="center" wrapText="1"/>
    </xf>
    <xf numFmtId="0" fontId="0" fillId="3" borderId="1" xfId="0" applyFill="1" applyBorder="1" applyAlignment="1">
      <alignment horizontal="center" vertical="center" wrapText="1"/>
    </xf>
    <xf numFmtId="0" fontId="0" fillId="6" borderId="1" xfId="0" applyFill="1" applyBorder="1" applyAlignment="1">
      <alignment horizontal="center" vertical="center" wrapText="1"/>
    </xf>
    <xf numFmtId="0" fontId="4" fillId="19" borderId="1" xfId="0" applyFont="1" applyFill="1" applyBorder="1" applyAlignment="1">
      <alignment horizontal="center" vertical="center" wrapText="1"/>
    </xf>
    <xf numFmtId="0" fontId="0" fillId="2" borderId="1" xfId="0" applyFill="1" applyBorder="1" applyAlignment="1">
      <alignment horizontal="center" vertical="center" wrapText="1"/>
    </xf>
    <xf numFmtId="0" fontId="15" fillId="3" borderId="1" xfId="0" applyFont="1" applyFill="1" applyBorder="1" applyAlignment="1">
      <alignment horizontal="center" vertical="center" wrapText="1"/>
    </xf>
    <xf numFmtId="0" fontId="4" fillId="3" borderId="1" xfId="0" applyFont="1" applyFill="1" applyBorder="1" applyAlignment="1">
      <alignment horizontal="center" wrapText="1"/>
    </xf>
    <xf numFmtId="0" fontId="2" fillId="2" borderId="1" xfId="0" applyFont="1" applyFill="1" applyBorder="1" applyAlignment="1">
      <alignment horizontal="center" vertical="center" wrapText="1"/>
    </xf>
    <xf numFmtId="0" fontId="0" fillId="22" borderId="1" xfId="0" applyFill="1" applyBorder="1" applyAlignment="1">
      <alignment horizontal="center" vertical="center" wrapText="1"/>
    </xf>
    <xf numFmtId="0" fontId="1" fillId="3" borderId="1" xfId="0" applyFont="1" applyFill="1" applyBorder="1" applyAlignment="1">
      <alignment horizontal="center" vertical="center" wrapText="1"/>
    </xf>
    <xf numFmtId="0" fontId="0" fillId="2" borderId="1" xfId="0" applyFont="1" applyFill="1" applyBorder="1" applyAlignment="1">
      <alignment horizontal="center" wrapText="1"/>
    </xf>
    <xf numFmtId="0" fontId="0" fillId="14" borderId="1" xfId="0" applyFill="1" applyBorder="1" applyAlignment="1">
      <alignment horizontal="center" wrapText="1"/>
    </xf>
    <xf numFmtId="0" fontId="0" fillId="2" borderId="6" xfId="0" applyFill="1" applyBorder="1" applyAlignment="1">
      <alignment horizontal="center" wrapText="1"/>
    </xf>
    <xf numFmtId="0" fontId="0" fillId="2" borderId="5" xfId="0" applyFill="1" applyBorder="1" applyAlignment="1">
      <alignment horizontal="center" wrapText="1"/>
    </xf>
    <xf numFmtId="0" fontId="0" fillId="25" borderId="1" xfId="0" applyFill="1" applyBorder="1" applyAlignment="1">
      <alignment horizontal="center" vertical="center" wrapText="1"/>
    </xf>
    <xf numFmtId="0" fontId="0" fillId="5" borderId="1" xfId="0" applyFill="1" applyBorder="1" applyAlignment="1">
      <alignment horizontal="center" vertical="center" wrapText="1"/>
    </xf>
    <xf numFmtId="0" fontId="2" fillId="3" borderId="1" xfId="0" applyFont="1" applyFill="1" applyBorder="1" applyAlignment="1">
      <alignment horizontal="center" vertical="center" wrapText="1"/>
    </xf>
    <xf numFmtId="0" fontId="0" fillId="3" borderId="2" xfId="0" applyFill="1" applyBorder="1" applyAlignment="1">
      <alignment horizontal="center" vertical="center" wrapText="1"/>
    </xf>
    <xf numFmtId="0" fontId="0" fillId="3" borderId="4" xfId="0" applyFill="1" applyBorder="1" applyAlignment="1">
      <alignment horizontal="center" vertical="center" wrapText="1"/>
    </xf>
    <xf numFmtId="3" fontId="2" fillId="25" borderId="1" xfId="0" applyNumberFormat="1" applyFont="1" applyFill="1" applyBorder="1" applyAlignment="1">
      <alignment horizontal="center" vertical="center" wrapText="1"/>
    </xf>
    <xf numFmtId="0" fontId="2" fillId="25" borderId="1" xfId="0" applyFont="1" applyFill="1" applyBorder="1" applyAlignment="1">
      <alignment horizontal="center" vertical="center" wrapText="1"/>
    </xf>
    <xf numFmtId="0" fontId="0" fillId="5" borderId="1" xfId="0" applyFill="1" applyBorder="1" applyAlignment="1">
      <alignment horizontal="left" vertical="center" wrapText="1"/>
    </xf>
    <xf numFmtId="0" fontId="21" fillId="3" borderId="1" xfId="0" applyFont="1" applyFill="1" applyBorder="1" applyAlignment="1">
      <alignment horizontal="center" vertical="center" wrapText="1"/>
    </xf>
    <xf numFmtId="3" fontId="2" fillId="5" borderId="1" xfId="0" applyNumberFormat="1" applyFont="1" applyFill="1" applyBorder="1" applyAlignment="1">
      <alignment horizontal="center" vertical="center" wrapText="1"/>
    </xf>
    <xf numFmtId="14" fontId="0" fillId="19" borderId="1" xfId="0" applyNumberFormat="1" applyFill="1" applyBorder="1" applyAlignment="1">
      <alignment horizontal="center" vertical="center" wrapText="1"/>
    </xf>
    <xf numFmtId="3" fontId="2" fillId="3" borderId="1" xfId="0" applyNumberFormat="1" applyFont="1" applyFill="1" applyBorder="1" applyAlignment="1">
      <alignment horizontal="center" vertical="center" wrapText="1"/>
    </xf>
    <xf numFmtId="0" fontId="21" fillId="25" borderId="1" xfId="0" applyFont="1" applyFill="1" applyBorder="1" applyAlignment="1">
      <alignment horizontal="center" vertical="center" wrapText="1"/>
    </xf>
    <xf numFmtId="0" fontId="21" fillId="5" borderId="1" xfId="0" applyFont="1" applyFill="1" applyBorder="1" applyAlignment="1">
      <alignment horizontal="center" vertical="center" wrapText="1"/>
    </xf>
    <xf numFmtId="0" fontId="0" fillId="2" borderId="1" xfId="0" applyFill="1" applyBorder="1" applyAlignment="1">
      <alignment vertical="center" wrapText="1"/>
    </xf>
    <xf numFmtId="0" fontId="19" fillId="5" borderId="1" xfId="0" applyFont="1" applyFill="1" applyBorder="1" applyAlignment="1">
      <alignment horizontal="center" vertical="center" wrapText="1"/>
    </xf>
    <xf numFmtId="0" fontId="0" fillId="3" borderId="1" xfId="0" applyFill="1" applyBorder="1" applyAlignment="1">
      <alignment horizontal="left" vertical="center" wrapText="1"/>
    </xf>
    <xf numFmtId="0" fontId="23" fillId="5" borderId="1" xfId="0" applyFont="1" applyFill="1" applyBorder="1" applyAlignment="1">
      <alignment horizontal="center" vertical="center" textRotation="255" wrapText="1"/>
    </xf>
    <xf numFmtId="0" fontId="23" fillId="3" borderId="1" xfId="0" applyFont="1" applyFill="1" applyBorder="1" applyAlignment="1">
      <alignment horizontal="center" vertical="center" textRotation="255" wrapText="1"/>
    </xf>
    <xf numFmtId="0" fontId="19" fillId="5" borderId="1" xfId="0" applyFont="1" applyFill="1" applyBorder="1" applyAlignment="1">
      <alignment horizontal="center" vertical="center" textRotation="255" wrapText="1"/>
    </xf>
    <xf numFmtId="0" fontId="0" fillId="19" borderId="1" xfId="0" applyFill="1" applyBorder="1" applyAlignment="1">
      <alignment horizontal="left" vertical="center" wrapText="1"/>
    </xf>
    <xf numFmtId="3" fontId="2" fillId="19" borderId="1" xfId="0" applyNumberFormat="1" applyFont="1" applyFill="1" applyBorder="1" applyAlignment="1">
      <alignment horizontal="center" vertical="center" wrapText="1"/>
    </xf>
    <xf numFmtId="0" fontId="2" fillId="19"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4" fillId="3" borderId="2" xfId="0" applyFont="1" applyFill="1" applyBorder="1" applyAlignment="1">
      <alignment horizontal="center" wrapText="1"/>
    </xf>
    <xf numFmtId="0" fontId="4" fillId="3" borderId="3" xfId="0" applyFont="1" applyFill="1" applyBorder="1" applyAlignment="1">
      <alignment horizontal="center" wrapText="1"/>
    </xf>
    <xf numFmtId="0" fontId="4" fillId="3" borderId="4" xfId="0" applyFont="1" applyFill="1" applyBorder="1" applyAlignment="1">
      <alignment horizontal="center" wrapText="1"/>
    </xf>
    <xf numFmtId="0" fontId="0" fillId="3" borderId="3" xfId="0" applyFill="1" applyBorder="1" applyAlignment="1">
      <alignment horizontal="center" vertical="center" wrapText="1"/>
    </xf>
    <xf numFmtId="0" fontId="0" fillId="3" borderId="1" xfId="0" applyFill="1" applyBorder="1" applyAlignment="1">
      <alignment horizontal="center" wrapText="1"/>
    </xf>
    <xf numFmtId="0" fontId="1" fillId="3" borderId="1" xfId="0" applyFont="1" applyFill="1" applyBorder="1" applyAlignment="1">
      <alignment horizontal="center" wrapText="1"/>
    </xf>
    <xf numFmtId="0" fontId="4" fillId="19" borderId="1" xfId="0" applyFont="1" applyFill="1" applyBorder="1" applyAlignment="1">
      <alignment horizontal="center" wrapText="1"/>
    </xf>
    <xf numFmtId="0" fontId="0" fillId="22" borderId="1" xfId="0" applyFill="1" applyBorder="1" applyAlignment="1">
      <alignment horizontal="center" vertical="center"/>
    </xf>
    <xf numFmtId="14" fontId="0" fillId="6" borderId="1" xfId="0" applyNumberFormat="1" applyFill="1" applyBorder="1" applyAlignment="1">
      <alignment horizontal="center" vertical="center" wrapText="1"/>
    </xf>
    <xf numFmtId="0" fontId="3" fillId="5" borderId="1" xfId="0" applyFont="1" applyFill="1" applyBorder="1" applyAlignment="1">
      <alignment horizontal="center" vertical="center" wrapText="1"/>
    </xf>
    <xf numFmtId="0" fontId="6" fillId="3" borderId="1" xfId="0" applyFont="1" applyFill="1" applyBorder="1" applyAlignment="1">
      <alignment horizontal="center" vertical="center" textRotation="255" wrapText="1"/>
    </xf>
    <xf numFmtId="0" fontId="0" fillId="19" borderId="2" xfId="0" applyFill="1" applyBorder="1" applyAlignment="1">
      <alignment horizontal="left" vertical="center" wrapText="1"/>
    </xf>
    <xf numFmtId="0" fontId="0" fillId="19" borderId="3" xfId="0" applyFill="1" applyBorder="1" applyAlignment="1">
      <alignment horizontal="left" vertical="center" wrapText="1"/>
    </xf>
    <xf numFmtId="0" fontId="0" fillId="19" borderId="4" xfId="0" applyFill="1" applyBorder="1" applyAlignment="1">
      <alignment horizontal="left" vertical="center" wrapText="1"/>
    </xf>
    <xf numFmtId="0" fontId="0" fillId="19" borderId="2" xfId="0" applyFill="1" applyBorder="1" applyAlignment="1">
      <alignment horizontal="center" vertical="center" wrapText="1"/>
    </xf>
    <xf numFmtId="0" fontId="0" fillId="19" borderId="3" xfId="0" applyFill="1" applyBorder="1" applyAlignment="1">
      <alignment horizontal="center" vertical="center" wrapText="1"/>
    </xf>
    <xf numFmtId="0" fontId="0" fillId="19" borderId="4" xfId="0" applyFill="1" applyBorder="1" applyAlignment="1">
      <alignment horizontal="center" vertical="center" wrapText="1"/>
    </xf>
    <xf numFmtId="3" fontId="2" fillId="19" borderId="2" xfId="0" applyNumberFormat="1" applyFont="1" applyFill="1" applyBorder="1" applyAlignment="1">
      <alignment horizontal="center" vertical="center" wrapText="1"/>
    </xf>
    <xf numFmtId="3" fontId="2" fillId="19" borderId="3" xfId="0" applyNumberFormat="1" applyFont="1" applyFill="1" applyBorder="1" applyAlignment="1">
      <alignment horizontal="center" vertical="center" wrapText="1"/>
    </xf>
    <xf numFmtId="3" fontId="2" fillId="19" borderId="4" xfId="0" applyNumberFormat="1" applyFont="1" applyFill="1" applyBorder="1" applyAlignment="1">
      <alignment horizontal="center" vertical="center" wrapText="1"/>
    </xf>
    <xf numFmtId="0" fontId="21" fillId="5" borderId="1" xfId="0" applyFont="1" applyFill="1" applyBorder="1" applyAlignment="1">
      <alignment horizontal="center" vertical="center" textRotation="255" wrapText="1"/>
    </xf>
    <xf numFmtId="0" fontId="5" fillId="3" borderId="1" xfId="0" applyFont="1" applyFill="1" applyBorder="1" applyAlignment="1">
      <alignment horizontal="center" vertical="center" textRotation="255" wrapText="1"/>
    </xf>
    <xf numFmtId="3" fontId="2" fillId="3" borderId="2" xfId="0" applyNumberFormat="1" applyFont="1" applyFill="1" applyBorder="1" applyAlignment="1">
      <alignment horizontal="center" vertical="center" wrapText="1"/>
    </xf>
    <xf numFmtId="3" fontId="2" fillId="3" borderId="4" xfId="0" applyNumberFormat="1" applyFont="1" applyFill="1" applyBorder="1" applyAlignment="1">
      <alignment horizontal="center" vertical="center" wrapText="1"/>
    </xf>
    <xf numFmtId="0" fontId="4" fillId="3" borderId="2" xfId="0" applyFont="1" applyFill="1" applyBorder="1" applyAlignment="1">
      <alignment horizontal="center" vertical="center" wrapText="1"/>
    </xf>
    <xf numFmtId="0" fontId="4" fillId="3" borderId="4" xfId="0" applyFont="1" applyFill="1" applyBorder="1" applyAlignment="1">
      <alignment horizontal="center" vertical="center" wrapText="1"/>
    </xf>
    <xf numFmtId="14" fontId="0" fillId="2" borderId="1" xfId="0" applyNumberFormat="1" applyFont="1" applyFill="1" applyBorder="1" applyAlignment="1">
      <alignment horizontal="center" vertical="center" wrapText="1"/>
    </xf>
    <xf numFmtId="14" fontId="0" fillId="14" borderId="2" xfId="0" applyNumberFormat="1" applyFill="1" applyBorder="1" applyAlignment="1">
      <alignment horizontal="center" vertical="center" wrapText="1"/>
    </xf>
    <xf numFmtId="14" fontId="0" fillId="14" borderId="4" xfId="0" applyNumberFormat="1" applyFill="1" applyBorder="1" applyAlignment="1">
      <alignment horizontal="center" vertical="center" wrapText="1"/>
    </xf>
    <xf numFmtId="0" fontId="2" fillId="5" borderId="1" xfId="0" applyFont="1" applyFill="1" applyBorder="1" applyAlignment="1">
      <alignment horizontal="center" vertical="center" wrapText="1"/>
    </xf>
    <xf numFmtId="0" fontId="6" fillId="3" borderId="2" xfId="0" applyFont="1" applyFill="1" applyBorder="1" applyAlignment="1">
      <alignment horizontal="center" vertical="center" textRotation="255" wrapText="1"/>
    </xf>
    <xf numFmtId="0" fontId="6" fillId="3" borderId="3" xfId="0" applyFont="1" applyFill="1" applyBorder="1" applyAlignment="1">
      <alignment horizontal="center" vertical="center" textRotation="255" wrapText="1"/>
    </xf>
    <xf numFmtId="0" fontId="6" fillId="3" borderId="4" xfId="0" applyFont="1" applyFill="1" applyBorder="1" applyAlignment="1">
      <alignment horizontal="center" vertical="center" textRotation="255" wrapText="1"/>
    </xf>
    <xf numFmtId="3" fontId="2" fillId="2" borderId="1" xfId="0" applyNumberFormat="1" applyFont="1" applyFill="1" applyBorder="1" applyAlignment="1">
      <alignment horizontal="center" vertical="center" wrapText="1"/>
    </xf>
    <xf numFmtId="0" fontId="0" fillId="15" borderId="1" xfId="0" applyFill="1" applyBorder="1" applyAlignment="1">
      <alignment horizontal="center" vertical="center" wrapText="1"/>
    </xf>
    <xf numFmtId="0" fontId="2" fillId="15" borderId="1" xfId="0" applyFont="1" applyFill="1" applyBorder="1" applyAlignment="1">
      <alignment horizontal="center" vertical="center" wrapText="1"/>
    </xf>
    <xf numFmtId="0" fontId="0" fillId="14" borderId="1" xfId="0" applyFont="1" applyFill="1" applyBorder="1" applyAlignment="1">
      <alignment horizontal="center" vertical="center" wrapText="1"/>
    </xf>
    <xf numFmtId="3" fontId="2" fillId="15" borderId="1" xfId="0" applyNumberFormat="1" applyFont="1" applyFill="1" applyBorder="1" applyAlignment="1">
      <alignment horizontal="center" vertical="center" wrapText="1"/>
    </xf>
    <xf numFmtId="14" fontId="0" fillId="18" borderId="1" xfId="0" applyNumberFormat="1" applyFont="1" applyFill="1" applyBorder="1" applyAlignment="1">
      <alignment horizontal="center" vertical="center" wrapText="1"/>
    </xf>
    <xf numFmtId="0" fontId="0" fillId="18" borderId="1" xfId="0" applyFont="1" applyFill="1" applyBorder="1" applyAlignment="1">
      <alignment horizontal="center" vertical="center" wrapText="1"/>
    </xf>
    <xf numFmtId="0" fontId="0" fillId="15" borderId="1" xfId="0" applyFill="1" applyBorder="1" applyAlignment="1">
      <alignment vertical="center" wrapText="1"/>
    </xf>
    <xf numFmtId="0" fontId="3" fillId="15" borderId="1" xfId="0" applyFont="1" applyFill="1" applyBorder="1" applyAlignment="1">
      <alignment horizontal="center" vertical="center" wrapText="1"/>
    </xf>
    <xf numFmtId="0" fontId="4" fillId="15" borderId="1" xfId="0" applyFont="1" applyFill="1" applyBorder="1" applyAlignment="1">
      <alignment horizontal="center" vertical="center" wrapText="1"/>
    </xf>
    <xf numFmtId="0" fontId="0" fillId="14" borderId="6" xfId="0" applyFill="1" applyBorder="1" applyAlignment="1">
      <alignment horizontal="center" vertical="center" wrapText="1"/>
    </xf>
    <xf numFmtId="0" fontId="0" fillId="14" borderId="5" xfId="0" applyFill="1" applyBorder="1" applyAlignment="1">
      <alignment horizontal="center" vertical="center" wrapText="1"/>
    </xf>
    <xf numFmtId="14" fontId="0" fillId="6" borderId="1" xfId="0" applyNumberFormat="1" applyFont="1" applyFill="1" applyBorder="1" applyAlignment="1">
      <alignment horizontal="center" vertical="center" wrapText="1"/>
    </xf>
    <xf numFmtId="0" fontId="0" fillId="6" borderId="1" xfId="0" applyFont="1" applyFill="1" applyBorder="1" applyAlignment="1">
      <alignment horizontal="center" vertical="center" wrapText="1"/>
    </xf>
    <xf numFmtId="0" fontId="0" fillId="15" borderId="1" xfId="0" applyFill="1" applyBorder="1" applyAlignment="1">
      <alignment horizontal="left" vertical="center" wrapText="1"/>
    </xf>
    <xf numFmtId="0" fontId="0" fillId="15" borderId="1" xfId="0" applyFont="1" applyFill="1" applyBorder="1" applyAlignment="1">
      <alignment horizontal="center" vertical="center" wrapText="1"/>
    </xf>
    <xf numFmtId="0" fontId="0" fillId="2" borderId="6" xfId="0" applyFill="1" applyBorder="1" applyAlignment="1">
      <alignment horizontal="center" vertical="center" wrapText="1"/>
    </xf>
    <xf numFmtId="0" fontId="0" fillId="2" borderId="5" xfId="0" applyFill="1" applyBorder="1" applyAlignment="1">
      <alignment horizontal="center" vertical="center" wrapText="1"/>
    </xf>
    <xf numFmtId="0" fontId="0" fillId="15" borderId="2" xfId="0" applyFill="1" applyBorder="1" applyAlignment="1">
      <alignment horizontal="center" vertical="center" wrapText="1"/>
    </xf>
    <xf numFmtId="0" fontId="0" fillId="15" borderId="3" xfId="0" applyFill="1" applyBorder="1" applyAlignment="1">
      <alignment horizontal="center" vertical="center" wrapText="1"/>
    </xf>
    <xf numFmtId="0" fontId="0" fillId="15" borderId="4" xfId="0" applyFill="1" applyBorder="1" applyAlignment="1">
      <alignment horizontal="center" vertical="center" wrapText="1"/>
    </xf>
    <xf numFmtId="3" fontId="2" fillId="15" borderId="2" xfId="0" applyNumberFormat="1" applyFont="1" applyFill="1" applyBorder="1" applyAlignment="1">
      <alignment horizontal="center" vertical="center" wrapText="1"/>
    </xf>
    <xf numFmtId="3" fontId="2" fillId="15" borderId="3" xfId="0" applyNumberFormat="1" applyFont="1" applyFill="1" applyBorder="1" applyAlignment="1">
      <alignment horizontal="center" vertical="center" wrapText="1"/>
    </xf>
    <xf numFmtId="3" fontId="2" fillId="15" borderId="4" xfId="0" applyNumberFormat="1" applyFont="1" applyFill="1" applyBorder="1" applyAlignment="1">
      <alignment horizontal="center" vertical="center" wrapText="1"/>
    </xf>
    <xf numFmtId="14" fontId="0" fillId="14" borderId="3" xfId="0" applyNumberFormat="1" applyFill="1" applyBorder="1" applyAlignment="1">
      <alignment horizontal="center" vertical="center" wrapText="1"/>
    </xf>
    <xf numFmtId="0" fontId="0" fillId="14" borderId="2" xfId="0" applyFill="1" applyBorder="1" applyAlignment="1">
      <alignment horizontal="center" vertical="center" wrapText="1"/>
    </xf>
    <xf numFmtId="0" fontId="0" fillId="14" borderId="3" xfId="0" applyFill="1" applyBorder="1" applyAlignment="1">
      <alignment horizontal="center" vertical="center" wrapText="1"/>
    </xf>
    <xf numFmtId="0" fontId="0" fillId="14" borderId="4" xfId="0" applyFill="1" applyBorder="1" applyAlignment="1">
      <alignment horizontal="center" vertical="center" wrapText="1"/>
    </xf>
    <xf numFmtId="0" fontId="2" fillId="15" borderId="2" xfId="0" applyFont="1" applyFill="1" applyBorder="1" applyAlignment="1">
      <alignment horizontal="center" vertical="center" wrapText="1"/>
    </xf>
    <xf numFmtId="0" fontId="2" fillId="15" borderId="3" xfId="0" applyFont="1" applyFill="1" applyBorder="1" applyAlignment="1">
      <alignment horizontal="center" vertical="center" wrapText="1"/>
    </xf>
    <xf numFmtId="0" fontId="2" fillId="15" borderId="4" xfId="0" applyFont="1" applyFill="1" applyBorder="1" applyAlignment="1">
      <alignment horizontal="center" vertical="center" wrapText="1"/>
    </xf>
    <xf numFmtId="0" fontId="0" fillId="25" borderId="2" xfId="0" applyFill="1" applyBorder="1" applyAlignment="1">
      <alignment horizontal="center" vertical="center" wrapText="1"/>
    </xf>
    <xf numFmtId="0" fontId="0" fillId="25" borderId="4" xfId="0" applyFill="1" applyBorder="1" applyAlignment="1">
      <alignment horizontal="center" vertical="center" wrapText="1"/>
    </xf>
    <xf numFmtId="14" fontId="0" fillId="25" borderId="2" xfId="0" applyNumberFormat="1" applyFill="1" applyBorder="1" applyAlignment="1">
      <alignment horizontal="center" vertical="center" wrapText="1"/>
    </xf>
    <xf numFmtId="14" fontId="0" fillId="25" borderId="4" xfId="0" applyNumberFormat="1" applyFill="1" applyBorder="1" applyAlignment="1">
      <alignment horizontal="center" vertical="center" wrapText="1"/>
    </xf>
    <xf numFmtId="14" fontId="1" fillId="24" borderId="2" xfId="0" applyNumberFormat="1" applyFont="1" applyFill="1" applyBorder="1" applyAlignment="1">
      <alignment horizontal="center" vertical="center" wrapText="1"/>
    </xf>
    <xf numFmtId="14" fontId="1" fillId="24" borderId="4" xfId="0" applyNumberFormat="1" applyFont="1" applyFill="1" applyBorder="1" applyAlignment="1">
      <alignment horizontal="center" vertical="center" wrapText="1"/>
    </xf>
    <xf numFmtId="0" fontId="0" fillId="25" borderId="2" xfId="0" applyFont="1" applyFill="1" applyBorder="1" applyAlignment="1">
      <alignment horizontal="center" vertical="center" wrapText="1"/>
    </xf>
    <xf numFmtId="0" fontId="0" fillId="25" borderId="4" xfId="0" applyFont="1" applyFill="1" applyBorder="1" applyAlignment="1">
      <alignment horizontal="center" vertical="center" wrapText="1"/>
    </xf>
    <xf numFmtId="0" fontId="0" fillId="25" borderId="3" xfId="0" applyFont="1" applyFill="1" applyBorder="1" applyAlignment="1">
      <alignment horizontal="center" vertical="center" wrapText="1"/>
    </xf>
    <xf numFmtId="14" fontId="0" fillId="25" borderId="2" xfId="0" applyNumberFormat="1" applyFont="1" applyFill="1" applyBorder="1" applyAlignment="1">
      <alignment horizontal="center" vertical="center" wrapText="1"/>
    </xf>
    <xf numFmtId="14" fontId="0" fillId="25" borderId="3" xfId="0" applyNumberFormat="1" applyFont="1" applyFill="1" applyBorder="1" applyAlignment="1">
      <alignment horizontal="center" vertical="center" wrapText="1"/>
    </xf>
    <xf numFmtId="14" fontId="0" fillId="25" borderId="4" xfId="0" applyNumberFormat="1" applyFont="1" applyFill="1" applyBorder="1" applyAlignment="1">
      <alignment horizontal="center" vertical="center" wrapText="1"/>
    </xf>
    <xf numFmtId="0" fontId="1" fillId="25" borderId="2" xfId="0" applyFont="1" applyFill="1" applyBorder="1" applyAlignment="1">
      <alignment horizontal="center" vertical="center" wrapText="1"/>
    </xf>
    <xf numFmtId="0" fontId="1" fillId="25" borderId="3" xfId="0" applyFont="1" applyFill="1" applyBorder="1" applyAlignment="1">
      <alignment horizontal="center" vertical="center" wrapText="1"/>
    </xf>
    <xf numFmtId="0" fontId="1" fillId="25" borderId="4" xfId="0" applyFont="1" applyFill="1" applyBorder="1" applyAlignment="1">
      <alignment horizontal="center" vertical="center" wrapText="1"/>
    </xf>
    <xf numFmtId="0" fontId="0" fillId="7" borderId="2" xfId="0" applyFill="1" applyBorder="1" applyAlignment="1">
      <alignment horizontal="center" vertical="center" wrapText="1"/>
    </xf>
    <xf numFmtId="0" fontId="0" fillId="7" borderId="3" xfId="0" applyFill="1" applyBorder="1" applyAlignment="1">
      <alignment horizontal="center" vertical="center" wrapText="1"/>
    </xf>
    <xf numFmtId="0" fontId="0" fillId="7" borderId="4" xfId="0" applyFill="1" applyBorder="1" applyAlignment="1">
      <alignment horizontal="center" vertical="center" wrapText="1"/>
    </xf>
    <xf numFmtId="14" fontId="1" fillId="24" borderId="3" xfId="0" applyNumberFormat="1" applyFont="1" applyFill="1" applyBorder="1" applyAlignment="1">
      <alignment horizontal="center" vertical="center" wrapText="1"/>
    </xf>
    <xf numFmtId="0" fontId="0" fillId="25" borderId="3" xfId="0" applyFill="1" applyBorder="1" applyAlignment="1">
      <alignment horizontal="center" vertical="center" wrapText="1"/>
    </xf>
    <xf numFmtId="3" fontId="0" fillId="25" borderId="2" xfId="0" applyNumberFormat="1" applyFill="1" applyBorder="1" applyAlignment="1">
      <alignment horizontal="center" vertical="center" wrapText="1"/>
    </xf>
    <xf numFmtId="3" fontId="0" fillId="25" borderId="3" xfId="0" applyNumberFormat="1" applyFill="1" applyBorder="1" applyAlignment="1">
      <alignment horizontal="center" vertical="center" wrapText="1"/>
    </xf>
    <xf numFmtId="3" fontId="0" fillId="25" borderId="4" xfId="0" applyNumberFormat="1" applyFill="1" applyBorder="1" applyAlignment="1">
      <alignment horizontal="center" vertical="center" wrapText="1"/>
    </xf>
    <xf numFmtId="0" fontId="3" fillId="25" borderId="2" xfId="0" applyFont="1" applyFill="1" applyBorder="1" applyAlignment="1">
      <alignment horizontal="center" vertical="center" wrapText="1"/>
    </xf>
    <xf numFmtId="0" fontId="3" fillId="25" borderId="3" xfId="0" applyFont="1" applyFill="1" applyBorder="1" applyAlignment="1">
      <alignment horizontal="center" vertical="center" wrapText="1"/>
    </xf>
    <xf numFmtId="0" fontId="3" fillId="25" borderId="4" xfId="0" applyFont="1" applyFill="1" applyBorder="1" applyAlignment="1">
      <alignment horizontal="center" vertical="center" wrapText="1"/>
    </xf>
    <xf numFmtId="14" fontId="0" fillId="25" borderId="3" xfId="0" applyNumberFormat="1" applyFill="1" applyBorder="1" applyAlignment="1">
      <alignment horizontal="center" vertical="center" wrapText="1"/>
    </xf>
    <xf numFmtId="1" fontId="0" fillId="25" borderId="2" xfId="0" applyNumberFormat="1" applyFont="1" applyFill="1" applyBorder="1" applyAlignment="1">
      <alignment horizontal="center" vertical="center" wrapText="1"/>
    </xf>
    <xf numFmtId="1" fontId="0" fillId="25" borderId="4" xfId="0" applyNumberFormat="1" applyFont="1" applyFill="1" applyBorder="1" applyAlignment="1">
      <alignment horizontal="center" vertical="center" wrapText="1"/>
    </xf>
    <xf numFmtId="0" fontId="0" fillId="7" borderId="2" xfId="0" applyFont="1" applyFill="1" applyBorder="1" applyAlignment="1">
      <alignment horizontal="center" vertical="center" wrapText="1"/>
    </xf>
    <xf numFmtId="0" fontId="0" fillId="7" borderId="4" xfId="0" applyFont="1" applyFill="1" applyBorder="1" applyAlignment="1">
      <alignment horizontal="center" vertical="center" wrapText="1"/>
    </xf>
    <xf numFmtId="3" fontId="0" fillId="25" borderId="2" xfId="0" applyNumberFormat="1" applyFont="1" applyFill="1" applyBorder="1" applyAlignment="1">
      <alignment horizontal="center" vertical="center" wrapText="1"/>
    </xf>
    <xf numFmtId="3" fontId="0" fillId="25" borderId="4" xfId="0" applyNumberFormat="1" applyFont="1" applyFill="1" applyBorder="1" applyAlignment="1">
      <alignment horizontal="center" vertical="center" wrapText="1"/>
    </xf>
    <xf numFmtId="166" fontId="0" fillId="25" borderId="2" xfId="0" applyNumberFormat="1" applyFont="1" applyFill="1" applyBorder="1" applyAlignment="1">
      <alignment horizontal="center" vertical="center" wrapText="1"/>
    </xf>
    <xf numFmtId="166" fontId="0" fillId="25" borderId="4" xfId="0" applyNumberFormat="1" applyFont="1" applyFill="1" applyBorder="1" applyAlignment="1">
      <alignment horizontal="center" vertical="center" wrapText="1"/>
    </xf>
    <xf numFmtId="0" fontId="1" fillId="7" borderId="2" xfId="0" applyFont="1" applyFill="1" applyBorder="1" applyAlignment="1">
      <alignment horizontal="center" vertical="center" wrapText="1"/>
    </xf>
    <xf numFmtId="0" fontId="1" fillId="7" borderId="4" xfId="0" applyFont="1" applyFill="1" applyBorder="1" applyAlignment="1">
      <alignment horizontal="center" vertical="center" wrapText="1"/>
    </xf>
    <xf numFmtId="0" fontId="0" fillId="7" borderId="2" xfId="0" applyFill="1" applyBorder="1" applyAlignment="1">
      <alignment horizontal="center" vertical="center"/>
    </xf>
    <xf numFmtId="0" fontId="0" fillId="7" borderId="4" xfId="0" applyFill="1" applyBorder="1" applyAlignment="1">
      <alignment horizontal="center" vertical="center"/>
    </xf>
    <xf numFmtId="1" fontId="1" fillId="7" borderId="2" xfId="0" applyNumberFormat="1" applyFont="1" applyFill="1" applyBorder="1" applyAlignment="1">
      <alignment horizontal="center" vertical="center" wrapText="1"/>
    </xf>
    <xf numFmtId="1" fontId="1" fillId="7" borderId="4" xfId="0" applyNumberFormat="1" applyFont="1" applyFill="1" applyBorder="1" applyAlignment="1">
      <alignment horizontal="center" vertical="center" wrapText="1"/>
    </xf>
    <xf numFmtId="0" fontId="3" fillId="7" borderId="2" xfId="0" applyFont="1" applyFill="1" applyBorder="1" applyAlignment="1">
      <alignment horizontal="center" vertical="center" wrapText="1"/>
    </xf>
    <xf numFmtId="0" fontId="3" fillId="7" borderId="4" xfId="0" applyFont="1" applyFill="1" applyBorder="1" applyAlignment="1">
      <alignment horizontal="center" vertical="center" wrapText="1"/>
    </xf>
    <xf numFmtId="3" fontId="0" fillId="7" borderId="2" xfId="0" applyNumberFormat="1" applyFill="1" applyBorder="1" applyAlignment="1">
      <alignment horizontal="center" vertical="center" wrapText="1"/>
    </xf>
    <xf numFmtId="3" fontId="0" fillId="7" borderId="4" xfId="0" applyNumberFormat="1" applyFill="1" applyBorder="1" applyAlignment="1">
      <alignment horizontal="center" vertical="center" wrapText="1"/>
    </xf>
    <xf numFmtId="0" fontId="0" fillId="10" borderId="2" xfId="0" applyFill="1" applyBorder="1" applyAlignment="1">
      <alignment horizontal="center" vertical="center" wrapText="1"/>
    </xf>
    <xf numFmtId="0" fontId="0" fillId="10" borderId="4" xfId="0" applyFill="1" applyBorder="1" applyAlignment="1">
      <alignment horizontal="center" vertical="center" wrapText="1"/>
    </xf>
    <xf numFmtId="3" fontId="0" fillId="10" borderId="2" xfId="0" applyNumberFormat="1" applyFill="1" applyBorder="1" applyAlignment="1">
      <alignment horizontal="center" vertical="center" wrapText="1"/>
    </xf>
    <xf numFmtId="3" fontId="0" fillId="10" borderId="4" xfId="0" applyNumberFormat="1" applyFill="1" applyBorder="1" applyAlignment="1">
      <alignment horizontal="center" vertical="center" wrapText="1"/>
    </xf>
    <xf numFmtId="0" fontId="3" fillId="10" borderId="2" xfId="0" applyFont="1" applyFill="1" applyBorder="1" applyAlignment="1">
      <alignment horizontal="center" vertical="center" wrapText="1"/>
    </xf>
    <xf numFmtId="0" fontId="3" fillId="10" borderId="4" xfId="0" applyFont="1" applyFill="1" applyBorder="1" applyAlignment="1">
      <alignment horizontal="center" vertical="center" wrapText="1"/>
    </xf>
    <xf numFmtId="0" fontId="2" fillId="10" borderId="2" xfId="0" applyFont="1" applyFill="1" applyBorder="1" applyAlignment="1">
      <alignment horizontal="center" vertical="center" wrapText="1"/>
    </xf>
    <xf numFmtId="0" fontId="2" fillId="10" borderId="4" xfId="0" applyFont="1" applyFill="1" applyBorder="1" applyAlignment="1">
      <alignment horizontal="center" vertical="center" wrapText="1"/>
    </xf>
    <xf numFmtId="1" fontId="1" fillId="12" borderId="2" xfId="0" applyNumberFormat="1" applyFont="1" applyFill="1" applyBorder="1" applyAlignment="1">
      <alignment horizontal="center" vertical="center" wrapText="1"/>
    </xf>
    <xf numFmtId="1" fontId="1" fillId="12" borderId="4" xfId="0" applyNumberFormat="1" applyFont="1" applyFill="1" applyBorder="1" applyAlignment="1">
      <alignment horizontal="center" vertical="center" wrapText="1"/>
    </xf>
    <xf numFmtId="0" fontId="2" fillId="10" borderId="3" xfId="0" applyFont="1" applyFill="1" applyBorder="1" applyAlignment="1">
      <alignment horizontal="center" vertical="center" wrapText="1"/>
    </xf>
    <xf numFmtId="0" fontId="3" fillId="10" borderId="5" xfId="0" applyFont="1" applyFill="1" applyBorder="1" applyAlignment="1">
      <alignment horizontal="center" vertical="center"/>
    </xf>
    <xf numFmtId="0" fontId="3" fillId="10" borderId="5" xfId="0" applyFont="1" applyFill="1" applyBorder="1" applyAlignment="1">
      <alignment horizontal="center" vertical="center" wrapText="1"/>
    </xf>
    <xf numFmtId="0" fontId="2" fillId="10" borderId="2" xfId="0" applyNumberFormat="1" applyFont="1" applyFill="1" applyBorder="1" applyAlignment="1">
      <alignment horizontal="center" vertical="center" wrapText="1"/>
    </xf>
    <xf numFmtId="0" fontId="2" fillId="10" borderId="3" xfId="0" applyNumberFormat="1" applyFont="1" applyFill="1" applyBorder="1" applyAlignment="1">
      <alignment horizontal="center" vertical="center" wrapText="1"/>
    </xf>
    <xf numFmtId="0" fontId="2" fillId="10" borderId="4" xfId="0" applyNumberFormat="1" applyFont="1" applyFill="1" applyBorder="1" applyAlignment="1">
      <alignment horizontal="center" vertical="center" wrapText="1"/>
    </xf>
    <xf numFmtId="1" fontId="2" fillId="10" borderId="2" xfId="0" applyNumberFormat="1" applyFont="1" applyFill="1" applyBorder="1" applyAlignment="1">
      <alignment horizontal="center" vertical="center" wrapText="1"/>
    </xf>
    <xf numFmtId="1" fontId="2" fillId="10" borderId="4" xfId="0" applyNumberFormat="1" applyFont="1" applyFill="1" applyBorder="1" applyAlignment="1">
      <alignment horizontal="center" vertical="center" wrapText="1"/>
    </xf>
    <xf numFmtId="0" fontId="2" fillId="10" borderId="2" xfId="1" applyNumberFormat="1" applyFont="1" applyFill="1" applyBorder="1" applyAlignment="1">
      <alignment horizontal="center" vertical="center" wrapText="1"/>
    </xf>
    <xf numFmtId="0" fontId="2" fillId="10" borderId="3" xfId="1" applyNumberFormat="1" applyFont="1" applyFill="1" applyBorder="1" applyAlignment="1">
      <alignment horizontal="center" vertical="center" wrapText="1"/>
    </xf>
    <xf numFmtId="0" fontId="2" fillId="10" borderId="4" xfId="1" applyNumberFormat="1" applyFont="1" applyFill="1" applyBorder="1" applyAlignment="1">
      <alignment horizontal="center" vertical="center" wrapText="1"/>
    </xf>
    <xf numFmtId="0" fontId="0" fillId="10" borderId="1" xfId="0" applyFill="1" applyBorder="1" applyAlignment="1">
      <alignment horizontal="center" vertical="center" wrapText="1"/>
    </xf>
    <xf numFmtId="0" fontId="0" fillId="10" borderId="20" xfId="0" applyFill="1" applyBorder="1" applyAlignment="1">
      <alignment horizontal="center" vertical="center" wrapText="1"/>
    </xf>
    <xf numFmtId="1" fontId="1" fillId="12" borderId="8" xfId="0" applyNumberFormat="1" applyFont="1" applyFill="1" applyBorder="1" applyAlignment="1">
      <alignment horizontal="center" vertical="center" wrapText="1"/>
    </xf>
    <xf numFmtId="0" fontId="0" fillId="10" borderId="3" xfId="0" applyFill="1" applyBorder="1" applyAlignment="1">
      <alignment horizontal="center" vertical="center" wrapText="1"/>
    </xf>
    <xf numFmtId="1" fontId="1" fillId="12" borderId="3" xfId="0" applyNumberFormat="1" applyFont="1" applyFill="1" applyBorder="1" applyAlignment="1">
      <alignment horizontal="center" vertical="center" wrapText="1"/>
    </xf>
    <xf numFmtId="0" fontId="3" fillId="10" borderId="20" xfId="0" applyFont="1" applyFill="1" applyBorder="1" applyAlignment="1">
      <alignment horizontal="center" vertical="center" wrapText="1"/>
    </xf>
    <xf numFmtId="0" fontId="3" fillId="10" borderId="22" xfId="0" applyFont="1" applyFill="1" applyBorder="1" applyAlignment="1">
      <alignment horizontal="center" vertical="center" wrapText="1"/>
    </xf>
    <xf numFmtId="0" fontId="3" fillId="10" borderId="1" xfId="0" applyFont="1" applyFill="1" applyBorder="1" applyAlignment="1">
      <alignment horizontal="center" vertical="center" wrapText="1"/>
    </xf>
    <xf numFmtId="1" fontId="44" fillId="10" borderId="2" xfId="0" applyNumberFormat="1" applyFont="1" applyFill="1" applyBorder="1" applyAlignment="1">
      <alignment horizontal="center" vertical="center" wrapText="1"/>
    </xf>
    <xf numFmtId="1" fontId="0" fillId="10" borderId="3" xfId="0" applyNumberFormat="1" applyFill="1" applyBorder="1" applyAlignment="1">
      <alignment horizontal="center" vertical="center" wrapText="1"/>
    </xf>
    <xf numFmtId="0" fontId="0" fillId="10" borderId="9" xfId="0" applyFill="1" applyBorder="1" applyAlignment="1">
      <alignment horizontal="center" vertical="center" wrapText="1"/>
    </xf>
    <xf numFmtId="0" fontId="0" fillId="10" borderId="7" xfId="0" applyFill="1" applyBorder="1" applyAlignment="1">
      <alignment horizontal="center" vertical="center" wrapText="1"/>
    </xf>
    <xf numFmtId="0" fontId="0" fillId="10" borderId="14" xfId="0" applyFill="1" applyBorder="1" applyAlignment="1">
      <alignment horizontal="center" vertical="center" wrapText="1"/>
    </xf>
    <xf numFmtId="3" fontId="0" fillId="10" borderId="3" xfId="0" applyNumberFormat="1" applyFill="1" applyBorder="1" applyAlignment="1">
      <alignment horizontal="center" vertical="center" wrapText="1"/>
    </xf>
    <xf numFmtId="0" fontId="3" fillId="10" borderId="8" xfId="0" applyFont="1" applyFill="1" applyBorder="1" applyAlignment="1">
      <alignment horizontal="center" vertical="center" wrapText="1"/>
    </xf>
    <xf numFmtId="1" fontId="1" fillId="12" borderId="1" xfId="0" applyNumberFormat="1" applyFont="1" applyFill="1" applyBorder="1" applyAlignment="1">
      <alignment horizontal="center" vertical="center" wrapText="1"/>
    </xf>
    <xf numFmtId="1" fontId="1" fillId="12" borderId="5" xfId="0" applyNumberFormat="1" applyFont="1" applyFill="1" applyBorder="1" applyAlignment="1">
      <alignment horizontal="center" vertical="center" wrapText="1"/>
    </xf>
    <xf numFmtId="14" fontId="0" fillId="10" borderId="2" xfId="0" applyNumberFormat="1" applyFill="1" applyBorder="1" applyAlignment="1">
      <alignment horizontal="center" vertical="center" wrapText="1"/>
    </xf>
    <xf numFmtId="14" fontId="0" fillId="10" borderId="4" xfId="0" applyNumberFormat="1" applyFill="1" applyBorder="1" applyAlignment="1">
      <alignment horizontal="center" vertical="center" wrapText="1"/>
    </xf>
    <xf numFmtId="0" fontId="0" fillId="10" borderId="5" xfId="0" applyFill="1" applyBorder="1" applyAlignment="1">
      <alignment horizontal="center" vertical="center" wrapText="1"/>
    </xf>
    <xf numFmtId="0" fontId="0" fillId="10" borderId="8" xfId="0" applyFill="1" applyBorder="1" applyAlignment="1">
      <alignment horizontal="center" vertical="center" wrapText="1"/>
    </xf>
    <xf numFmtId="14" fontId="0" fillId="2" borderId="2" xfId="0" applyNumberFormat="1" applyFill="1" applyBorder="1" applyAlignment="1">
      <alignment horizontal="center" vertical="center" wrapText="1"/>
    </xf>
    <xf numFmtId="14" fontId="0" fillId="2" borderId="3" xfId="0" applyNumberFormat="1" applyFill="1" applyBorder="1" applyAlignment="1">
      <alignment horizontal="center" vertical="center" wrapText="1"/>
    </xf>
    <xf numFmtId="14" fontId="0" fillId="2" borderId="4" xfId="0" applyNumberFormat="1" applyFill="1" applyBorder="1" applyAlignment="1">
      <alignment horizontal="center" vertical="center" wrapText="1"/>
    </xf>
    <xf numFmtId="14" fontId="0" fillId="10" borderId="1" xfId="0" applyNumberFormat="1" applyFill="1" applyBorder="1" applyAlignment="1">
      <alignment horizontal="center" vertical="center" wrapText="1"/>
    </xf>
    <xf numFmtId="14" fontId="0" fillId="10" borderId="3" xfId="0" applyNumberFormat="1" applyFill="1" applyBorder="1" applyAlignment="1">
      <alignment horizontal="center" vertical="center" wrapText="1"/>
    </xf>
    <xf numFmtId="0" fontId="0" fillId="10" borderId="6" xfId="0" applyFill="1" applyBorder="1" applyAlignment="1">
      <alignment horizontal="center" vertical="center" wrapText="1"/>
    </xf>
    <xf numFmtId="0" fontId="1" fillId="10" borderId="2" xfId="0" applyFont="1" applyFill="1" applyBorder="1" applyAlignment="1">
      <alignment horizontal="center" vertical="center" wrapText="1"/>
    </xf>
    <xf numFmtId="0" fontId="1" fillId="10" borderId="4" xfId="0" applyFont="1" applyFill="1" applyBorder="1" applyAlignment="1">
      <alignment horizontal="center" vertical="center" wrapText="1"/>
    </xf>
    <xf numFmtId="0" fontId="0" fillId="10" borderId="2" xfId="0" applyFill="1" applyBorder="1" applyAlignment="1">
      <alignment vertical="center" wrapText="1"/>
    </xf>
    <xf numFmtId="0" fontId="0" fillId="10" borderId="4" xfId="0" applyFill="1" applyBorder="1" applyAlignment="1">
      <alignment vertical="center" wrapText="1"/>
    </xf>
    <xf numFmtId="0" fontId="1" fillId="10" borderId="3" xfId="0" applyFont="1" applyFill="1" applyBorder="1" applyAlignment="1">
      <alignment horizontal="center" vertical="center" wrapText="1"/>
    </xf>
    <xf numFmtId="0" fontId="1" fillId="10" borderId="1" xfId="0" applyFont="1" applyFill="1" applyBorder="1" applyAlignment="1">
      <alignment horizontal="center" vertical="center" wrapText="1"/>
    </xf>
    <xf numFmtId="0" fontId="0" fillId="10" borderId="1" xfId="0" applyFont="1" applyFill="1" applyBorder="1" applyAlignment="1">
      <alignment horizontal="center" vertical="center" wrapText="1"/>
    </xf>
    <xf numFmtId="3" fontId="0" fillId="10" borderId="1" xfId="0" applyNumberFormat="1" applyFont="1" applyFill="1" applyBorder="1" applyAlignment="1">
      <alignment horizontal="center" vertical="center" wrapText="1"/>
    </xf>
    <xf numFmtId="0" fontId="0" fillId="10" borderId="6" xfId="0" applyFont="1" applyFill="1" applyBorder="1" applyAlignment="1">
      <alignment horizontal="center" vertical="center" wrapText="1"/>
    </xf>
    <xf numFmtId="0" fontId="0" fillId="10" borderId="5" xfId="0" applyFont="1" applyFill="1" applyBorder="1" applyAlignment="1">
      <alignment horizontal="center" vertical="center" wrapText="1"/>
    </xf>
    <xf numFmtId="3" fontId="0" fillId="10" borderId="1" xfId="0" applyNumberFormat="1" applyFill="1" applyBorder="1" applyAlignment="1">
      <alignment horizontal="center" vertical="center" wrapText="1"/>
    </xf>
    <xf numFmtId="0" fontId="0" fillId="10" borderId="1" xfId="0" applyFill="1" applyBorder="1" applyAlignment="1">
      <alignment horizontal="left" vertical="center" wrapText="1"/>
    </xf>
    <xf numFmtId="14" fontId="2" fillId="21" borderId="1" xfId="0" applyNumberFormat="1" applyFont="1" applyFill="1" applyBorder="1" applyAlignment="1">
      <alignment horizontal="center" vertical="center" wrapText="1"/>
    </xf>
    <xf numFmtId="14" fontId="2" fillId="10" borderId="1" xfId="0" applyNumberFormat="1" applyFont="1" applyFill="1" applyBorder="1" applyAlignment="1">
      <alignment horizontal="center" vertical="center" wrapText="1"/>
    </xf>
    <xf numFmtId="0" fontId="3" fillId="2" borderId="20" xfId="0" applyFont="1" applyFill="1" applyBorder="1" applyAlignment="1">
      <alignment horizontal="center" vertical="center" wrapText="1"/>
    </xf>
    <xf numFmtId="0" fontId="3" fillId="2" borderId="22" xfId="0" applyFont="1" applyFill="1" applyBorder="1" applyAlignment="1">
      <alignment horizontal="center" vertical="center" wrapText="1"/>
    </xf>
    <xf numFmtId="0" fontId="3" fillId="2" borderId="8"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0" fillId="2" borderId="2" xfId="0" applyFill="1" applyBorder="1" applyAlignment="1">
      <alignment horizontal="center" vertical="center" wrapText="1"/>
    </xf>
    <xf numFmtId="0" fontId="0" fillId="2" borderId="3" xfId="0" applyFill="1" applyBorder="1" applyAlignment="1">
      <alignment horizontal="center" vertical="center" wrapText="1"/>
    </xf>
    <xf numFmtId="0" fontId="0" fillId="2" borderId="4" xfId="0" applyFill="1" applyBorder="1" applyAlignment="1">
      <alignment horizontal="center" vertical="center" wrapText="1"/>
    </xf>
    <xf numFmtId="3" fontId="0" fillId="2" borderId="2" xfId="0" applyNumberFormat="1" applyFill="1" applyBorder="1" applyAlignment="1">
      <alignment horizontal="center" vertical="center" wrapText="1"/>
    </xf>
    <xf numFmtId="3" fontId="0" fillId="2" borderId="3" xfId="0" applyNumberFormat="1" applyFill="1" applyBorder="1" applyAlignment="1">
      <alignment horizontal="center" vertical="center" wrapText="1"/>
    </xf>
    <xf numFmtId="3" fontId="0" fillId="2" borderId="4" xfId="0" applyNumberFormat="1" applyFill="1" applyBorder="1" applyAlignment="1">
      <alignment horizontal="center" vertical="center" wrapText="1"/>
    </xf>
    <xf numFmtId="0" fontId="0" fillId="2" borderId="9" xfId="0" applyFill="1" applyBorder="1" applyAlignment="1">
      <alignment horizontal="center" vertical="center" wrapText="1"/>
    </xf>
    <xf numFmtId="0" fontId="0" fillId="2" borderId="7" xfId="0" applyFill="1" applyBorder="1" applyAlignment="1">
      <alignment horizontal="center" vertical="center" wrapText="1"/>
    </xf>
    <xf numFmtId="0" fontId="0" fillId="2" borderId="14" xfId="0" applyFill="1" applyBorder="1" applyAlignment="1">
      <alignment horizontal="center" vertical="center" wrapText="1"/>
    </xf>
    <xf numFmtId="1" fontId="1" fillId="12" borderId="1" xfId="0" applyNumberFormat="1" applyFont="1" applyFill="1" applyBorder="1" applyAlignment="1">
      <alignment horizontal="center" vertical="center"/>
    </xf>
    <xf numFmtId="166" fontId="12" fillId="10" borderId="1" xfId="0" applyNumberFormat="1" applyFont="1" applyFill="1" applyBorder="1" applyAlignment="1">
      <alignment horizontal="center" vertical="center" wrapText="1"/>
    </xf>
    <xf numFmtId="0" fontId="0" fillId="10" borderId="2" xfId="0" applyFont="1" applyFill="1" applyBorder="1" applyAlignment="1">
      <alignment horizontal="center" vertical="center" wrapText="1"/>
    </xf>
    <xf numFmtId="0" fontId="0" fillId="10" borderId="3" xfId="0" applyFont="1" applyFill="1" applyBorder="1" applyAlignment="1">
      <alignment horizontal="center" vertical="center" wrapText="1"/>
    </xf>
    <xf numFmtId="0" fontId="0" fillId="10" borderId="4" xfId="0" applyFont="1" applyFill="1" applyBorder="1" applyAlignment="1">
      <alignment horizontal="center" vertical="center" wrapText="1"/>
    </xf>
    <xf numFmtId="1" fontId="7" fillId="12" borderId="1" xfId="0" applyNumberFormat="1" applyFont="1" applyFill="1" applyBorder="1" applyAlignment="1">
      <alignment horizontal="center" vertical="center" wrapText="1"/>
    </xf>
    <xf numFmtId="0" fontId="0" fillId="0" borderId="0" xfId="0" applyFill="1" applyBorder="1" applyAlignment="1">
      <alignment horizontal="center" vertical="center" wrapText="1"/>
    </xf>
    <xf numFmtId="0" fontId="0" fillId="0" borderId="0" xfId="0" applyFont="1" applyFill="1" applyBorder="1" applyAlignment="1">
      <alignment horizontal="center" vertical="center" wrapText="1"/>
    </xf>
    <xf numFmtId="14" fontId="1" fillId="10" borderId="1" xfId="0" applyNumberFormat="1" applyFont="1" applyFill="1" applyBorder="1" applyAlignment="1">
      <alignment horizontal="center" vertical="center" wrapText="1"/>
    </xf>
    <xf numFmtId="14" fontId="0" fillId="10" borderId="1" xfId="0" applyNumberFormat="1" applyFont="1" applyFill="1" applyBorder="1" applyAlignment="1">
      <alignment horizontal="center" vertical="center" wrapText="1"/>
    </xf>
    <xf numFmtId="0" fontId="0" fillId="10" borderId="6" xfId="0" applyFont="1" applyFill="1" applyBorder="1" applyAlignment="1">
      <alignment horizontal="center" vertical="center"/>
    </xf>
    <xf numFmtId="14" fontId="11" fillId="10" borderId="2" xfId="0" applyNumberFormat="1" applyFont="1" applyFill="1" applyBorder="1" applyAlignment="1">
      <alignment horizontal="center" vertical="center" wrapText="1"/>
    </xf>
    <xf numFmtId="14" fontId="11" fillId="10" borderId="3" xfId="0" applyNumberFormat="1" applyFont="1" applyFill="1" applyBorder="1" applyAlignment="1">
      <alignment horizontal="center" vertical="center" wrapText="1"/>
    </xf>
    <xf numFmtId="14" fontId="11" fillId="10" borderId="4" xfId="0" applyNumberFormat="1" applyFont="1" applyFill="1" applyBorder="1" applyAlignment="1">
      <alignment horizontal="center" vertical="center" wrapText="1"/>
    </xf>
    <xf numFmtId="0" fontId="0" fillId="10" borderId="1" xfId="0" applyFont="1" applyFill="1" applyBorder="1" applyAlignment="1">
      <alignment horizontal="left" vertical="center" wrapText="1"/>
    </xf>
    <xf numFmtId="166" fontId="0" fillId="0" borderId="0" xfId="0" applyNumberFormat="1" applyFont="1" applyFill="1" applyBorder="1" applyAlignment="1">
      <alignment horizontal="center" vertical="center" wrapText="1"/>
    </xf>
    <xf numFmtId="1" fontId="5" fillId="12" borderId="1" xfId="0" applyNumberFormat="1" applyFont="1" applyFill="1" applyBorder="1" applyAlignment="1">
      <alignment horizontal="center" vertical="center" wrapText="1"/>
    </xf>
    <xf numFmtId="1" fontId="5" fillId="12" borderId="5" xfId="0" applyNumberFormat="1" applyFont="1" applyFill="1" applyBorder="1" applyAlignment="1">
      <alignment horizontal="center" vertical="center" wrapText="1"/>
    </xf>
    <xf numFmtId="1" fontId="28" fillId="12" borderId="1" xfId="0" applyNumberFormat="1" applyFont="1" applyFill="1" applyBorder="1" applyAlignment="1">
      <alignment horizontal="center" vertical="center" wrapText="1"/>
    </xf>
    <xf numFmtId="1" fontId="28" fillId="12" borderId="5" xfId="0" applyNumberFormat="1" applyFont="1" applyFill="1" applyBorder="1" applyAlignment="1">
      <alignment horizontal="center" vertical="center" wrapText="1"/>
    </xf>
    <xf numFmtId="0" fontId="0" fillId="6" borderId="2" xfId="0" applyFont="1" applyFill="1" applyBorder="1" applyAlignment="1">
      <alignment horizontal="center" vertical="center" wrapText="1"/>
    </xf>
    <xf numFmtId="0" fontId="0" fillId="6" borderId="3" xfId="0" applyFont="1" applyFill="1" applyBorder="1" applyAlignment="1">
      <alignment horizontal="center" vertical="center" wrapText="1"/>
    </xf>
    <xf numFmtId="0" fontId="0" fillId="6" borderId="4" xfId="0" applyFont="1" applyFill="1" applyBorder="1" applyAlignment="1">
      <alignment horizontal="center" vertical="center" wrapText="1"/>
    </xf>
    <xf numFmtId="0" fontId="0" fillId="10" borderId="9" xfId="0" applyFont="1" applyFill="1" applyBorder="1" applyAlignment="1">
      <alignment horizontal="center" vertical="center" wrapText="1"/>
    </xf>
    <xf numFmtId="0" fontId="0" fillId="10" borderId="14" xfId="0" applyFont="1" applyFill="1" applyBorder="1" applyAlignment="1">
      <alignment horizontal="center" vertical="center" wrapText="1"/>
    </xf>
    <xf numFmtId="0" fontId="3" fillId="10" borderId="5" xfId="0" applyNumberFormat="1" applyFont="1" applyFill="1" applyBorder="1" applyAlignment="1">
      <alignment horizontal="center" vertical="center" wrapText="1"/>
    </xf>
    <xf numFmtId="0" fontId="3" fillId="10" borderId="5" xfId="1" applyNumberFormat="1" applyFont="1" applyFill="1" applyBorder="1" applyAlignment="1">
      <alignment horizontal="center" vertical="center" wrapText="1"/>
    </xf>
    <xf numFmtId="0" fontId="3" fillId="10" borderId="20" xfId="1" applyNumberFormat="1" applyFont="1" applyFill="1" applyBorder="1" applyAlignment="1">
      <alignment horizontal="center" vertical="center" wrapText="1"/>
    </xf>
    <xf numFmtId="0" fontId="3" fillId="10" borderId="1" xfId="1" applyNumberFormat="1" applyFont="1" applyFill="1" applyBorder="1" applyAlignment="1">
      <alignment horizontal="center" vertical="center" wrapText="1"/>
    </xf>
    <xf numFmtId="0" fontId="3" fillId="10" borderId="8" xfId="1" applyNumberFormat="1" applyFont="1" applyFill="1" applyBorder="1" applyAlignment="1">
      <alignment horizontal="center" vertical="center" wrapText="1"/>
    </xf>
    <xf numFmtId="17" fontId="0" fillId="10" borderId="1" xfId="0" applyNumberFormat="1" applyFont="1" applyFill="1" applyBorder="1" applyAlignment="1">
      <alignment horizontal="center" vertical="center" wrapText="1"/>
    </xf>
    <xf numFmtId="0" fontId="3" fillId="10" borderId="20" xfId="0" applyNumberFormat="1" applyFont="1" applyFill="1" applyBorder="1" applyAlignment="1">
      <alignment horizontal="center" vertical="center" wrapText="1"/>
    </xf>
    <xf numFmtId="0" fontId="3" fillId="10" borderId="1" xfId="0" applyNumberFormat="1" applyFont="1" applyFill="1" applyBorder="1" applyAlignment="1">
      <alignment horizontal="center" vertical="center" wrapText="1"/>
    </xf>
    <xf numFmtId="0" fontId="9" fillId="10" borderId="2" xfId="0" applyFont="1" applyFill="1" applyBorder="1" applyAlignment="1">
      <alignment horizontal="center" vertical="center" wrapText="1"/>
    </xf>
    <xf numFmtId="0" fontId="9" fillId="10" borderId="3" xfId="0" applyFont="1" applyFill="1" applyBorder="1" applyAlignment="1">
      <alignment horizontal="center" vertical="center" wrapText="1"/>
    </xf>
    <xf numFmtId="0" fontId="9" fillId="10" borderId="4" xfId="0" applyFont="1" applyFill="1" applyBorder="1" applyAlignment="1">
      <alignment horizontal="center" vertical="center" wrapText="1"/>
    </xf>
    <xf numFmtId="0" fontId="0" fillId="10" borderId="1" xfId="0" applyFill="1" applyBorder="1" applyAlignment="1">
      <alignment horizontal="center" vertical="center"/>
    </xf>
    <xf numFmtId="3" fontId="0" fillId="10" borderId="1" xfId="0" applyNumberFormat="1" applyFill="1" applyBorder="1" applyAlignment="1">
      <alignment horizontal="center" vertical="center"/>
    </xf>
    <xf numFmtId="14" fontId="0" fillId="10" borderId="2" xfId="0" applyNumberFormat="1" applyFont="1" applyFill="1" applyBorder="1" applyAlignment="1">
      <alignment horizontal="center" vertical="center" wrapText="1"/>
    </xf>
    <xf numFmtId="14" fontId="0" fillId="10" borderId="3" xfId="0" applyNumberFormat="1" applyFont="1" applyFill="1" applyBorder="1" applyAlignment="1">
      <alignment horizontal="center" vertical="center" wrapText="1"/>
    </xf>
    <xf numFmtId="3" fontId="0" fillId="10" borderId="2" xfId="0" applyNumberFormat="1" applyFont="1" applyFill="1" applyBorder="1" applyAlignment="1">
      <alignment horizontal="center" vertical="center" wrapText="1"/>
    </xf>
    <xf numFmtId="3" fontId="0" fillId="10" borderId="4" xfId="0" applyNumberFormat="1" applyFont="1" applyFill="1" applyBorder="1" applyAlignment="1">
      <alignment horizontal="center" vertical="center" wrapText="1"/>
    </xf>
    <xf numFmtId="0" fontId="2" fillId="10" borderId="1" xfId="0" applyFont="1" applyFill="1" applyBorder="1" applyAlignment="1">
      <alignment horizontal="center" vertical="center" wrapText="1"/>
    </xf>
    <xf numFmtId="1" fontId="1" fillId="12" borderId="22" xfId="0" applyNumberFormat="1" applyFont="1" applyFill="1" applyBorder="1" applyAlignment="1">
      <alignment horizontal="center" vertical="center" wrapText="1"/>
    </xf>
    <xf numFmtId="0" fontId="0" fillId="10" borderId="2" xfId="0" applyFill="1" applyBorder="1" applyAlignment="1">
      <alignment horizontal="center" vertical="center"/>
    </xf>
    <xf numFmtId="0" fontId="0" fillId="10" borderId="4" xfId="0" applyFill="1" applyBorder="1" applyAlignment="1">
      <alignment horizontal="center" vertical="center"/>
    </xf>
    <xf numFmtId="0" fontId="0" fillId="8" borderId="2" xfId="0" applyFill="1" applyBorder="1" applyAlignment="1">
      <alignment horizontal="center" vertical="center" wrapText="1"/>
    </xf>
    <xf numFmtId="0" fontId="0" fillId="8" borderId="3" xfId="0" applyFill="1" applyBorder="1" applyAlignment="1">
      <alignment horizontal="center" vertical="center" wrapText="1"/>
    </xf>
    <xf numFmtId="0" fontId="0" fillId="8" borderId="4" xfId="0" applyFill="1" applyBorder="1" applyAlignment="1">
      <alignment horizontal="center" vertical="center" wrapText="1"/>
    </xf>
    <xf numFmtId="0" fontId="40" fillId="29" borderId="31" xfId="0" applyFont="1" applyFill="1" applyBorder="1" applyAlignment="1">
      <alignment horizontal="center" vertical="center" wrapText="1"/>
    </xf>
    <xf numFmtId="0" fontId="39" fillId="0" borderId="32" xfId="0" applyFont="1" applyBorder="1"/>
    <xf numFmtId="0" fontId="39" fillId="0" borderId="33" xfId="0" applyFont="1" applyBorder="1"/>
    <xf numFmtId="0" fontId="43" fillId="29" borderId="34" xfId="0" applyFont="1" applyFill="1" applyBorder="1" applyAlignment="1">
      <alignment horizontal="center" vertical="center" wrapText="1"/>
    </xf>
    <xf numFmtId="0" fontId="39" fillId="0" borderId="35" xfId="0" applyFont="1" applyBorder="1" applyAlignment="1">
      <alignment wrapText="1"/>
    </xf>
    <xf numFmtId="0" fontId="39" fillId="0" borderId="36" xfId="0" applyFont="1" applyBorder="1" applyAlignment="1">
      <alignment wrapText="1"/>
    </xf>
    <xf numFmtId="0" fontId="39" fillId="0" borderId="37" xfId="0" applyFont="1" applyBorder="1" applyAlignment="1">
      <alignment wrapText="1"/>
    </xf>
    <xf numFmtId="0" fontId="39" fillId="0" borderId="38" xfId="0" applyFont="1" applyBorder="1" applyAlignment="1">
      <alignment wrapText="1"/>
    </xf>
    <xf numFmtId="0" fontId="39" fillId="0" borderId="39" xfId="0" applyFont="1" applyBorder="1" applyAlignment="1">
      <alignment wrapText="1"/>
    </xf>
    <xf numFmtId="0" fontId="42" fillId="27" borderId="41" xfId="0" applyFont="1" applyFill="1" applyBorder="1" applyAlignment="1">
      <alignment horizontal="center" vertical="center" wrapText="1"/>
    </xf>
    <xf numFmtId="0" fontId="42" fillId="27" borderId="42" xfId="0" applyFont="1" applyFill="1" applyBorder="1" applyAlignment="1">
      <alignment horizontal="center" vertical="center" wrapText="1"/>
    </xf>
    <xf numFmtId="0" fontId="38" fillId="0" borderId="31" xfId="0" applyFont="1" applyBorder="1" applyAlignment="1">
      <alignment horizontal="center" vertical="center"/>
    </xf>
    <xf numFmtId="0" fontId="40" fillId="0" borderId="34" xfId="0" applyFont="1" applyBorder="1" applyAlignment="1">
      <alignment horizontal="center" vertical="center"/>
    </xf>
    <xf numFmtId="0" fontId="39" fillId="0" borderId="35" xfId="0" applyFont="1" applyBorder="1"/>
    <xf numFmtId="0" fontId="39" fillId="0" borderId="36" xfId="0" applyFont="1" applyBorder="1"/>
    <xf numFmtId="0" fontId="39" fillId="0" borderId="37" xfId="0" applyFont="1" applyBorder="1"/>
    <xf numFmtId="0" fontId="39" fillId="0" borderId="38" xfId="0" applyFont="1" applyBorder="1"/>
    <xf numFmtId="0" fontId="39" fillId="0" borderId="39" xfId="0" applyFont="1" applyBorder="1"/>
    <xf numFmtId="0" fontId="40" fillId="26" borderId="34" xfId="0" applyFont="1" applyFill="1" applyBorder="1" applyAlignment="1">
      <alignment horizontal="center" vertical="center" wrapText="1"/>
    </xf>
    <xf numFmtId="49" fontId="38" fillId="27" borderId="31" xfId="0" applyNumberFormat="1" applyFont="1" applyFill="1" applyBorder="1" applyAlignment="1">
      <alignment horizontal="center" vertical="center" wrapText="1"/>
    </xf>
    <xf numFmtId="0" fontId="48" fillId="2" borderId="2" xfId="2" applyFont="1" applyFill="1" applyBorder="1" applyAlignment="1">
      <alignment horizontal="center" vertical="center" wrapText="1"/>
    </xf>
    <xf numFmtId="0" fontId="48" fillId="2" borderId="3" xfId="2" applyFont="1" applyFill="1" applyBorder="1" applyAlignment="1">
      <alignment horizontal="center" vertical="center" wrapText="1"/>
    </xf>
    <xf numFmtId="0" fontId="48" fillId="2" borderId="4" xfId="2" applyFont="1" applyFill="1" applyBorder="1" applyAlignment="1">
      <alignment horizontal="center" vertical="center" wrapText="1"/>
    </xf>
    <xf numFmtId="0" fontId="47" fillId="35" borderId="5" xfId="2" applyNumberFormat="1" applyFont="1" applyFill="1" applyBorder="1" applyAlignment="1">
      <alignment horizontal="center" vertical="center"/>
    </xf>
    <xf numFmtId="0" fontId="47" fillId="35" borderId="1" xfId="2" applyNumberFormat="1" applyFont="1" applyFill="1" applyBorder="1" applyAlignment="1">
      <alignment horizontal="center" vertical="center"/>
    </xf>
    <xf numFmtId="0" fontId="47" fillId="35" borderId="45" xfId="2" applyNumberFormat="1" applyFont="1" applyFill="1" applyBorder="1" applyAlignment="1">
      <alignment horizontal="center" vertical="center"/>
    </xf>
    <xf numFmtId="0" fontId="47" fillId="35" borderId="6" xfId="2" applyNumberFormat="1" applyFont="1" applyFill="1" applyBorder="1" applyAlignment="1">
      <alignment horizontal="center" vertical="center"/>
    </xf>
    <xf numFmtId="0" fontId="47" fillId="31" borderId="43" xfId="2" applyFont="1" applyFill="1" applyBorder="1" applyAlignment="1">
      <alignment horizontal="center" vertical="center"/>
    </xf>
    <xf numFmtId="0" fontId="47" fillId="31" borderId="44" xfId="2" applyFont="1" applyFill="1" applyBorder="1" applyAlignment="1">
      <alignment horizontal="center" vertical="center"/>
    </xf>
    <xf numFmtId="0" fontId="48" fillId="0" borderId="0" xfId="2" applyFont="1" applyAlignment="1">
      <alignment horizontal="center" wrapText="1"/>
    </xf>
    <xf numFmtId="0" fontId="45" fillId="22" borderId="1" xfId="2" applyFont="1" applyFill="1" applyBorder="1" applyAlignment="1">
      <alignment horizontal="center"/>
    </xf>
    <xf numFmtId="0" fontId="48" fillId="34" borderId="1" xfId="2" applyFont="1" applyFill="1" applyBorder="1" applyAlignment="1">
      <alignment horizontal="center"/>
    </xf>
    <xf numFmtId="0" fontId="48" fillId="23" borderId="1" xfId="2" applyFont="1" applyFill="1" applyBorder="1" applyAlignment="1">
      <alignment horizontal="center"/>
    </xf>
    <xf numFmtId="0" fontId="48" fillId="14" borderId="1" xfId="2" applyFont="1" applyFill="1" applyBorder="1" applyAlignment="1">
      <alignment horizontal="center"/>
    </xf>
    <xf numFmtId="0" fontId="52" fillId="31" borderId="1" xfId="2" applyFont="1" applyFill="1" applyBorder="1" applyAlignment="1">
      <alignment horizontal="center" vertical="center"/>
    </xf>
    <xf numFmtId="0" fontId="47" fillId="31" borderId="21" xfId="2" applyFont="1" applyFill="1" applyBorder="1" applyAlignment="1">
      <alignment horizontal="center" vertical="center"/>
    </xf>
    <xf numFmtId="0" fontId="47" fillId="31" borderId="30" xfId="2" applyFont="1" applyFill="1" applyBorder="1" applyAlignment="1">
      <alignment horizontal="center" vertical="center"/>
    </xf>
    <xf numFmtId="0" fontId="2" fillId="18" borderId="1" xfId="0" applyFont="1" applyFill="1" applyBorder="1" applyAlignment="1">
      <alignment horizontal="center" wrapText="1"/>
    </xf>
    <xf numFmtId="0" fontId="0" fillId="0" borderId="1" xfId="0" applyFill="1" applyBorder="1" applyAlignment="1">
      <alignment horizontal="center" vertical="center" wrapText="1"/>
    </xf>
    <xf numFmtId="0" fontId="0" fillId="7" borderId="1" xfId="0" applyFill="1" applyBorder="1" applyAlignment="1">
      <alignment horizontal="center" wrapText="1"/>
    </xf>
    <xf numFmtId="0" fontId="0" fillId="7" borderId="1" xfId="0" applyFill="1" applyBorder="1" applyAlignment="1">
      <alignment horizontal="center" vertical="center" wrapText="1"/>
    </xf>
    <xf numFmtId="14" fontId="0" fillId="0" borderId="1" xfId="0" applyNumberFormat="1" applyFill="1" applyBorder="1" applyAlignment="1">
      <alignment horizontal="center" vertical="center" wrapText="1"/>
    </xf>
    <xf numFmtId="0" fontId="5" fillId="7" borderId="1" xfId="0" applyFont="1" applyFill="1" applyBorder="1" applyAlignment="1">
      <alignment horizontal="center" vertical="center" wrapText="1"/>
    </xf>
    <xf numFmtId="0" fontId="0" fillId="0" borderId="7" xfId="0" applyFont="1" applyBorder="1" applyAlignment="1">
      <alignment horizontal="center" vertical="center" wrapText="1"/>
    </xf>
    <xf numFmtId="0" fontId="0" fillId="22" borderId="2" xfId="0" applyFill="1" applyBorder="1" applyAlignment="1">
      <alignment horizontal="center" vertical="center" wrapText="1"/>
    </xf>
    <xf numFmtId="0" fontId="0" fillId="22" borderId="4" xfId="0" applyFill="1" applyBorder="1" applyAlignment="1">
      <alignment horizontal="center" vertical="center" wrapText="1"/>
    </xf>
    <xf numFmtId="0" fontId="0" fillId="19" borderId="6" xfId="0" applyFill="1" applyBorder="1" applyAlignment="1">
      <alignment horizontal="center" vertical="center" wrapText="1"/>
    </xf>
    <xf numFmtId="0" fontId="0" fillId="19" borderId="5" xfId="0" applyFill="1" applyBorder="1" applyAlignment="1">
      <alignment horizontal="center" vertical="center" wrapText="1"/>
    </xf>
    <xf numFmtId="0" fontId="3" fillId="19" borderId="6" xfId="0" applyFont="1" applyFill="1" applyBorder="1" applyAlignment="1">
      <alignment horizontal="center" vertical="center" wrapText="1"/>
    </xf>
    <xf numFmtId="0" fontId="3" fillId="19" borderId="5" xfId="0" applyFont="1" applyFill="1" applyBorder="1" applyAlignment="1">
      <alignment horizontal="center" vertical="center" wrapText="1"/>
    </xf>
    <xf numFmtId="0" fontId="2" fillId="19" borderId="2" xfId="0" applyFont="1" applyFill="1" applyBorder="1" applyAlignment="1">
      <alignment horizontal="center" vertical="center" wrapText="1"/>
    </xf>
    <xf numFmtId="0" fontId="2" fillId="19" borderId="4" xfId="0" applyFont="1" applyFill="1" applyBorder="1" applyAlignment="1">
      <alignment horizontal="center" vertical="center" wrapText="1"/>
    </xf>
    <xf numFmtId="0" fontId="3" fillId="19" borderId="2" xfId="0" applyFont="1" applyFill="1" applyBorder="1" applyAlignment="1">
      <alignment horizontal="center" vertical="center" wrapText="1"/>
    </xf>
    <xf numFmtId="0" fontId="3" fillId="19" borderId="4" xfId="0" applyFont="1" applyFill="1" applyBorder="1" applyAlignment="1">
      <alignment horizontal="center" vertical="center" wrapText="1"/>
    </xf>
    <xf numFmtId="0" fontId="4" fillId="19" borderId="9" xfId="0" applyFont="1" applyFill="1" applyBorder="1" applyAlignment="1">
      <alignment horizontal="center" vertical="center" wrapText="1"/>
    </xf>
    <xf numFmtId="0" fontId="4" fillId="19" borderId="20" xfId="0" applyFont="1" applyFill="1" applyBorder="1" applyAlignment="1">
      <alignment horizontal="center" vertical="center" wrapText="1"/>
    </xf>
    <xf numFmtId="0" fontId="4" fillId="19" borderId="14" xfId="0" applyFont="1" applyFill="1" applyBorder="1" applyAlignment="1">
      <alignment horizontal="center" vertical="center" wrapText="1"/>
    </xf>
    <xf numFmtId="0" fontId="4" fillId="19" borderId="8" xfId="0" applyFont="1" applyFill="1" applyBorder="1" applyAlignment="1">
      <alignment horizontal="center" vertical="center" wrapText="1"/>
    </xf>
    <xf numFmtId="14" fontId="0" fillId="19" borderId="2" xfId="0" applyNumberFormat="1" applyFont="1" applyFill="1" applyBorder="1" applyAlignment="1">
      <alignment horizontal="center" vertical="center" wrapText="1"/>
    </xf>
    <xf numFmtId="14" fontId="0" fillId="19" borderId="4" xfId="0" applyNumberFormat="1" applyFont="1" applyFill="1" applyBorder="1" applyAlignment="1">
      <alignment horizontal="center" vertical="center" wrapText="1"/>
    </xf>
    <xf numFmtId="0" fontId="2" fillId="18" borderId="2" xfId="0" applyFont="1" applyFill="1" applyBorder="1" applyAlignment="1">
      <alignment horizontal="center" vertical="center" wrapText="1"/>
    </xf>
    <xf numFmtId="0" fontId="2" fillId="18" borderId="3" xfId="0" applyFont="1" applyFill="1" applyBorder="1" applyAlignment="1">
      <alignment horizontal="center" vertical="center" wrapText="1"/>
    </xf>
    <xf numFmtId="0" fontId="2" fillId="18" borderId="4" xfId="0" applyFont="1" applyFill="1" applyBorder="1" applyAlignment="1">
      <alignment horizontal="center" vertical="center" wrapText="1"/>
    </xf>
    <xf numFmtId="14" fontId="0" fillId="22" borderId="2" xfId="0" applyNumberFormat="1" applyFont="1" applyFill="1" applyBorder="1" applyAlignment="1">
      <alignment horizontal="center" vertical="center" wrapText="1"/>
    </xf>
    <xf numFmtId="14" fontId="0" fillId="22" borderId="3" xfId="0" applyNumberFormat="1" applyFont="1" applyFill="1" applyBorder="1" applyAlignment="1">
      <alignment horizontal="center" vertical="center" wrapText="1"/>
    </xf>
    <xf numFmtId="14" fontId="0" fillId="22" borderId="4" xfId="0" applyNumberFormat="1" applyFont="1" applyFill="1" applyBorder="1" applyAlignment="1">
      <alignment horizontal="center" vertical="center" wrapText="1"/>
    </xf>
    <xf numFmtId="0" fontId="0" fillId="15" borderId="2" xfId="0" applyFill="1" applyBorder="1" applyAlignment="1">
      <alignment vertical="center" wrapText="1"/>
    </xf>
    <xf numFmtId="0" fontId="0" fillId="15" borderId="3" xfId="0" applyFill="1" applyBorder="1" applyAlignment="1">
      <alignment vertical="center" wrapText="1"/>
    </xf>
    <xf numFmtId="0" fontId="0" fillId="15" borderId="4" xfId="0" applyFill="1" applyBorder="1" applyAlignment="1">
      <alignment vertical="center" wrapText="1"/>
    </xf>
    <xf numFmtId="0" fontId="1" fillId="25" borderId="1" xfId="0" applyFont="1" applyFill="1" applyBorder="1" applyAlignment="1">
      <alignment horizontal="center" vertical="center" wrapText="1"/>
    </xf>
    <xf numFmtId="3" fontId="0" fillId="25" borderId="1" xfId="0" applyNumberFormat="1" applyFill="1" applyBorder="1" applyAlignment="1">
      <alignment horizontal="center" vertical="center" wrapText="1"/>
    </xf>
    <xf numFmtId="1" fontId="1" fillId="10" borderId="2" xfId="0" applyNumberFormat="1" applyFont="1" applyFill="1" applyBorder="1" applyAlignment="1">
      <alignment horizontal="center" vertical="center" wrapText="1"/>
    </xf>
    <xf numFmtId="1" fontId="1" fillId="10" borderId="4" xfId="0" applyNumberFormat="1" applyFont="1" applyFill="1" applyBorder="1" applyAlignment="1">
      <alignment horizontal="center" vertical="center" wrapText="1"/>
    </xf>
    <xf numFmtId="1" fontId="1" fillId="25" borderId="1" xfId="0" applyNumberFormat="1" applyFont="1" applyFill="1" applyBorder="1" applyAlignment="1">
      <alignment horizontal="center" vertical="center" wrapText="1"/>
    </xf>
    <xf numFmtId="0" fontId="3" fillId="25" borderId="1" xfId="1" applyNumberFormat="1" applyFont="1" applyFill="1" applyBorder="1" applyAlignment="1">
      <alignment horizontal="center" vertical="center" wrapText="1"/>
    </xf>
    <xf numFmtId="1" fontId="0" fillId="25" borderId="1" xfId="0" applyNumberFormat="1" applyFont="1" applyFill="1" applyBorder="1" applyAlignment="1">
      <alignment horizontal="center" vertical="center" wrapText="1"/>
    </xf>
    <xf numFmtId="14" fontId="1" fillId="24" borderId="1" xfId="0" applyNumberFormat="1" applyFont="1" applyFill="1" applyBorder="1" applyAlignment="1">
      <alignment horizontal="center" vertical="center" wrapText="1"/>
    </xf>
    <xf numFmtId="0" fontId="0" fillId="25" borderId="1" xfId="0" applyFont="1" applyFill="1" applyBorder="1" applyAlignment="1">
      <alignment horizontal="center" vertical="center" wrapText="1"/>
    </xf>
    <xf numFmtId="166" fontId="0" fillId="2" borderId="2" xfId="0" applyNumberFormat="1" applyFont="1" applyFill="1" applyBorder="1" applyAlignment="1">
      <alignment horizontal="center" vertical="center" wrapText="1"/>
    </xf>
    <xf numFmtId="166" fontId="0" fillId="2" borderId="3" xfId="0" applyNumberFormat="1" applyFont="1" applyFill="1" applyBorder="1" applyAlignment="1">
      <alignment horizontal="center" vertical="center" wrapText="1"/>
    </xf>
    <xf numFmtId="166" fontId="0" fillId="2" borderId="4" xfId="0" applyNumberFormat="1" applyFont="1" applyFill="1" applyBorder="1" applyAlignment="1">
      <alignment horizontal="center" vertical="center" wrapText="1"/>
    </xf>
    <xf numFmtId="0" fontId="0" fillId="2" borderId="2" xfId="0" applyFont="1" applyFill="1" applyBorder="1" applyAlignment="1">
      <alignment horizontal="center" vertical="center" wrapText="1"/>
    </xf>
    <xf numFmtId="0" fontId="0" fillId="2" borderId="3" xfId="0" applyFont="1" applyFill="1" applyBorder="1" applyAlignment="1">
      <alignment horizontal="center" vertical="center" wrapText="1"/>
    </xf>
    <xf numFmtId="0" fontId="0" fillId="2" borderId="4" xfId="0" applyFont="1" applyFill="1" applyBorder="1" applyAlignment="1">
      <alignment horizontal="center" vertical="center" wrapText="1"/>
    </xf>
    <xf numFmtId="3" fontId="0" fillId="2" borderId="2" xfId="0" applyNumberFormat="1" applyFont="1" applyFill="1" applyBorder="1" applyAlignment="1">
      <alignment horizontal="center" vertical="center" wrapText="1"/>
    </xf>
    <xf numFmtId="3" fontId="0" fillId="2" borderId="3" xfId="0" applyNumberFormat="1" applyFont="1" applyFill="1" applyBorder="1" applyAlignment="1">
      <alignment horizontal="center" vertical="center" wrapText="1"/>
    </xf>
    <xf numFmtId="3" fontId="0" fillId="2" borderId="4" xfId="0" applyNumberFormat="1" applyFont="1" applyFill="1" applyBorder="1" applyAlignment="1">
      <alignment horizontal="center" vertical="center" wrapText="1"/>
    </xf>
    <xf numFmtId="14" fontId="0" fillId="2" borderId="2" xfId="0" applyNumberFormat="1" applyFont="1" applyFill="1" applyBorder="1" applyAlignment="1">
      <alignment horizontal="center" vertical="center" wrapText="1"/>
    </xf>
    <xf numFmtId="14" fontId="0" fillId="2" borderId="3" xfId="0" applyNumberFormat="1" applyFont="1" applyFill="1" applyBorder="1" applyAlignment="1">
      <alignment horizontal="center" vertical="center" wrapText="1"/>
    </xf>
    <xf numFmtId="14" fontId="0" fillId="2" borderId="4" xfId="0" applyNumberFormat="1" applyFont="1" applyFill="1" applyBorder="1" applyAlignment="1">
      <alignment horizontal="center" vertical="center" wrapText="1"/>
    </xf>
    <xf numFmtId="1" fontId="0" fillId="2" borderId="2" xfId="0" applyNumberFormat="1" applyFont="1" applyFill="1" applyBorder="1" applyAlignment="1">
      <alignment horizontal="center" vertical="center" wrapText="1"/>
    </xf>
    <xf numFmtId="1" fontId="0" fillId="2" borderId="3" xfId="0" applyNumberFormat="1" applyFont="1" applyFill="1" applyBorder="1" applyAlignment="1">
      <alignment horizontal="center" vertical="center" wrapText="1"/>
    </xf>
    <xf numFmtId="1" fontId="0" fillId="2" borderId="4" xfId="0" applyNumberFormat="1" applyFont="1" applyFill="1" applyBorder="1" applyAlignment="1">
      <alignment horizontal="center" vertical="center" wrapText="1"/>
    </xf>
    <xf numFmtId="0" fontId="0" fillId="11" borderId="2" xfId="0" applyFill="1" applyBorder="1" applyAlignment="1">
      <alignment vertical="center" wrapText="1"/>
    </xf>
    <xf numFmtId="0" fontId="0" fillId="11" borderId="4" xfId="0" applyFill="1" applyBorder="1" applyAlignment="1">
      <alignment vertical="center" wrapText="1"/>
    </xf>
    <xf numFmtId="3" fontId="0" fillId="11" borderId="2" xfId="0" applyNumberFormat="1" applyFill="1" applyBorder="1" applyAlignment="1">
      <alignment horizontal="center" vertical="center"/>
    </xf>
    <xf numFmtId="3" fontId="0" fillId="11" borderId="4" xfId="0" applyNumberFormat="1" applyFill="1" applyBorder="1" applyAlignment="1">
      <alignment horizontal="center" vertical="center"/>
    </xf>
    <xf numFmtId="0" fontId="3" fillId="11" borderId="2" xfId="0" applyFont="1" applyFill="1" applyBorder="1" applyAlignment="1">
      <alignment horizontal="center" vertical="center" wrapText="1"/>
    </xf>
    <xf numFmtId="0" fontId="3" fillId="11" borderId="4" xfId="0" applyFont="1" applyFill="1" applyBorder="1" applyAlignment="1">
      <alignment horizontal="center" vertical="center" wrapText="1"/>
    </xf>
    <xf numFmtId="0" fontId="0" fillId="6" borderId="2" xfId="0" applyFill="1" applyBorder="1" applyAlignment="1">
      <alignment vertical="center" wrapText="1"/>
    </xf>
    <xf numFmtId="0" fontId="0" fillId="6" borderId="4" xfId="0" applyFill="1" applyBorder="1" applyAlignment="1">
      <alignment vertical="center" wrapText="1"/>
    </xf>
    <xf numFmtId="14" fontId="0" fillId="10" borderId="9" xfId="0" applyNumberFormat="1" applyFill="1" applyBorder="1" applyAlignment="1">
      <alignment horizontal="center" vertical="center" wrapText="1"/>
    </xf>
    <xf numFmtId="14" fontId="0" fillId="10" borderId="24" xfId="0" applyNumberFormat="1" applyFill="1" applyBorder="1" applyAlignment="1">
      <alignment horizontal="center" vertical="center" wrapText="1"/>
    </xf>
    <xf numFmtId="14" fontId="0" fillId="10" borderId="14" xfId="0" applyNumberFormat="1" applyFill="1" applyBorder="1" applyAlignment="1">
      <alignment horizontal="center" vertical="center" wrapText="1"/>
    </xf>
    <xf numFmtId="14" fontId="0" fillId="10" borderId="21" xfId="0" applyNumberFormat="1" applyFill="1" applyBorder="1" applyAlignment="1">
      <alignment horizontal="center" vertical="center" wrapText="1"/>
    </xf>
    <xf numFmtId="14" fontId="0" fillId="11" borderId="2" xfId="0" applyNumberFormat="1" applyFill="1" applyBorder="1" applyAlignment="1">
      <alignment horizontal="center" vertical="center"/>
    </xf>
    <xf numFmtId="14" fontId="0" fillId="11" borderId="4" xfId="0" applyNumberFormat="1" applyFill="1" applyBorder="1" applyAlignment="1">
      <alignment horizontal="center" vertical="center"/>
    </xf>
    <xf numFmtId="0" fontId="0" fillId="2" borderId="2" xfId="0" applyFill="1" applyBorder="1" applyAlignment="1">
      <alignment vertical="center" wrapText="1"/>
    </xf>
    <xf numFmtId="0" fontId="0" fillId="2" borderId="3" xfId="0" applyFill="1" applyBorder="1" applyAlignment="1">
      <alignment vertical="center" wrapText="1"/>
    </xf>
    <xf numFmtId="0" fontId="0" fillId="2" borderId="4" xfId="0" applyFill="1" applyBorder="1" applyAlignment="1">
      <alignment vertical="center" wrapText="1"/>
    </xf>
    <xf numFmtId="0" fontId="2" fillId="2" borderId="2" xfId="0" applyFont="1" applyFill="1" applyBorder="1" applyAlignment="1">
      <alignment horizontal="center" vertical="center" wrapText="1"/>
    </xf>
    <xf numFmtId="0" fontId="2" fillId="2" borderId="4" xfId="0" applyFont="1" applyFill="1" applyBorder="1" applyAlignment="1">
      <alignment horizontal="center" vertical="center" wrapText="1"/>
    </xf>
    <xf numFmtId="0" fontId="0" fillId="2" borderId="20" xfId="0" applyFill="1" applyBorder="1" applyAlignment="1">
      <alignment horizontal="center" vertical="center" wrapText="1"/>
    </xf>
    <xf numFmtId="0" fontId="0" fillId="2" borderId="8" xfId="0" applyFill="1" applyBorder="1" applyAlignment="1">
      <alignment horizontal="center" vertical="center" wrapText="1"/>
    </xf>
    <xf numFmtId="3" fontId="2" fillId="2" borderId="2" xfId="0" applyNumberFormat="1" applyFont="1" applyFill="1" applyBorder="1" applyAlignment="1">
      <alignment horizontal="center" vertical="center" wrapText="1"/>
    </xf>
    <xf numFmtId="3" fontId="2" fillId="2" borderId="4" xfId="0" applyNumberFormat="1" applyFont="1" applyFill="1" applyBorder="1" applyAlignment="1">
      <alignment horizontal="center" vertical="center" wrapText="1"/>
    </xf>
    <xf numFmtId="0" fontId="24" fillId="2" borderId="9" xfId="0" applyFont="1" applyFill="1" applyBorder="1" applyAlignment="1">
      <alignment horizontal="center" vertical="center" wrapText="1"/>
    </xf>
    <xf numFmtId="0" fontId="24" fillId="2" borderId="20" xfId="0" applyFont="1" applyFill="1" applyBorder="1" applyAlignment="1">
      <alignment horizontal="center" vertical="center" wrapText="1"/>
    </xf>
    <xf numFmtId="0" fontId="24" fillId="2" borderId="14" xfId="0" applyFont="1" applyFill="1" applyBorder="1" applyAlignment="1">
      <alignment horizontal="center" vertical="center" wrapText="1"/>
    </xf>
    <xf numFmtId="0" fontId="24" fillId="2" borderId="8"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1" fillId="2" borderId="20"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1" fillId="2" borderId="22" xfId="0" applyFont="1" applyFill="1" applyBorder="1" applyAlignment="1">
      <alignment horizontal="center" vertical="center" wrapText="1"/>
    </xf>
    <xf numFmtId="0" fontId="1" fillId="2" borderId="14" xfId="0" applyFont="1" applyFill="1" applyBorder="1" applyAlignment="1">
      <alignment horizontal="center" vertical="center" wrapText="1"/>
    </xf>
    <xf numFmtId="0" fontId="1" fillId="2" borderId="8" xfId="0" applyFont="1" applyFill="1" applyBorder="1" applyAlignment="1">
      <alignment horizontal="center" vertical="center" wrapText="1"/>
    </xf>
    <xf numFmtId="0" fontId="0" fillId="2" borderId="12" xfId="0" applyFill="1" applyBorder="1" applyAlignment="1">
      <alignment horizontal="center" vertical="center" wrapText="1"/>
    </xf>
    <xf numFmtId="0" fontId="0" fillId="2" borderId="13" xfId="0" applyFill="1" applyBorder="1" applyAlignment="1">
      <alignment horizontal="center" vertical="center" wrapText="1"/>
    </xf>
    <xf numFmtId="0" fontId="0" fillId="2" borderId="9" xfId="0" applyFill="1" applyBorder="1" applyAlignment="1">
      <alignment horizontal="center" wrapText="1"/>
    </xf>
    <xf numFmtId="0" fontId="0" fillId="2" borderId="20" xfId="0" applyFill="1" applyBorder="1" applyAlignment="1">
      <alignment horizontal="center" wrapText="1"/>
    </xf>
    <xf numFmtId="3" fontId="0" fillId="2" borderId="1" xfId="0" applyNumberFormat="1" applyFill="1" applyBorder="1" applyAlignment="1">
      <alignment horizontal="center" vertical="center" wrapText="1"/>
    </xf>
    <xf numFmtId="14" fontId="0" fillId="2" borderId="1" xfId="0" applyNumberFormat="1" applyFill="1" applyBorder="1" applyAlignment="1">
      <alignment horizontal="center" vertical="center" wrapText="1"/>
    </xf>
    <xf numFmtId="0" fontId="1" fillId="2" borderId="1" xfId="0" applyFont="1" applyFill="1" applyBorder="1" applyAlignment="1">
      <alignment horizontal="center" vertical="center" wrapText="1"/>
    </xf>
    <xf numFmtId="0" fontId="0"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1" fontId="1" fillId="2" borderId="1" xfId="0" applyNumberFormat="1" applyFont="1" applyFill="1" applyBorder="1" applyAlignment="1">
      <alignment horizontal="center" vertical="center" wrapText="1"/>
    </xf>
    <xf numFmtId="0" fontId="0" fillId="2" borderId="12" xfId="0" applyFill="1" applyBorder="1" applyAlignment="1">
      <alignment horizontal="left" vertical="center" wrapText="1"/>
    </xf>
    <xf numFmtId="0" fontId="0" fillId="2" borderId="25" xfId="0" applyFill="1" applyBorder="1" applyAlignment="1">
      <alignment horizontal="left" vertical="center" wrapText="1"/>
    </xf>
    <xf numFmtId="0" fontId="0" fillId="2" borderId="13" xfId="0" applyFill="1" applyBorder="1" applyAlignment="1">
      <alignment horizontal="left" vertical="center" wrapText="1"/>
    </xf>
    <xf numFmtId="0" fontId="0" fillId="2" borderId="2" xfId="0" applyFill="1" applyBorder="1" applyAlignment="1">
      <alignment horizontal="left" vertical="center" wrapText="1"/>
    </xf>
    <xf numFmtId="0" fontId="0" fillId="2" borderId="3" xfId="0" applyFill="1" applyBorder="1" applyAlignment="1">
      <alignment horizontal="left" vertical="center" wrapText="1"/>
    </xf>
    <xf numFmtId="0" fontId="0" fillId="2" borderId="4" xfId="0" applyFill="1" applyBorder="1" applyAlignment="1">
      <alignment horizontal="left" vertical="center" wrapText="1"/>
    </xf>
    <xf numFmtId="0" fontId="0" fillId="2" borderId="22" xfId="0" applyFill="1" applyBorder="1" applyAlignment="1">
      <alignment horizontal="center" vertical="center" wrapText="1"/>
    </xf>
    <xf numFmtId="3" fontId="2" fillId="2" borderId="3" xfId="0" applyNumberFormat="1" applyFont="1" applyFill="1" applyBorder="1" applyAlignment="1">
      <alignment horizontal="center" vertical="center" wrapText="1"/>
    </xf>
    <xf numFmtId="0" fontId="2" fillId="2" borderId="3" xfId="0" applyFont="1" applyFill="1" applyBorder="1" applyAlignment="1">
      <alignment horizontal="center" vertical="center" wrapText="1"/>
    </xf>
    <xf numFmtId="0" fontId="4" fillId="2" borderId="9" xfId="0" applyFont="1" applyFill="1" applyBorder="1" applyAlignment="1">
      <alignment horizontal="center" vertical="center" wrapText="1"/>
    </xf>
    <xf numFmtId="0" fontId="4" fillId="2" borderId="20" xfId="0" applyFont="1" applyFill="1" applyBorder="1" applyAlignment="1">
      <alignment horizontal="center" vertical="center" wrapText="1"/>
    </xf>
    <xf numFmtId="0" fontId="4" fillId="2" borderId="14" xfId="0" applyFont="1" applyFill="1" applyBorder="1" applyAlignment="1">
      <alignment horizontal="center" vertical="center" wrapText="1"/>
    </xf>
    <xf numFmtId="0" fontId="4" fillId="2" borderId="8" xfId="0" applyFont="1" applyFill="1" applyBorder="1" applyAlignment="1">
      <alignment horizontal="center" vertical="center" wrapText="1"/>
    </xf>
    <xf numFmtId="0" fontId="4" fillId="2" borderId="6" xfId="0" applyFont="1" applyFill="1" applyBorder="1" applyAlignment="1">
      <alignment horizontal="center" wrapText="1"/>
    </xf>
    <xf numFmtId="0" fontId="4" fillId="2" borderId="5" xfId="0" applyFont="1" applyFill="1" applyBorder="1" applyAlignment="1">
      <alignment horizontal="center" wrapText="1"/>
    </xf>
    <xf numFmtId="0" fontId="0" fillId="2" borderId="1" xfId="0" applyFill="1" applyBorder="1" applyAlignment="1">
      <alignment horizontal="center" wrapText="1"/>
    </xf>
    <xf numFmtId="0" fontId="4" fillId="2" borderId="1" xfId="0" applyFont="1" applyFill="1" applyBorder="1" applyAlignment="1">
      <alignment horizontal="center" vertical="center" wrapText="1"/>
    </xf>
    <xf numFmtId="0" fontId="0" fillId="2" borderId="1" xfId="0" applyFill="1" applyBorder="1" applyAlignment="1">
      <alignment horizontal="left" vertical="center" wrapText="1"/>
    </xf>
    <xf numFmtId="0" fontId="0" fillId="2" borderId="1" xfId="0" applyFill="1" applyBorder="1" applyAlignment="1">
      <alignment horizontal="center" vertical="center"/>
    </xf>
    <xf numFmtId="0" fontId="1" fillId="2" borderId="1" xfId="0" applyFont="1" applyFill="1" applyBorder="1" applyAlignment="1">
      <alignment horizontal="center" wrapText="1"/>
    </xf>
    <xf numFmtId="0" fontId="3" fillId="2" borderId="1" xfId="1" applyNumberFormat="1" applyFont="1" applyFill="1" applyBorder="1" applyAlignment="1">
      <alignment horizontal="center" vertical="center" wrapText="1"/>
    </xf>
    <xf numFmtId="14" fontId="0" fillId="2" borderId="1" xfId="0" applyNumberFormat="1" applyFill="1" applyBorder="1" applyAlignment="1">
      <alignment horizontal="center" vertical="center"/>
    </xf>
    <xf numFmtId="0" fontId="4" fillId="2" borderId="2" xfId="0" applyFont="1" applyFill="1" applyBorder="1" applyAlignment="1">
      <alignment horizontal="center" vertical="center" wrapText="1"/>
    </xf>
    <xf numFmtId="0" fontId="4" fillId="2" borderId="4" xfId="0" applyFont="1" applyFill="1" applyBorder="1" applyAlignment="1">
      <alignment horizontal="center" vertical="center" wrapText="1"/>
    </xf>
    <xf numFmtId="1" fontId="1" fillId="2" borderId="2" xfId="0" applyNumberFormat="1" applyFont="1" applyFill="1" applyBorder="1" applyAlignment="1">
      <alignment horizontal="center" vertical="center" wrapText="1"/>
    </xf>
    <xf numFmtId="1" fontId="1" fillId="2" borderId="4" xfId="0" applyNumberFormat="1"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3" fillId="0" borderId="0" xfId="0" applyFont="1" applyFill="1" applyBorder="1" applyAlignment="1">
      <alignment horizontal="center" vertical="center" wrapText="1"/>
    </xf>
    <xf numFmtId="3" fontId="0" fillId="2" borderId="1" xfId="0" applyNumberFormat="1" applyFont="1" applyFill="1" applyBorder="1" applyAlignment="1">
      <alignment horizontal="center" vertical="center" wrapText="1"/>
    </xf>
    <xf numFmtId="0" fontId="1" fillId="2" borderId="1" xfId="0" quotePrefix="1" applyFont="1" applyFill="1" applyBorder="1" applyAlignment="1">
      <alignment horizontal="center" vertical="center" wrapText="1"/>
    </xf>
    <xf numFmtId="0" fontId="0" fillId="2" borderId="20" xfId="0" applyFill="1" applyBorder="1" applyAlignment="1">
      <alignment horizontal="left" vertical="center" wrapText="1"/>
    </xf>
    <xf numFmtId="0" fontId="0" fillId="2" borderId="8" xfId="0" applyFill="1" applyBorder="1" applyAlignment="1">
      <alignment horizontal="left" vertical="center" wrapText="1"/>
    </xf>
    <xf numFmtId="0" fontId="4" fillId="2" borderId="6" xfId="0" applyFont="1" applyFill="1" applyBorder="1" applyAlignment="1">
      <alignment horizontal="center" vertical="center" wrapText="1"/>
    </xf>
    <xf numFmtId="0" fontId="4" fillId="2" borderId="5" xfId="0" applyFont="1" applyFill="1" applyBorder="1" applyAlignment="1">
      <alignment horizontal="center" vertical="center" wrapText="1"/>
    </xf>
    <xf numFmtId="0" fontId="0" fillId="2" borderId="14" xfId="0" applyFill="1" applyBorder="1" applyAlignment="1">
      <alignment horizontal="center" wrapText="1"/>
    </xf>
    <xf numFmtId="0" fontId="0" fillId="2" borderId="8" xfId="0" applyFill="1" applyBorder="1" applyAlignment="1">
      <alignment horizontal="center" wrapText="1"/>
    </xf>
    <xf numFmtId="1" fontId="1" fillId="2" borderId="3" xfId="0" applyNumberFormat="1" applyFont="1" applyFill="1" applyBorder="1" applyAlignment="1">
      <alignment horizontal="center" vertical="center" wrapText="1"/>
    </xf>
    <xf numFmtId="0" fontId="3" fillId="2" borderId="3"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7" fillId="2" borderId="6" xfId="0" applyFont="1" applyFill="1" applyBorder="1" applyAlignment="1">
      <alignment horizontal="center" wrapText="1"/>
    </xf>
    <xf numFmtId="0" fontId="7" fillId="2" borderId="5" xfId="0" applyFont="1" applyFill="1" applyBorder="1" applyAlignment="1">
      <alignment horizontal="center" wrapText="1"/>
    </xf>
    <xf numFmtId="14" fontId="0" fillId="17" borderId="1" xfId="0" applyNumberFormat="1" applyFont="1" applyFill="1" applyBorder="1" applyAlignment="1">
      <alignment horizontal="center" vertical="center" wrapText="1"/>
    </xf>
    <xf numFmtId="0" fontId="0" fillId="8" borderId="1" xfId="0" applyFill="1" applyBorder="1" applyAlignment="1">
      <alignment horizontal="center"/>
    </xf>
    <xf numFmtId="0" fontId="1" fillId="8" borderId="6" xfId="0" applyFont="1" applyFill="1" applyBorder="1" applyAlignment="1">
      <alignment horizontal="center"/>
    </xf>
    <xf numFmtId="0" fontId="1" fillId="8" borderId="5" xfId="0" applyFont="1" applyFill="1" applyBorder="1" applyAlignment="1">
      <alignment horizontal="center"/>
    </xf>
  </cellXfs>
  <cellStyles count="3">
    <cellStyle name="Normal" xfId="0" builtinId="0"/>
    <cellStyle name="Normal 2" xfId="2"/>
    <cellStyle name="Normal 6" xfId="1"/>
  </cellStyles>
  <dxfs count="0"/>
  <tableStyles count="0" defaultTableStyle="TableStyleMedium2" defaultPivotStyle="PivotStyleLight16"/>
  <colors>
    <mruColors>
      <color rgb="FFA3A3FF"/>
      <color rgb="FFF3F5FB"/>
      <color rgb="FFFEFAF8"/>
      <color rgb="FFF7FFF7"/>
      <color rgb="FFEFEFFF"/>
      <color rgb="FFFFCCCC"/>
      <color rgb="FFFFF8E5"/>
      <color rgb="FFFEF5F0"/>
      <color rgb="FFF1FDF6"/>
      <color rgb="FFEFE7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pageSetUpPr fitToPage="1"/>
  </sheetPr>
  <dimension ref="A1:AB68"/>
  <sheetViews>
    <sheetView topLeftCell="A19" zoomScaleNormal="100" workbookViewId="0">
      <selection activeCell="C25" sqref="C25"/>
    </sheetView>
  </sheetViews>
  <sheetFormatPr baseColWidth="10" defaultColWidth="11.375" defaultRowHeight="30.1" customHeight="1" x14ac:dyDescent="0.25"/>
  <cols>
    <col min="1" max="1" width="4" style="865" customWidth="1"/>
    <col min="2" max="2" width="17.125" style="863" customWidth="1"/>
    <col min="3" max="3" width="19.625" style="863" customWidth="1"/>
    <col min="4" max="4" width="3.625" style="861" customWidth="1"/>
    <col min="5" max="5" width="14.625" style="864" customWidth="1"/>
    <col min="6" max="6" width="14.625" style="970" customWidth="1"/>
    <col min="7" max="7" width="15.75" style="861" customWidth="1"/>
    <col min="8" max="8" width="15.75" style="890" customWidth="1"/>
    <col min="9" max="9" width="21.75" style="861" customWidth="1"/>
    <col min="10" max="10" width="13" style="861" customWidth="1"/>
    <col min="11" max="11" width="12.875" style="862" customWidth="1"/>
    <col min="12" max="12" width="12.25" style="862" customWidth="1"/>
    <col min="13" max="13" width="12.75" style="862" customWidth="1"/>
    <col min="14" max="14" width="8.125" style="861" customWidth="1"/>
    <col min="15" max="15" width="7.75" style="861" customWidth="1"/>
    <col min="16" max="16" width="8.125" style="861" customWidth="1"/>
    <col min="17" max="17" width="18.125" style="1048" customWidth="1"/>
    <col min="18" max="18" width="27.375" style="861" customWidth="1"/>
    <col min="19" max="19" width="46.625" style="861" customWidth="1"/>
    <col min="20" max="16384" width="11.375" style="861"/>
  </cols>
  <sheetData>
    <row r="1" spans="1:19" ht="22.6" customHeight="1" x14ac:dyDescent="0.25">
      <c r="B1" s="911" t="s">
        <v>338</v>
      </c>
      <c r="C1" s="911" t="s">
        <v>339</v>
      </c>
      <c r="D1" s="912" t="s">
        <v>651</v>
      </c>
      <c r="E1" s="913" t="s">
        <v>341</v>
      </c>
      <c r="F1" s="914" t="s">
        <v>342</v>
      </c>
      <c r="G1" s="915" t="s">
        <v>472</v>
      </c>
      <c r="H1" s="915" t="s">
        <v>2619</v>
      </c>
      <c r="I1" s="914" t="s">
        <v>343</v>
      </c>
      <c r="J1" s="914" t="s">
        <v>0</v>
      </c>
      <c r="K1" s="916" t="s">
        <v>344</v>
      </c>
      <c r="L1" s="916" t="s">
        <v>1</v>
      </c>
      <c r="M1" s="916" t="s">
        <v>2</v>
      </c>
      <c r="N1" s="914" t="s">
        <v>549</v>
      </c>
      <c r="O1" s="914" t="s">
        <v>346</v>
      </c>
      <c r="P1" s="914" t="s">
        <v>548</v>
      </c>
      <c r="Q1" s="914" t="s">
        <v>2297</v>
      </c>
      <c r="R1" s="914" t="s">
        <v>347</v>
      </c>
      <c r="S1" s="914" t="s">
        <v>3</v>
      </c>
    </row>
    <row r="2" spans="1:19" ht="30.1" customHeight="1" x14ac:dyDescent="0.25">
      <c r="A2" s="1074"/>
      <c r="B2" s="1082" t="s">
        <v>699</v>
      </c>
      <c r="C2" s="1082" t="s">
        <v>700</v>
      </c>
      <c r="D2" s="1076" t="s">
        <v>348</v>
      </c>
      <c r="E2" s="1077">
        <v>41316304</v>
      </c>
      <c r="F2" s="970" t="s">
        <v>357</v>
      </c>
      <c r="G2" s="1076" t="s">
        <v>486</v>
      </c>
      <c r="H2" s="890" t="s">
        <v>14</v>
      </c>
      <c r="I2" s="1076" t="s">
        <v>701</v>
      </c>
      <c r="J2" s="1076">
        <v>3145354841</v>
      </c>
      <c r="K2" s="1073">
        <v>43646</v>
      </c>
      <c r="L2" s="1073">
        <v>43647</v>
      </c>
      <c r="M2" s="1073">
        <v>43738</v>
      </c>
      <c r="N2" s="861">
        <v>20</v>
      </c>
      <c r="O2" s="861" t="s">
        <v>4</v>
      </c>
      <c r="P2" s="861">
        <v>60</v>
      </c>
      <c r="Q2" s="1048" t="s">
        <v>390</v>
      </c>
      <c r="R2" s="863" t="s">
        <v>2305</v>
      </c>
    </row>
    <row r="3" spans="1:19" ht="30.1" customHeight="1" x14ac:dyDescent="0.25">
      <c r="A3" s="1074"/>
      <c r="B3" s="1082"/>
      <c r="C3" s="1082"/>
      <c r="D3" s="1076"/>
      <c r="E3" s="1077"/>
      <c r="F3" s="970" t="s">
        <v>357</v>
      </c>
      <c r="G3" s="1076"/>
      <c r="H3" s="890" t="s">
        <v>14</v>
      </c>
      <c r="I3" s="1076"/>
      <c r="J3" s="1076"/>
      <c r="K3" s="1073"/>
      <c r="L3" s="1073"/>
      <c r="M3" s="1073"/>
      <c r="N3" s="861">
        <v>20</v>
      </c>
      <c r="O3" s="861" t="s">
        <v>215</v>
      </c>
      <c r="P3" s="861">
        <v>60</v>
      </c>
      <c r="Q3" s="1048" t="s">
        <v>543</v>
      </c>
      <c r="R3" s="863"/>
    </row>
    <row r="4" spans="1:19" ht="30.1" customHeight="1" x14ac:dyDescent="0.25">
      <c r="A4" s="1074"/>
      <c r="B4" s="1082"/>
      <c r="C4" s="1082"/>
      <c r="D4" s="1076"/>
      <c r="E4" s="1077"/>
      <c r="F4" s="970" t="s">
        <v>357</v>
      </c>
      <c r="G4" s="1076"/>
      <c r="H4" s="890" t="s">
        <v>14</v>
      </c>
      <c r="I4" s="1076"/>
      <c r="J4" s="1076"/>
      <c r="K4" s="1073"/>
      <c r="L4" s="1073"/>
      <c r="M4" s="1073"/>
      <c r="N4" s="861">
        <v>20</v>
      </c>
      <c r="O4" s="861" t="s">
        <v>8</v>
      </c>
      <c r="P4" s="861">
        <v>60</v>
      </c>
      <c r="Q4" s="1048" t="s">
        <v>2299</v>
      </c>
      <c r="R4" s="863"/>
    </row>
    <row r="5" spans="1:19" ht="30.1" customHeight="1" x14ac:dyDescent="0.25">
      <c r="A5" s="1074"/>
      <c r="B5" s="1082" t="s">
        <v>800</v>
      </c>
      <c r="C5" s="1082" t="s">
        <v>2572</v>
      </c>
      <c r="D5" s="1076" t="s">
        <v>348</v>
      </c>
      <c r="E5" s="1077">
        <v>1003047477</v>
      </c>
      <c r="F5" s="970" t="s">
        <v>349</v>
      </c>
      <c r="G5" s="1076" t="s">
        <v>801</v>
      </c>
      <c r="H5" s="890" t="s">
        <v>14</v>
      </c>
      <c r="I5" s="1076" t="s">
        <v>802</v>
      </c>
      <c r="J5" s="1076">
        <v>3163308988</v>
      </c>
      <c r="K5" s="1073">
        <v>43487</v>
      </c>
      <c r="L5" s="1073">
        <v>43578</v>
      </c>
      <c r="M5" s="1073">
        <v>43668</v>
      </c>
      <c r="N5" s="861">
        <v>8</v>
      </c>
      <c r="O5" s="861" t="s">
        <v>4</v>
      </c>
      <c r="P5" s="861">
        <v>24</v>
      </c>
      <c r="Q5" s="1048" t="s">
        <v>2316</v>
      </c>
      <c r="R5" s="1076" t="s">
        <v>1696</v>
      </c>
      <c r="S5" s="1081" t="s">
        <v>1771</v>
      </c>
    </row>
    <row r="6" spans="1:19" ht="30.1" customHeight="1" x14ac:dyDescent="0.25">
      <c r="A6" s="1074"/>
      <c r="B6" s="1082"/>
      <c r="C6" s="1082"/>
      <c r="D6" s="1076"/>
      <c r="E6" s="1077"/>
      <c r="F6" s="970" t="s">
        <v>349</v>
      </c>
      <c r="G6" s="1076"/>
      <c r="H6" s="890" t="s">
        <v>14</v>
      </c>
      <c r="I6" s="1076"/>
      <c r="J6" s="1076"/>
      <c r="K6" s="1073"/>
      <c r="L6" s="1073"/>
      <c r="M6" s="1073"/>
      <c r="N6" s="861">
        <v>8</v>
      </c>
      <c r="O6" s="861" t="s">
        <v>8</v>
      </c>
      <c r="P6" s="861">
        <v>24</v>
      </c>
      <c r="Q6" s="1048" t="s">
        <v>2316</v>
      </c>
      <c r="R6" s="1076"/>
      <c r="S6" s="1081"/>
    </row>
    <row r="7" spans="1:19" ht="30.1" customHeight="1" x14ac:dyDescent="0.25">
      <c r="A7" s="1074"/>
      <c r="B7" s="1082"/>
      <c r="C7" s="1082"/>
      <c r="D7" s="1076"/>
      <c r="E7" s="1077"/>
      <c r="F7" s="970" t="s">
        <v>349</v>
      </c>
      <c r="G7" s="1076"/>
      <c r="H7" s="890" t="s">
        <v>14</v>
      </c>
      <c r="I7" s="1076"/>
      <c r="J7" s="1076"/>
      <c r="K7" s="1073"/>
      <c r="L7" s="1073"/>
      <c r="M7" s="1073"/>
      <c r="N7" s="861">
        <v>8</v>
      </c>
      <c r="O7" s="861" t="s">
        <v>215</v>
      </c>
      <c r="P7" s="861">
        <v>24</v>
      </c>
      <c r="Q7" s="1048" t="s">
        <v>2316</v>
      </c>
      <c r="R7" s="1076"/>
      <c r="S7" s="1081"/>
    </row>
    <row r="8" spans="1:19" ht="30.1" customHeight="1" x14ac:dyDescent="0.25">
      <c r="B8" s="863" t="s">
        <v>954</v>
      </c>
      <c r="C8" s="1072" t="s">
        <v>955</v>
      </c>
      <c r="D8" s="861" t="s">
        <v>348</v>
      </c>
      <c r="E8" s="864">
        <v>78753699</v>
      </c>
      <c r="F8" s="970" t="s">
        <v>906</v>
      </c>
      <c r="G8" s="861" t="s">
        <v>956</v>
      </c>
      <c r="H8" s="890" t="s">
        <v>14</v>
      </c>
      <c r="I8" s="861" t="s">
        <v>957</v>
      </c>
      <c r="J8" s="861">
        <v>3205581880</v>
      </c>
      <c r="K8" s="862">
        <v>43628</v>
      </c>
      <c r="L8" s="862">
        <v>43617</v>
      </c>
      <c r="M8" s="862">
        <v>43707</v>
      </c>
      <c r="N8" s="861">
        <v>12</v>
      </c>
      <c r="O8" s="861" t="s">
        <v>4</v>
      </c>
      <c r="P8" s="861">
        <v>36</v>
      </c>
      <c r="Q8" s="1048" t="s">
        <v>2466</v>
      </c>
      <c r="R8" s="117" t="s">
        <v>878</v>
      </c>
    </row>
    <row r="9" spans="1:19" ht="30.1" customHeight="1" x14ac:dyDescent="0.25">
      <c r="A9" s="1074"/>
      <c r="B9" s="1082" t="s">
        <v>958</v>
      </c>
      <c r="C9" s="1082" t="s">
        <v>959</v>
      </c>
      <c r="D9" s="1076" t="s">
        <v>348</v>
      </c>
      <c r="E9" s="1077">
        <v>34968598</v>
      </c>
      <c r="F9" s="970" t="s">
        <v>906</v>
      </c>
      <c r="G9" s="1076" t="s">
        <v>486</v>
      </c>
      <c r="H9" s="890" t="s">
        <v>14</v>
      </c>
      <c r="I9" s="1076" t="s">
        <v>960</v>
      </c>
      <c r="J9" s="1076" t="s">
        <v>1239</v>
      </c>
      <c r="K9" s="1073">
        <v>43650</v>
      </c>
      <c r="L9" s="1073">
        <v>43650</v>
      </c>
      <c r="M9" s="1073">
        <v>43676</v>
      </c>
      <c r="N9" s="861">
        <v>20</v>
      </c>
      <c r="O9" s="861" t="s">
        <v>4</v>
      </c>
      <c r="P9" s="861">
        <v>20</v>
      </c>
      <c r="Q9" s="1048" t="s">
        <v>822</v>
      </c>
      <c r="R9" s="863"/>
    </row>
    <row r="10" spans="1:19" ht="30.1" customHeight="1" x14ac:dyDescent="0.25">
      <c r="A10" s="1074"/>
      <c r="B10" s="1082"/>
      <c r="C10" s="1082"/>
      <c r="D10" s="1076"/>
      <c r="E10" s="1077"/>
      <c r="F10" s="970" t="s">
        <v>906</v>
      </c>
      <c r="G10" s="1076"/>
      <c r="H10" s="890" t="s">
        <v>14</v>
      </c>
      <c r="I10" s="1076"/>
      <c r="J10" s="1076"/>
      <c r="K10" s="1073"/>
      <c r="L10" s="1073"/>
      <c r="M10" s="1073"/>
      <c r="N10" s="861">
        <v>20</v>
      </c>
      <c r="O10" s="861" t="s">
        <v>8</v>
      </c>
      <c r="P10" s="861">
        <v>20</v>
      </c>
      <c r="Q10" s="1048" t="s">
        <v>2299</v>
      </c>
      <c r="R10" s="584"/>
    </row>
    <row r="11" spans="1:19" ht="30.1" customHeight="1" x14ac:dyDescent="0.25">
      <c r="B11" s="863" t="s">
        <v>961</v>
      </c>
      <c r="C11" s="863" t="s">
        <v>962</v>
      </c>
      <c r="D11" s="861" t="s">
        <v>348</v>
      </c>
      <c r="E11" s="864">
        <v>1067956060</v>
      </c>
      <c r="F11" s="970" t="s">
        <v>906</v>
      </c>
      <c r="G11" s="117" t="s">
        <v>963</v>
      </c>
      <c r="H11" s="890" t="s">
        <v>14</v>
      </c>
      <c r="I11" s="861" t="s">
        <v>964</v>
      </c>
      <c r="J11" s="861">
        <v>3147296672</v>
      </c>
      <c r="K11" s="862">
        <v>43558</v>
      </c>
      <c r="L11" s="862">
        <v>43559</v>
      </c>
      <c r="M11" s="862">
        <v>43676</v>
      </c>
      <c r="N11" s="861">
        <v>20</v>
      </c>
      <c r="O11" s="861" t="s">
        <v>4</v>
      </c>
      <c r="P11" s="861">
        <v>80</v>
      </c>
      <c r="Q11" s="1048" t="s">
        <v>390</v>
      </c>
      <c r="R11" s="861" t="s">
        <v>1413</v>
      </c>
    </row>
    <row r="12" spans="1:19" ht="30.1" customHeight="1" x14ac:dyDescent="0.25">
      <c r="B12" s="863" t="s">
        <v>1023</v>
      </c>
      <c r="C12" s="863" t="s">
        <v>959</v>
      </c>
      <c r="D12" s="861" t="s">
        <v>348</v>
      </c>
      <c r="E12" s="864">
        <v>6894680</v>
      </c>
      <c r="F12" s="970" t="s">
        <v>906</v>
      </c>
      <c r="G12" s="861" t="s">
        <v>803</v>
      </c>
      <c r="H12" s="890" t="s">
        <v>14</v>
      </c>
      <c r="I12" s="861" t="s">
        <v>1024</v>
      </c>
      <c r="J12" s="861">
        <v>3114281003</v>
      </c>
      <c r="K12" s="862">
        <v>43585</v>
      </c>
      <c r="L12" s="862">
        <v>43617</v>
      </c>
      <c r="M12" s="862">
        <v>43707</v>
      </c>
      <c r="N12" s="861">
        <v>20</v>
      </c>
      <c r="O12" s="861" t="s">
        <v>4</v>
      </c>
      <c r="P12" s="861">
        <v>60</v>
      </c>
      <c r="Q12" s="1048" t="s">
        <v>822</v>
      </c>
      <c r="R12" s="861" t="s">
        <v>1025</v>
      </c>
      <c r="S12" s="861" t="s">
        <v>1770</v>
      </c>
    </row>
    <row r="13" spans="1:19" ht="52.3" customHeight="1" x14ac:dyDescent="0.25">
      <c r="B13" s="866" t="s">
        <v>1446</v>
      </c>
      <c r="C13" s="866" t="s">
        <v>1447</v>
      </c>
      <c r="D13" s="861" t="s">
        <v>348</v>
      </c>
      <c r="E13" s="864">
        <v>50931108</v>
      </c>
      <c r="F13" s="970" t="s">
        <v>349</v>
      </c>
      <c r="G13" s="161" t="s">
        <v>1448</v>
      </c>
      <c r="H13" s="890" t="s">
        <v>14</v>
      </c>
      <c r="I13" s="861" t="s">
        <v>1449</v>
      </c>
      <c r="J13" s="861">
        <v>3123386830</v>
      </c>
      <c r="K13" s="862">
        <v>43563</v>
      </c>
      <c r="L13" s="862">
        <v>43564</v>
      </c>
      <c r="M13" s="862">
        <v>43685</v>
      </c>
      <c r="N13" s="861">
        <v>20</v>
      </c>
      <c r="O13" s="861" t="s">
        <v>4</v>
      </c>
      <c r="P13" s="861">
        <v>80</v>
      </c>
      <c r="Q13" s="1048" t="s">
        <v>2466</v>
      </c>
      <c r="R13" s="861" t="s">
        <v>1450</v>
      </c>
    </row>
    <row r="14" spans="1:19" ht="30.1" customHeight="1" x14ac:dyDescent="0.25">
      <c r="B14" s="866" t="s">
        <v>1451</v>
      </c>
      <c r="C14" s="866" t="s">
        <v>1452</v>
      </c>
      <c r="D14" s="861" t="s">
        <v>355</v>
      </c>
      <c r="E14" s="864">
        <v>1007781468</v>
      </c>
      <c r="F14" s="970" t="s">
        <v>349</v>
      </c>
      <c r="G14" s="861" t="s">
        <v>484</v>
      </c>
      <c r="H14" s="890" t="s">
        <v>14</v>
      </c>
      <c r="I14" s="861" t="s">
        <v>1453</v>
      </c>
      <c r="J14" s="861">
        <v>3234790097</v>
      </c>
      <c r="K14" s="862">
        <v>43563</v>
      </c>
      <c r="L14" s="862">
        <v>43566</v>
      </c>
      <c r="M14" s="862">
        <v>43748</v>
      </c>
      <c r="N14" s="861">
        <v>12</v>
      </c>
      <c r="O14" s="861" t="s">
        <v>4</v>
      </c>
      <c r="P14" s="861">
        <v>72</v>
      </c>
      <c r="Q14" s="1048" t="s">
        <v>2316</v>
      </c>
      <c r="R14" s="861" t="s">
        <v>1454</v>
      </c>
    </row>
    <row r="15" spans="1:19" ht="30.1" customHeight="1" x14ac:dyDescent="0.25">
      <c r="A15" s="1074"/>
      <c r="B15" s="1076" t="s">
        <v>1459</v>
      </c>
      <c r="C15" s="1076" t="s">
        <v>1460</v>
      </c>
      <c r="D15" s="1076" t="s">
        <v>348</v>
      </c>
      <c r="E15" s="1077">
        <v>78712549</v>
      </c>
      <c r="F15" s="970" t="s">
        <v>906</v>
      </c>
      <c r="G15" s="1076" t="s">
        <v>494</v>
      </c>
      <c r="H15" s="890" t="s">
        <v>14</v>
      </c>
      <c r="I15" s="1076" t="s">
        <v>1461</v>
      </c>
      <c r="J15" s="1076">
        <v>7914558</v>
      </c>
      <c r="K15" s="1073">
        <v>43591</v>
      </c>
      <c r="L15" s="1073">
        <v>43591</v>
      </c>
      <c r="M15" s="1073">
        <v>43707</v>
      </c>
      <c r="N15" s="861">
        <v>15</v>
      </c>
      <c r="O15" s="861" t="s">
        <v>215</v>
      </c>
      <c r="P15" s="861">
        <v>60</v>
      </c>
      <c r="Q15" s="1048" t="s">
        <v>543</v>
      </c>
      <c r="R15" s="1076" t="s">
        <v>1855</v>
      </c>
      <c r="S15" s="229"/>
    </row>
    <row r="16" spans="1:19" ht="30.1" customHeight="1" x14ac:dyDescent="0.25">
      <c r="A16" s="1074"/>
      <c r="B16" s="1076"/>
      <c r="C16" s="1076"/>
      <c r="D16" s="1076"/>
      <c r="E16" s="1077"/>
      <c r="F16" s="970" t="s">
        <v>906</v>
      </c>
      <c r="G16" s="1076"/>
      <c r="H16" s="890" t="s">
        <v>14</v>
      </c>
      <c r="I16" s="1076"/>
      <c r="J16" s="1076"/>
      <c r="K16" s="1073"/>
      <c r="L16" s="1073"/>
      <c r="M16" s="1073"/>
      <c r="N16" s="861">
        <v>15</v>
      </c>
      <c r="O16" s="861" t="s">
        <v>4</v>
      </c>
      <c r="P16" s="861">
        <v>60</v>
      </c>
      <c r="Q16" s="1048" t="s">
        <v>390</v>
      </c>
      <c r="R16" s="1076"/>
      <c r="S16" s="861" t="s">
        <v>2313</v>
      </c>
    </row>
    <row r="17" spans="1:19" ht="30.1" customHeight="1" x14ac:dyDescent="0.25">
      <c r="A17" s="1074"/>
      <c r="B17" s="1076"/>
      <c r="C17" s="1076"/>
      <c r="D17" s="1076"/>
      <c r="E17" s="1077"/>
      <c r="F17" s="970" t="s">
        <v>906</v>
      </c>
      <c r="G17" s="1076"/>
      <c r="H17" s="890" t="s">
        <v>14</v>
      </c>
      <c r="I17" s="1076"/>
      <c r="J17" s="1076"/>
      <c r="K17" s="1073"/>
      <c r="L17" s="1073"/>
      <c r="M17" s="1073"/>
      <c r="N17" s="861">
        <v>15</v>
      </c>
      <c r="O17" s="861" t="s">
        <v>8</v>
      </c>
      <c r="P17" s="861">
        <v>60</v>
      </c>
      <c r="Q17" s="1048" t="s">
        <v>2299</v>
      </c>
      <c r="R17" s="1076"/>
    </row>
    <row r="18" spans="1:19" ht="30.1" customHeight="1" x14ac:dyDescent="0.25">
      <c r="A18" s="1074"/>
      <c r="B18" s="1076" t="s">
        <v>1659</v>
      </c>
      <c r="C18" s="1076" t="s">
        <v>1660</v>
      </c>
      <c r="D18" s="1076" t="s">
        <v>348</v>
      </c>
      <c r="E18" s="1077">
        <v>1567235</v>
      </c>
      <c r="F18" s="970" t="s">
        <v>906</v>
      </c>
      <c r="G18" s="1076" t="s">
        <v>717</v>
      </c>
      <c r="H18" s="890" t="s">
        <v>14</v>
      </c>
      <c r="I18" s="1076" t="s">
        <v>1673</v>
      </c>
      <c r="J18" s="1076" t="s">
        <v>1674</v>
      </c>
      <c r="K18" s="1073">
        <v>43577</v>
      </c>
      <c r="L18" s="1073">
        <v>43578</v>
      </c>
      <c r="M18" s="1073">
        <v>43699</v>
      </c>
      <c r="N18" s="861">
        <v>20</v>
      </c>
      <c r="O18" s="861" t="s">
        <v>4</v>
      </c>
      <c r="P18" s="861">
        <v>80</v>
      </c>
      <c r="Q18" s="1048" t="s">
        <v>2300</v>
      </c>
      <c r="R18" s="1076" t="s">
        <v>1413</v>
      </c>
    </row>
    <row r="19" spans="1:19" ht="30.1" customHeight="1" x14ac:dyDescent="0.25">
      <c r="A19" s="1074"/>
      <c r="B19" s="1076"/>
      <c r="C19" s="1076"/>
      <c r="D19" s="1076"/>
      <c r="E19" s="1077"/>
      <c r="F19" s="970" t="s">
        <v>906</v>
      </c>
      <c r="G19" s="1076"/>
      <c r="H19" s="890" t="s">
        <v>14</v>
      </c>
      <c r="I19" s="1076"/>
      <c r="J19" s="1076"/>
      <c r="K19" s="1073"/>
      <c r="L19" s="1073"/>
      <c r="M19" s="1073"/>
      <c r="N19" s="861">
        <v>20</v>
      </c>
      <c r="O19" s="861" t="s">
        <v>215</v>
      </c>
      <c r="P19" s="861">
        <v>80</v>
      </c>
      <c r="Q19" s="1048" t="s">
        <v>543</v>
      </c>
      <c r="R19" s="1076"/>
    </row>
    <row r="20" spans="1:19" ht="30.1" customHeight="1" x14ac:dyDescent="0.25">
      <c r="A20" s="1074"/>
      <c r="B20" s="1082" t="s">
        <v>358</v>
      </c>
      <c r="C20" s="1082" t="s">
        <v>359</v>
      </c>
      <c r="D20" s="1076" t="s">
        <v>348</v>
      </c>
      <c r="E20" s="1077">
        <v>34997877</v>
      </c>
      <c r="F20" s="970" t="s">
        <v>349</v>
      </c>
      <c r="G20" s="1076" t="s">
        <v>496</v>
      </c>
      <c r="H20" s="890" t="s">
        <v>14</v>
      </c>
      <c r="I20" s="1076" t="s">
        <v>1745</v>
      </c>
      <c r="J20" s="1076" t="s">
        <v>1746</v>
      </c>
      <c r="K20" s="1073">
        <v>43584</v>
      </c>
      <c r="L20" s="1073">
        <v>43585</v>
      </c>
      <c r="M20" s="1073">
        <v>43706</v>
      </c>
      <c r="N20" s="861">
        <v>60</v>
      </c>
      <c r="O20" s="861" t="s">
        <v>4</v>
      </c>
      <c r="P20" s="861">
        <v>240</v>
      </c>
      <c r="Q20" s="1048" t="s">
        <v>822</v>
      </c>
      <c r="R20" s="1076" t="s">
        <v>1747</v>
      </c>
    </row>
    <row r="21" spans="1:19" ht="30.1" customHeight="1" x14ac:dyDescent="0.25">
      <c r="A21" s="1074"/>
      <c r="B21" s="1082"/>
      <c r="C21" s="1082"/>
      <c r="D21" s="1076"/>
      <c r="E21" s="1077"/>
      <c r="F21" s="970" t="s">
        <v>349</v>
      </c>
      <c r="G21" s="1076"/>
      <c r="H21" s="890" t="s">
        <v>14</v>
      </c>
      <c r="I21" s="1076"/>
      <c r="J21" s="1076"/>
      <c r="K21" s="1073"/>
      <c r="L21" s="1073"/>
      <c r="M21" s="1073"/>
      <c r="N21" s="861">
        <v>30</v>
      </c>
      <c r="O21" s="861" t="s">
        <v>215</v>
      </c>
      <c r="P21" s="861">
        <v>120</v>
      </c>
      <c r="Q21" s="1048" t="s">
        <v>2540</v>
      </c>
      <c r="R21" s="1076"/>
    </row>
    <row r="22" spans="1:19" ht="30.1" customHeight="1" x14ac:dyDescent="0.25">
      <c r="B22" s="863" t="s">
        <v>1173</v>
      </c>
      <c r="C22" s="863" t="s">
        <v>1174</v>
      </c>
      <c r="D22" s="861" t="s">
        <v>348</v>
      </c>
      <c r="E22" s="864">
        <v>34960951</v>
      </c>
      <c r="F22" s="970" t="s">
        <v>906</v>
      </c>
      <c r="G22" s="861" t="s">
        <v>493</v>
      </c>
      <c r="H22" s="890" t="s">
        <v>14</v>
      </c>
      <c r="I22" s="861" t="s">
        <v>1175</v>
      </c>
      <c r="J22" s="861" t="s">
        <v>1176</v>
      </c>
      <c r="K22" s="862">
        <v>43585</v>
      </c>
      <c r="L22" s="862">
        <v>43587</v>
      </c>
      <c r="M22" s="862">
        <v>43676</v>
      </c>
      <c r="N22" s="861">
        <v>12</v>
      </c>
      <c r="O22" s="861" t="s">
        <v>4</v>
      </c>
      <c r="P22" s="861">
        <v>36</v>
      </c>
      <c r="Q22" s="1048" t="s">
        <v>2300</v>
      </c>
    </row>
    <row r="23" spans="1:19" ht="30.1" customHeight="1" x14ac:dyDescent="0.25">
      <c r="B23" s="221" t="s">
        <v>533</v>
      </c>
      <c r="C23" s="221" t="s">
        <v>602</v>
      </c>
      <c r="D23" s="30" t="s">
        <v>348</v>
      </c>
      <c r="E23" s="31">
        <v>1574006</v>
      </c>
      <c r="F23" s="971" t="s">
        <v>349</v>
      </c>
      <c r="G23" s="30" t="s">
        <v>481</v>
      </c>
      <c r="H23" s="890" t="s">
        <v>14</v>
      </c>
      <c r="I23" s="30" t="s">
        <v>482</v>
      </c>
      <c r="J23" s="30" t="s">
        <v>483</v>
      </c>
      <c r="K23" s="32">
        <v>43591</v>
      </c>
      <c r="L23" s="32">
        <v>43605</v>
      </c>
      <c r="M23" s="32">
        <v>43696</v>
      </c>
      <c r="N23" s="30">
        <v>20</v>
      </c>
      <c r="O23" s="30" t="s">
        <v>4</v>
      </c>
      <c r="P23" s="30">
        <v>60</v>
      </c>
      <c r="Q23" s="1050" t="s">
        <v>822</v>
      </c>
      <c r="R23" s="30" t="s">
        <v>648</v>
      </c>
      <c r="S23" s="30" t="s">
        <v>1992</v>
      </c>
    </row>
    <row r="24" spans="1:19" ht="30.1" customHeight="1" x14ac:dyDescent="0.25">
      <c r="B24" s="863" t="s">
        <v>2007</v>
      </c>
      <c r="C24" s="863" t="s">
        <v>2008</v>
      </c>
      <c r="D24" s="861" t="s">
        <v>348</v>
      </c>
      <c r="E24" s="864">
        <v>25778208</v>
      </c>
      <c r="F24" s="970" t="s">
        <v>362</v>
      </c>
      <c r="G24" s="861" t="s">
        <v>486</v>
      </c>
      <c r="H24" s="890" t="s">
        <v>14</v>
      </c>
      <c r="I24" s="861" t="s">
        <v>2009</v>
      </c>
      <c r="J24" s="861" t="s">
        <v>2010</v>
      </c>
      <c r="K24" s="862">
        <v>43603</v>
      </c>
      <c r="L24" s="862">
        <v>43605</v>
      </c>
      <c r="M24" s="862">
        <v>43757</v>
      </c>
      <c r="N24" s="861">
        <v>20</v>
      </c>
      <c r="O24" s="861" t="s">
        <v>4</v>
      </c>
      <c r="P24" s="861">
        <v>90</v>
      </c>
      <c r="Q24" s="1048" t="s">
        <v>2466</v>
      </c>
      <c r="R24" s="861" t="s">
        <v>2011</v>
      </c>
    </row>
    <row r="25" spans="1:19" ht="30.1" customHeight="1" x14ac:dyDescent="0.25">
      <c r="B25" s="866" t="s">
        <v>2051</v>
      </c>
      <c r="C25" s="866" t="s">
        <v>2052</v>
      </c>
      <c r="D25" s="861" t="s">
        <v>348</v>
      </c>
      <c r="E25" s="864">
        <v>34976329</v>
      </c>
      <c r="F25" s="970" t="s">
        <v>349</v>
      </c>
      <c r="G25" s="861" t="s">
        <v>490</v>
      </c>
      <c r="H25" s="890" t="s">
        <v>14</v>
      </c>
      <c r="I25" s="861" t="s">
        <v>2053</v>
      </c>
      <c r="J25" s="861" t="s">
        <v>2054</v>
      </c>
      <c r="K25" s="862">
        <v>43607</v>
      </c>
      <c r="L25" s="862">
        <v>43608</v>
      </c>
      <c r="M25" s="862">
        <v>43699</v>
      </c>
      <c r="N25" s="861">
        <v>12</v>
      </c>
      <c r="O25" s="861" t="s">
        <v>4</v>
      </c>
      <c r="P25" s="861">
        <v>36</v>
      </c>
      <c r="Q25" s="1048" t="s">
        <v>2313</v>
      </c>
      <c r="R25" s="861" t="s">
        <v>722</v>
      </c>
    </row>
    <row r="26" spans="1:19" ht="30.1" customHeight="1" x14ac:dyDescent="0.25">
      <c r="B26" s="1076" t="s">
        <v>2109</v>
      </c>
      <c r="C26" s="1076" t="s">
        <v>2110</v>
      </c>
      <c r="D26" s="1076" t="s">
        <v>348</v>
      </c>
      <c r="E26" s="1077">
        <v>6858556</v>
      </c>
      <c r="F26" s="970" t="s">
        <v>906</v>
      </c>
      <c r="G26" s="1076" t="s">
        <v>490</v>
      </c>
      <c r="H26" s="890" t="s">
        <v>14</v>
      </c>
      <c r="I26" s="1076" t="s">
        <v>2111</v>
      </c>
      <c r="J26" s="1076" t="s">
        <v>2112</v>
      </c>
      <c r="K26" s="1073">
        <v>43615</v>
      </c>
      <c r="L26" s="1073">
        <v>43617</v>
      </c>
      <c r="M26" s="1073">
        <v>43738</v>
      </c>
      <c r="N26" s="861">
        <v>20</v>
      </c>
      <c r="O26" s="861" t="s">
        <v>4</v>
      </c>
      <c r="P26" s="861">
        <v>20</v>
      </c>
      <c r="Q26" s="1048" t="s">
        <v>822</v>
      </c>
      <c r="R26" s="1076" t="s">
        <v>2113</v>
      </c>
    </row>
    <row r="27" spans="1:19" ht="30.1" customHeight="1" x14ac:dyDescent="0.25">
      <c r="B27" s="1076"/>
      <c r="C27" s="1076"/>
      <c r="D27" s="1076"/>
      <c r="E27" s="1077"/>
      <c r="F27" s="970" t="s">
        <v>906</v>
      </c>
      <c r="G27" s="1076"/>
      <c r="H27" s="890" t="s">
        <v>14</v>
      </c>
      <c r="I27" s="1076"/>
      <c r="J27" s="1076"/>
      <c r="K27" s="1073"/>
      <c r="L27" s="1073"/>
      <c r="M27" s="1073"/>
      <c r="N27" s="861">
        <v>20</v>
      </c>
      <c r="O27" s="861" t="s">
        <v>8</v>
      </c>
      <c r="P27" s="861">
        <v>80</v>
      </c>
      <c r="Q27" s="1048" t="s">
        <v>2299</v>
      </c>
      <c r="R27" s="1076"/>
    </row>
    <row r="28" spans="1:19" ht="30.1" customHeight="1" x14ac:dyDescent="0.25">
      <c r="A28" s="1078"/>
      <c r="B28" s="1076" t="s">
        <v>2142</v>
      </c>
      <c r="C28" s="1076" t="s">
        <v>2143</v>
      </c>
      <c r="D28" s="1076" t="s">
        <v>355</v>
      </c>
      <c r="E28" s="1077">
        <v>1003048558</v>
      </c>
      <c r="F28" s="970" t="s">
        <v>906</v>
      </c>
      <c r="G28" s="1076" t="s">
        <v>2144</v>
      </c>
      <c r="H28" s="890" t="s">
        <v>14</v>
      </c>
      <c r="I28" s="1076" t="s">
        <v>2145</v>
      </c>
      <c r="J28" s="1076" t="s">
        <v>2146</v>
      </c>
      <c r="K28" s="1073">
        <v>43668</v>
      </c>
      <c r="L28" s="1073">
        <v>43669</v>
      </c>
      <c r="M28" s="1073">
        <v>43699</v>
      </c>
      <c r="N28" s="861">
        <v>8</v>
      </c>
      <c r="O28" s="861" t="s">
        <v>4</v>
      </c>
      <c r="P28" s="861">
        <v>8</v>
      </c>
      <c r="Q28" s="1048" t="s">
        <v>822</v>
      </c>
    </row>
    <row r="29" spans="1:19" ht="30.1" customHeight="1" x14ac:dyDescent="0.25">
      <c r="A29" s="1079"/>
      <c r="B29" s="1076"/>
      <c r="C29" s="1076"/>
      <c r="D29" s="1076"/>
      <c r="E29" s="1077"/>
      <c r="F29" s="970" t="s">
        <v>906</v>
      </c>
      <c r="G29" s="1076"/>
      <c r="H29" s="890" t="s">
        <v>14</v>
      </c>
      <c r="I29" s="1076"/>
      <c r="J29" s="1076"/>
      <c r="K29" s="1073"/>
      <c r="L29" s="1073"/>
      <c r="M29" s="1073"/>
      <c r="N29" s="861">
        <v>8</v>
      </c>
      <c r="O29" s="861" t="s">
        <v>8</v>
      </c>
      <c r="P29" s="861">
        <v>8</v>
      </c>
      <c r="Q29" s="1048" t="s">
        <v>2299</v>
      </c>
    </row>
    <row r="30" spans="1:19" ht="30.1" customHeight="1" x14ac:dyDescent="0.25">
      <c r="A30" s="1080"/>
      <c r="B30" s="1076"/>
      <c r="C30" s="1076"/>
      <c r="D30" s="1076"/>
      <c r="E30" s="1077"/>
      <c r="F30" s="970" t="s">
        <v>906</v>
      </c>
      <c r="G30" s="1076"/>
      <c r="H30" s="890" t="s">
        <v>14</v>
      </c>
      <c r="I30" s="1076"/>
      <c r="J30" s="1076"/>
      <c r="K30" s="1073"/>
      <c r="L30" s="1073"/>
      <c r="M30" s="1073"/>
      <c r="N30" s="861">
        <v>8</v>
      </c>
      <c r="O30" s="861" t="s">
        <v>215</v>
      </c>
      <c r="P30" s="861">
        <v>8</v>
      </c>
      <c r="Q30" s="1048" t="s">
        <v>543</v>
      </c>
      <c r="R30" s="861" t="s">
        <v>2616</v>
      </c>
    </row>
    <row r="31" spans="1:19" ht="30.1" customHeight="1" x14ac:dyDescent="0.25">
      <c r="B31" s="863" t="s">
        <v>2230</v>
      </c>
      <c r="C31" s="863" t="s">
        <v>2231</v>
      </c>
      <c r="D31" s="861" t="s">
        <v>348</v>
      </c>
      <c r="E31" s="864">
        <v>1233341441</v>
      </c>
      <c r="F31" s="970" t="s">
        <v>835</v>
      </c>
      <c r="H31" s="890" t="s">
        <v>14</v>
      </c>
      <c r="I31" s="863" t="s">
        <v>1763</v>
      </c>
      <c r="J31" s="863" t="s">
        <v>1764</v>
      </c>
      <c r="K31" s="862">
        <v>43661</v>
      </c>
      <c r="L31" s="862">
        <v>43662</v>
      </c>
      <c r="M31" s="862">
        <v>43692</v>
      </c>
      <c r="N31" s="861">
        <v>12</v>
      </c>
      <c r="O31" s="861" t="s">
        <v>4</v>
      </c>
      <c r="P31" s="861">
        <v>12</v>
      </c>
      <c r="Q31" s="1048" t="s">
        <v>2310</v>
      </c>
    </row>
    <row r="32" spans="1:19" ht="30.1" customHeight="1" x14ac:dyDescent="0.25">
      <c r="B32" s="861" t="s">
        <v>2232</v>
      </c>
      <c r="C32" s="861" t="s">
        <v>2233</v>
      </c>
      <c r="D32" s="861" t="s">
        <v>355</v>
      </c>
      <c r="E32" s="864">
        <v>1138077470</v>
      </c>
      <c r="F32" s="970" t="s">
        <v>349</v>
      </c>
      <c r="G32" s="861" t="s">
        <v>484</v>
      </c>
      <c r="H32" s="890" t="s">
        <v>14</v>
      </c>
      <c r="I32" s="861" t="s">
        <v>2234</v>
      </c>
      <c r="J32" s="861" t="s">
        <v>2235</v>
      </c>
      <c r="K32" s="862">
        <v>43651</v>
      </c>
      <c r="L32" s="862">
        <v>43654</v>
      </c>
      <c r="M32" s="862">
        <v>43738</v>
      </c>
      <c r="N32" s="861">
        <v>12</v>
      </c>
      <c r="O32" s="861" t="s">
        <v>4</v>
      </c>
      <c r="P32" s="861">
        <v>36</v>
      </c>
      <c r="Q32" s="1048" t="s">
        <v>1869</v>
      </c>
    </row>
    <row r="33" spans="1:19" ht="30.1" customHeight="1" x14ac:dyDescent="0.25">
      <c r="A33" s="1074"/>
      <c r="B33" s="1076" t="s">
        <v>1761</v>
      </c>
      <c r="C33" s="1076" t="s">
        <v>1762</v>
      </c>
      <c r="D33" s="1076" t="s">
        <v>348</v>
      </c>
      <c r="E33" s="1077">
        <v>1233341440</v>
      </c>
      <c r="F33" s="970" t="s">
        <v>835</v>
      </c>
      <c r="G33" s="1076" t="s">
        <v>484</v>
      </c>
      <c r="H33" s="890" t="s">
        <v>14</v>
      </c>
      <c r="I33" s="1076" t="s">
        <v>1763</v>
      </c>
      <c r="J33" s="1076" t="s">
        <v>1764</v>
      </c>
      <c r="K33" s="1073">
        <v>43630</v>
      </c>
      <c r="L33" s="1073">
        <v>43662</v>
      </c>
      <c r="M33" s="1073">
        <v>43692</v>
      </c>
      <c r="N33" s="861">
        <v>12</v>
      </c>
      <c r="O33" s="861" t="s">
        <v>4</v>
      </c>
      <c r="P33" s="861">
        <v>12</v>
      </c>
      <c r="Q33" s="1048" t="s">
        <v>2310</v>
      </c>
    </row>
    <row r="34" spans="1:19" ht="30.1" customHeight="1" x14ac:dyDescent="0.25">
      <c r="A34" s="1074"/>
      <c r="B34" s="1076"/>
      <c r="C34" s="1076"/>
      <c r="D34" s="1076"/>
      <c r="E34" s="1077"/>
      <c r="F34" s="970" t="s">
        <v>835</v>
      </c>
      <c r="G34" s="1076"/>
      <c r="H34" s="890" t="s">
        <v>14</v>
      </c>
      <c r="I34" s="1076"/>
      <c r="J34" s="1076"/>
      <c r="K34" s="1073"/>
      <c r="L34" s="1073"/>
      <c r="M34" s="1073"/>
      <c r="N34" s="861">
        <v>12</v>
      </c>
      <c r="O34" s="861" t="s">
        <v>8</v>
      </c>
      <c r="P34" s="861">
        <v>12</v>
      </c>
      <c r="Q34" s="1048" t="s">
        <v>2299</v>
      </c>
    </row>
    <row r="35" spans="1:19" ht="30.1" customHeight="1" x14ac:dyDescent="0.25">
      <c r="B35" s="863" t="s">
        <v>2604</v>
      </c>
      <c r="C35" s="863" t="s">
        <v>2256</v>
      </c>
      <c r="D35" s="861" t="s">
        <v>348</v>
      </c>
      <c r="E35" s="864">
        <v>22155091</v>
      </c>
      <c r="F35" s="970" t="s">
        <v>349</v>
      </c>
      <c r="G35" s="861" t="s">
        <v>584</v>
      </c>
      <c r="H35" s="890" t="s">
        <v>14</v>
      </c>
      <c r="I35" s="861" t="s">
        <v>2257</v>
      </c>
      <c r="J35" s="861">
        <v>3105003466</v>
      </c>
      <c r="K35" s="862">
        <v>43634</v>
      </c>
      <c r="L35" s="862">
        <v>43665</v>
      </c>
      <c r="M35" s="862">
        <v>43756</v>
      </c>
      <c r="N35" s="861">
        <v>30</v>
      </c>
      <c r="O35" s="861" t="s">
        <v>4</v>
      </c>
      <c r="P35" s="861">
        <v>90</v>
      </c>
      <c r="Q35" s="1048" t="s">
        <v>2310</v>
      </c>
      <c r="R35" s="861" t="s">
        <v>2258</v>
      </c>
    </row>
    <row r="36" spans="1:19" ht="30.1" customHeight="1" x14ac:dyDescent="0.25">
      <c r="B36" s="863" t="s">
        <v>854</v>
      </c>
      <c r="C36" s="863" t="s">
        <v>855</v>
      </c>
      <c r="D36" s="861" t="s">
        <v>348</v>
      </c>
      <c r="E36" s="864">
        <v>25775590</v>
      </c>
      <c r="F36" s="970" t="s">
        <v>349</v>
      </c>
      <c r="G36" s="861" t="s">
        <v>490</v>
      </c>
      <c r="H36" s="890" t="s">
        <v>14</v>
      </c>
      <c r="I36" s="861" t="s">
        <v>856</v>
      </c>
      <c r="J36" s="861" t="s">
        <v>857</v>
      </c>
      <c r="K36" s="862">
        <v>43642</v>
      </c>
      <c r="L36" s="862">
        <v>43643</v>
      </c>
      <c r="M36" s="862">
        <v>43734</v>
      </c>
      <c r="N36" s="861">
        <v>10</v>
      </c>
      <c r="O36" s="861" t="s">
        <v>4</v>
      </c>
      <c r="P36" s="861">
        <v>30</v>
      </c>
      <c r="Q36" s="1048" t="s">
        <v>2300</v>
      </c>
      <c r="R36" s="861" t="s">
        <v>2288</v>
      </c>
      <c r="S36" s="861" t="s">
        <v>415</v>
      </c>
    </row>
    <row r="37" spans="1:19" ht="30.1" customHeight="1" x14ac:dyDescent="0.25">
      <c r="A37" s="1074"/>
      <c r="B37" s="1084" t="s">
        <v>2289</v>
      </c>
      <c r="C37" s="1084" t="s">
        <v>2290</v>
      </c>
      <c r="D37" s="1084" t="s">
        <v>348</v>
      </c>
      <c r="E37" s="1085">
        <v>1067902346</v>
      </c>
      <c r="F37" s="971" t="s">
        <v>349</v>
      </c>
      <c r="G37" s="1084" t="s">
        <v>484</v>
      </c>
      <c r="H37" s="890" t="s">
        <v>14</v>
      </c>
      <c r="I37" s="1084" t="s">
        <v>2291</v>
      </c>
      <c r="J37" s="1084">
        <v>3145543192</v>
      </c>
      <c r="K37" s="1083">
        <v>43642</v>
      </c>
      <c r="L37" s="1083">
        <v>43643</v>
      </c>
      <c r="M37" s="1083">
        <v>43734</v>
      </c>
      <c r="N37" s="30">
        <v>20</v>
      </c>
      <c r="O37" s="30" t="s">
        <v>4</v>
      </c>
      <c r="P37" s="30">
        <v>60</v>
      </c>
      <c r="Q37" s="1050" t="s">
        <v>2298</v>
      </c>
      <c r="R37" s="1084" t="s">
        <v>352</v>
      </c>
      <c r="S37" s="30"/>
    </row>
    <row r="38" spans="1:19" ht="30.1" customHeight="1" x14ac:dyDescent="0.25">
      <c r="A38" s="1074"/>
      <c r="B38" s="1084"/>
      <c r="C38" s="1084"/>
      <c r="D38" s="1084"/>
      <c r="E38" s="1085"/>
      <c r="F38" s="971" t="s">
        <v>349</v>
      </c>
      <c r="G38" s="1084"/>
      <c r="H38" s="890" t="s">
        <v>14</v>
      </c>
      <c r="I38" s="1084"/>
      <c r="J38" s="1084"/>
      <c r="K38" s="1083"/>
      <c r="L38" s="1083"/>
      <c r="M38" s="1083"/>
      <c r="N38" s="861">
        <v>20</v>
      </c>
      <c r="O38" s="861" t="s">
        <v>215</v>
      </c>
      <c r="P38" s="861">
        <v>60</v>
      </c>
      <c r="Q38" s="1048" t="s">
        <v>543</v>
      </c>
      <c r="R38" s="1084"/>
    </row>
    <row r="39" spans="1:19" ht="38.049999999999997" customHeight="1" x14ac:dyDescent="0.25">
      <c r="B39" s="863" t="s">
        <v>870</v>
      </c>
      <c r="C39" s="863" t="s">
        <v>871</v>
      </c>
      <c r="D39" s="861" t="s">
        <v>348</v>
      </c>
      <c r="E39" s="864">
        <v>10790655</v>
      </c>
      <c r="F39" s="970" t="s">
        <v>349</v>
      </c>
      <c r="G39" s="861" t="s">
        <v>584</v>
      </c>
      <c r="H39" s="890" t="s">
        <v>14</v>
      </c>
      <c r="I39" s="861" t="s">
        <v>872</v>
      </c>
      <c r="J39" s="861" t="s">
        <v>873</v>
      </c>
      <c r="K39" s="862">
        <v>43637</v>
      </c>
      <c r="L39" s="862">
        <v>43643</v>
      </c>
      <c r="M39" s="862">
        <v>43734</v>
      </c>
      <c r="N39" s="861">
        <v>20</v>
      </c>
      <c r="O39" s="861" t="s">
        <v>4</v>
      </c>
      <c r="P39" s="861">
        <v>60</v>
      </c>
      <c r="Q39" s="1048" t="s">
        <v>2301</v>
      </c>
      <c r="R39" s="861" t="s">
        <v>1025</v>
      </c>
    </row>
    <row r="40" spans="1:19" ht="30.1" customHeight="1" x14ac:dyDescent="0.25">
      <c r="A40" s="1074"/>
      <c r="B40" s="1082" t="s">
        <v>1278</v>
      </c>
      <c r="C40" s="1082" t="s">
        <v>2416</v>
      </c>
      <c r="D40" s="1076" t="s">
        <v>348</v>
      </c>
      <c r="E40" s="1077">
        <v>1067955615</v>
      </c>
      <c r="F40" s="970" t="s">
        <v>349</v>
      </c>
      <c r="G40" s="1076" t="s">
        <v>484</v>
      </c>
      <c r="H40" s="890" t="s">
        <v>14</v>
      </c>
      <c r="I40" s="1076" t="s">
        <v>1279</v>
      </c>
      <c r="J40" s="1076">
        <v>3145862419</v>
      </c>
      <c r="K40" s="1073">
        <v>43644</v>
      </c>
      <c r="L40" s="1073">
        <v>43648</v>
      </c>
      <c r="M40" s="1073">
        <v>43829</v>
      </c>
      <c r="N40" s="861">
        <v>12</v>
      </c>
      <c r="O40" s="861" t="s">
        <v>4</v>
      </c>
      <c r="P40" s="861">
        <v>72</v>
      </c>
      <c r="Q40" s="1048" t="s">
        <v>2301</v>
      </c>
      <c r="R40" s="1076" t="s">
        <v>2329</v>
      </c>
    </row>
    <row r="41" spans="1:19" ht="30.1" customHeight="1" x14ac:dyDescent="0.25">
      <c r="A41" s="1074"/>
      <c r="B41" s="1082"/>
      <c r="C41" s="1082"/>
      <c r="D41" s="1076"/>
      <c r="E41" s="1077"/>
      <c r="F41" s="970" t="s">
        <v>349</v>
      </c>
      <c r="G41" s="1076"/>
      <c r="H41" s="890" t="s">
        <v>14</v>
      </c>
      <c r="I41" s="1076"/>
      <c r="J41" s="1076"/>
      <c r="K41" s="1073"/>
      <c r="L41" s="1073"/>
      <c r="M41" s="1073"/>
      <c r="N41" s="861">
        <v>12</v>
      </c>
      <c r="O41" s="861" t="s">
        <v>215</v>
      </c>
      <c r="P41" s="861">
        <v>72</v>
      </c>
      <c r="Q41" s="1048" t="s">
        <v>2540</v>
      </c>
      <c r="R41" s="1076"/>
    </row>
    <row r="42" spans="1:19" ht="30.1" customHeight="1" x14ac:dyDescent="0.25">
      <c r="A42" s="1074"/>
      <c r="B42" s="1082"/>
      <c r="C42" s="1082"/>
      <c r="D42" s="1076"/>
      <c r="E42" s="1077"/>
      <c r="F42" s="970" t="s">
        <v>349</v>
      </c>
      <c r="G42" s="1076"/>
      <c r="H42" s="890" t="s">
        <v>14</v>
      </c>
      <c r="I42" s="1076"/>
      <c r="J42" s="1076"/>
      <c r="K42" s="1073"/>
      <c r="L42" s="1073"/>
      <c r="M42" s="1073"/>
      <c r="N42" s="861">
        <v>12</v>
      </c>
      <c r="O42" s="861" t="s">
        <v>8</v>
      </c>
      <c r="P42" s="861">
        <v>72</v>
      </c>
      <c r="Q42" s="1048" t="s">
        <v>2299</v>
      </c>
      <c r="R42" s="1076"/>
    </row>
    <row r="43" spans="1:19" ht="30.1" customHeight="1" x14ac:dyDescent="0.25">
      <c r="A43" s="1078"/>
      <c r="B43" s="1076" t="s">
        <v>2330</v>
      </c>
      <c r="C43" s="1076" t="s">
        <v>2331</v>
      </c>
      <c r="D43" s="1076" t="s">
        <v>348</v>
      </c>
      <c r="E43" s="1077">
        <v>6572107</v>
      </c>
      <c r="F43" s="970" t="s">
        <v>362</v>
      </c>
      <c r="G43" s="1076" t="s">
        <v>490</v>
      </c>
      <c r="H43" s="890" t="s">
        <v>14</v>
      </c>
      <c r="I43" s="1076" t="s">
        <v>2557</v>
      </c>
      <c r="J43" s="1076" t="s">
        <v>2558</v>
      </c>
      <c r="K43" s="1073">
        <v>43633</v>
      </c>
      <c r="L43" s="1073">
        <v>43634</v>
      </c>
      <c r="M43" s="1073">
        <v>43725</v>
      </c>
      <c r="N43" s="861">
        <v>20</v>
      </c>
      <c r="O43" s="861" t="s">
        <v>4</v>
      </c>
      <c r="P43" s="861">
        <v>60</v>
      </c>
      <c r="Q43" s="1048" t="s">
        <v>2466</v>
      </c>
    </row>
    <row r="44" spans="1:19" ht="30.1" customHeight="1" x14ac:dyDescent="0.25">
      <c r="A44" s="1079"/>
      <c r="B44" s="1076"/>
      <c r="C44" s="1076"/>
      <c r="D44" s="1076"/>
      <c r="E44" s="1077"/>
      <c r="F44" s="970" t="s">
        <v>362</v>
      </c>
      <c r="G44" s="1076"/>
      <c r="H44" s="890" t="s">
        <v>14</v>
      </c>
      <c r="I44" s="1076"/>
      <c r="J44" s="1076"/>
      <c r="K44" s="1073"/>
      <c r="L44" s="1073"/>
      <c r="M44" s="1073"/>
      <c r="N44" s="861">
        <v>20</v>
      </c>
      <c r="O44" s="861" t="s">
        <v>215</v>
      </c>
      <c r="P44" s="861">
        <v>60</v>
      </c>
      <c r="Q44" s="1048" t="s">
        <v>2540</v>
      </c>
    </row>
    <row r="45" spans="1:19" ht="30.1" customHeight="1" x14ac:dyDescent="0.25">
      <c r="A45" s="1080"/>
      <c r="B45" s="1076"/>
      <c r="C45" s="1076"/>
      <c r="D45" s="1076"/>
      <c r="E45" s="1077"/>
      <c r="F45" s="970" t="s">
        <v>362</v>
      </c>
      <c r="G45" s="1076"/>
      <c r="H45" s="890" t="s">
        <v>14</v>
      </c>
      <c r="I45" s="1076"/>
      <c r="J45" s="1076"/>
      <c r="K45" s="1073"/>
      <c r="L45" s="1073"/>
      <c r="M45" s="1073"/>
      <c r="N45" s="861">
        <v>20</v>
      </c>
      <c r="O45" s="861" t="s">
        <v>8</v>
      </c>
      <c r="P45" s="861">
        <v>60</v>
      </c>
      <c r="Q45" s="1048" t="s">
        <v>2419</v>
      </c>
    </row>
    <row r="46" spans="1:19" ht="30.1" customHeight="1" x14ac:dyDescent="0.25">
      <c r="B46" s="863" t="s">
        <v>1194</v>
      </c>
      <c r="C46" s="863" t="s">
        <v>1195</v>
      </c>
      <c r="D46" s="861" t="s">
        <v>348</v>
      </c>
      <c r="E46" s="864">
        <v>25837239</v>
      </c>
      <c r="F46" s="970" t="s">
        <v>349</v>
      </c>
      <c r="G46" s="117" t="s">
        <v>1196</v>
      </c>
      <c r="H46" s="890" t="s">
        <v>14</v>
      </c>
      <c r="I46" s="861" t="s">
        <v>1197</v>
      </c>
      <c r="J46" s="861" t="s">
        <v>1198</v>
      </c>
      <c r="K46" s="862">
        <v>43649</v>
      </c>
      <c r="L46" s="862">
        <v>43649</v>
      </c>
      <c r="M46" s="862">
        <v>43707</v>
      </c>
      <c r="N46" s="861">
        <v>20</v>
      </c>
      <c r="O46" s="861" t="s">
        <v>4</v>
      </c>
      <c r="P46" s="861">
        <v>40</v>
      </c>
      <c r="Q46" s="1048" t="s">
        <v>2298</v>
      </c>
      <c r="R46" s="861" t="s">
        <v>2344</v>
      </c>
    </row>
    <row r="47" spans="1:19" ht="30.1" customHeight="1" x14ac:dyDescent="0.25">
      <c r="A47" s="1078"/>
      <c r="B47" s="1076" t="s">
        <v>2358</v>
      </c>
      <c r="C47" s="1076" t="s">
        <v>2359</v>
      </c>
      <c r="D47" s="1076" t="s">
        <v>348</v>
      </c>
      <c r="E47" s="1077">
        <v>1037639115</v>
      </c>
      <c r="F47" s="970" t="s">
        <v>349</v>
      </c>
      <c r="G47" s="1076" t="s">
        <v>497</v>
      </c>
      <c r="H47" s="890" t="s">
        <v>14</v>
      </c>
      <c r="I47" s="1076" t="s">
        <v>2360</v>
      </c>
      <c r="J47" s="1076">
        <v>3175857780</v>
      </c>
      <c r="K47" s="1073">
        <v>43650</v>
      </c>
      <c r="L47" s="1073">
        <v>43650</v>
      </c>
      <c r="M47" s="1073">
        <v>43676</v>
      </c>
      <c r="N47" s="861">
        <v>20</v>
      </c>
      <c r="O47" s="861" t="s">
        <v>4</v>
      </c>
      <c r="P47" s="861">
        <v>20</v>
      </c>
      <c r="Q47" s="1048" t="s">
        <v>1869</v>
      </c>
    </row>
    <row r="48" spans="1:19" ht="30.1" customHeight="1" x14ac:dyDescent="0.25">
      <c r="A48" s="1080"/>
      <c r="B48" s="1076"/>
      <c r="C48" s="1076"/>
      <c r="D48" s="1076"/>
      <c r="E48" s="1077"/>
      <c r="F48" s="970" t="s">
        <v>349</v>
      </c>
      <c r="G48" s="1076"/>
      <c r="H48" s="890" t="s">
        <v>14</v>
      </c>
      <c r="I48" s="1076"/>
      <c r="J48" s="1076"/>
      <c r="K48" s="1073"/>
      <c r="L48" s="1073"/>
      <c r="M48" s="1073"/>
      <c r="N48" s="861">
        <v>20</v>
      </c>
      <c r="O48" s="861" t="s">
        <v>8</v>
      </c>
      <c r="P48" s="861">
        <v>20</v>
      </c>
      <c r="Q48" s="1048" t="s">
        <v>2299</v>
      </c>
    </row>
    <row r="49" spans="1:19" ht="30.1" customHeight="1" x14ac:dyDescent="0.25">
      <c r="A49" s="1074"/>
      <c r="B49" s="1075" t="s">
        <v>533</v>
      </c>
      <c r="C49" s="1075" t="s">
        <v>1466</v>
      </c>
      <c r="D49" s="1076" t="s">
        <v>348</v>
      </c>
      <c r="E49" s="1077">
        <v>6573462</v>
      </c>
      <c r="F49" s="970" t="s">
        <v>906</v>
      </c>
      <c r="G49" s="1076" t="s">
        <v>486</v>
      </c>
      <c r="H49" s="890" t="s">
        <v>14</v>
      </c>
      <c r="I49" s="1076" t="s">
        <v>1467</v>
      </c>
      <c r="J49" s="1076">
        <v>3205547766</v>
      </c>
      <c r="K49" s="1073">
        <v>43655</v>
      </c>
      <c r="L49" s="1073">
        <v>43656</v>
      </c>
      <c r="M49" s="1073">
        <v>43686</v>
      </c>
      <c r="N49" s="861">
        <v>20</v>
      </c>
      <c r="O49" s="861" t="s">
        <v>4</v>
      </c>
      <c r="P49" s="861">
        <v>20</v>
      </c>
      <c r="Q49" s="1048" t="s">
        <v>2466</v>
      </c>
    </row>
    <row r="50" spans="1:19" ht="30.1" customHeight="1" x14ac:dyDescent="0.25">
      <c r="A50" s="1074"/>
      <c r="B50" s="1075"/>
      <c r="C50" s="1075"/>
      <c r="D50" s="1076"/>
      <c r="E50" s="1077"/>
      <c r="F50" s="970" t="s">
        <v>906</v>
      </c>
      <c r="G50" s="1076"/>
      <c r="H50" s="890" t="s">
        <v>14</v>
      </c>
      <c r="I50" s="1076"/>
      <c r="J50" s="1076"/>
      <c r="K50" s="1073"/>
      <c r="L50" s="1073"/>
      <c r="M50" s="1073"/>
      <c r="N50" s="861">
        <v>20</v>
      </c>
      <c r="O50" s="861" t="s">
        <v>8</v>
      </c>
      <c r="P50" s="861">
        <v>20</v>
      </c>
      <c r="Q50" s="1048" t="s">
        <v>2299</v>
      </c>
    </row>
    <row r="51" spans="1:19" ht="30.1" customHeight="1" x14ac:dyDescent="0.25">
      <c r="A51" s="1074"/>
      <c r="B51" s="1075"/>
      <c r="C51" s="1075"/>
      <c r="D51" s="1076"/>
      <c r="E51" s="1077"/>
      <c r="F51" s="970" t="s">
        <v>906</v>
      </c>
      <c r="G51" s="1076"/>
      <c r="H51" s="890" t="s">
        <v>14</v>
      </c>
      <c r="I51" s="1076"/>
      <c r="J51" s="1076"/>
      <c r="K51" s="1073"/>
      <c r="L51" s="1073"/>
      <c r="M51" s="1073"/>
      <c r="N51" s="861">
        <v>12</v>
      </c>
      <c r="O51" s="861" t="s">
        <v>5</v>
      </c>
      <c r="P51" s="861">
        <v>12</v>
      </c>
      <c r="Q51" s="1048" t="s">
        <v>2466</v>
      </c>
      <c r="R51" s="861" t="s">
        <v>2563</v>
      </c>
    </row>
    <row r="52" spans="1:19" ht="30.1" customHeight="1" x14ac:dyDescent="0.25">
      <c r="A52" s="1074"/>
      <c r="B52" s="1075"/>
      <c r="C52" s="1075"/>
      <c r="D52" s="1076"/>
      <c r="E52" s="1077"/>
      <c r="F52" s="970" t="s">
        <v>906</v>
      </c>
      <c r="G52" s="1076"/>
      <c r="H52" s="890" t="s">
        <v>14</v>
      </c>
      <c r="I52" s="1076"/>
      <c r="J52" s="1076"/>
      <c r="K52" s="1073"/>
      <c r="L52" s="1073"/>
      <c r="M52" s="1073"/>
      <c r="N52" s="861">
        <v>20</v>
      </c>
      <c r="O52" s="861" t="s">
        <v>215</v>
      </c>
      <c r="P52" s="861">
        <v>20</v>
      </c>
      <c r="Q52" s="1048" t="s">
        <v>2540</v>
      </c>
    </row>
    <row r="53" spans="1:19" ht="30.1" customHeight="1" x14ac:dyDescent="0.25">
      <c r="B53" s="863" t="s">
        <v>1964</v>
      </c>
      <c r="C53" s="863" t="s">
        <v>2437</v>
      </c>
      <c r="D53" s="861" t="s">
        <v>348</v>
      </c>
      <c r="E53" s="864">
        <v>6887677</v>
      </c>
      <c r="F53" s="970" t="s">
        <v>906</v>
      </c>
      <c r="H53" s="890" t="s">
        <v>14</v>
      </c>
      <c r="I53" s="861" t="s">
        <v>2438</v>
      </c>
      <c r="J53" s="861" t="s">
        <v>2439</v>
      </c>
      <c r="K53" s="862">
        <v>43658</v>
      </c>
      <c r="L53" s="862">
        <v>43661</v>
      </c>
      <c r="M53" s="862">
        <v>43691</v>
      </c>
      <c r="N53" s="861">
        <v>20</v>
      </c>
      <c r="O53" s="861" t="s">
        <v>4</v>
      </c>
      <c r="P53" s="861">
        <v>20</v>
      </c>
      <c r="Q53" s="1048" t="s">
        <v>822</v>
      </c>
    </row>
    <row r="54" spans="1:19" ht="34" customHeight="1" x14ac:dyDescent="0.25">
      <c r="B54" s="863" t="s">
        <v>776</v>
      </c>
      <c r="C54" s="863" t="s">
        <v>777</v>
      </c>
      <c r="D54" s="861" t="s">
        <v>348</v>
      </c>
      <c r="E54" s="864">
        <v>34988585</v>
      </c>
      <c r="F54" s="970" t="s">
        <v>349</v>
      </c>
      <c r="G54" s="861" t="s">
        <v>778</v>
      </c>
      <c r="H54" s="890" t="s">
        <v>14</v>
      </c>
      <c r="I54" s="861" t="s">
        <v>780</v>
      </c>
      <c r="J54" s="861" t="s">
        <v>779</v>
      </c>
      <c r="K54" s="862">
        <v>43658</v>
      </c>
      <c r="L54" s="862">
        <v>43661</v>
      </c>
      <c r="M54" s="862">
        <v>43691</v>
      </c>
      <c r="N54" s="861">
        <v>20</v>
      </c>
      <c r="O54" s="861" t="s">
        <v>269</v>
      </c>
      <c r="P54" s="861">
        <v>20</v>
      </c>
      <c r="Q54" s="1048" t="s">
        <v>390</v>
      </c>
      <c r="R54" s="861" t="s">
        <v>822</v>
      </c>
    </row>
    <row r="55" spans="1:19" ht="30.1" customHeight="1" x14ac:dyDescent="0.25">
      <c r="B55" s="863" t="s">
        <v>2462</v>
      </c>
      <c r="C55" s="863" t="s">
        <v>2463</v>
      </c>
      <c r="D55" s="861" t="s">
        <v>348</v>
      </c>
      <c r="E55" s="864">
        <v>20777864</v>
      </c>
      <c r="F55" s="970" t="s">
        <v>357</v>
      </c>
      <c r="G55" s="861" t="s">
        <v>1625</v>
      </c>
      <c r="H55" s="890" t="s">
        <v>14</v>
      </c>
      <c r="I55" s="861" t="s">
        <v>2464</v>
      </c>
      <c r="J55" s="861">
        <v>3105097682</v>
      </c>
      <c r="K55" s="862">
        <v>43660</v>
      </c>
      <c r="L55" s="862">
        <v>43661</v>
      </c>
      <c r="M55" s="862">
        <v>43691</v>
      </c>
      <c r="N55" s="861">
        <v>30</v>
      </c>
      <c r="O55" s="861" t="s">
        <v>4</v>
      </c>
      <c r="P55" s="861">
        <v>30</v>
      </c>
      <c r="Q55" s="1048" t="s">
        <v>2301</v>
      </c>
      <c r="R55" s="861" t="s">
        <v>2465</v>
      </c>
    </row>
    <row r="56" spans="1:19" ht="30.1" customHeight="1" x14ac:dyDescent="0.25">
      <c r="B56" s="863" t="s">
        <v>147</v>
      </c>
      <c r="C56" s="863" t="s">
        <v>2620</v>
      </c>
      <c r="D56" s="861" t="s">
        <v>348</v>
      </c>
      <c r="E56" s="864">
        <v>25755538</v>
      </c>
      <c r="G56" s="861" t="s">
        <v>480</v>
      </c>
      <c r="H56" s="890" t="s">
        <v>14</v>
      </c>
      <c r="I56" s="861" t="s">
        <v>2622</v>
      </c>
      <c r="J56" s="861">
        <v>3225720810</v>
      </c>
      <c r="K56" s="862">
        <v>43668</v>
      </c>
      <c r="L56" s="862">
        <v>43668</v>
      </c>
      <c r="M56" s="862">
        <v>43675</v>
      </c>
      <c r="N56" s="861">
        <v>28</v>
      </c>
      <c r="O56" s="861" t="s">
        <v>5</v>
      </c>
      <c r="P56" s="861">
        <v>28</v>
      </c>
      <c r="Q56" s="1048" t="s">
        <v>1869</v>
      </c>
      <c r="R56" s="861" t="s">
        <v>2621</v>
      </c>
    </row>
    <row r="57" spans="1:19" ht="30.1" customHeight="1" x14ac:dyDescent="0.25">
      <c r="B57" s="863" t="s">
        <v>2633</v>
      </c>
      <c r="C57" s="863" t="s">
        <v>2634</v>
      </c>
      <c r="D57" s="861" t="s">
        <v>348</v>
      </c>
      <c r="E57" s="864">
        <v>1105974</v>
      </c>
      <c r="F57" s="970" t="s">
        <v>2218</v>
      </c>
      <c r="G57" s="861" t="s">
        <v>867</v>
      </c>
      <c r="H57" s="890" t="s">
        <v>14</v>
      </c>
      <c r="I57" s="861" t="s">
        <v>2635</v>
      </c>
      <c r="J57" s="861" t="s">
        <v>2636</v>
      </c>
      <c r="K57" s="862">
        <v>43670</v>
      </c>
      <c r="L57" s="862">
        <v>43670</v>
      </c>
      <c r="M57" s="862">
        <v>43676</v>
      </c>
      <c r="N57" s="861">
        <v>24</v>
      </c>
      <c r="O57" s="861" t="s">
        <v>5</v>
      </c>
      <c r="P57" s="861">
        <v>24</v>
      </c>
      <c r="Q57" s="1048" t="s">
        <v>822</v>
      </c>
      <c r="R57" s="861" t="s">
        <v>2637</v>
      </c>
      <c r="S57" s="861" t="s">
        <v>2638</v>
      </c>
    </row>
    <row r="58" spans="1:19" ht="30.1" customHeight="1" x14ac:dyDescent="0.25">
      <c r="B58" s="863" t="s">
        <v>2741</v>
      </c>
      <c r="C58" s="863" t="s">
        <v>2729</v>
      </c>
      <c r="D58" s="861" t="s">
        <v>356</v>
      </c>
      <c r="E58" s="864">
        <v>1220472147</v>
      </c>
      <c r="F58" s="970" t="s">
        <v>357</v>
      </c>
      <c r="G58" s="861" t="s">
        <v>2732</v>
      </c>
      <c r="H58" s="890" t="s">
        <v>14</v>
      </c>
      <c r="I58" s="861" t="s">
        <v>2731</v>
      </c>
      <c r="J58" s="861">
        <v>3187082224</v>
      </c>
      <c r="K58" s="862">
        <v>43671</v>
      </c>
      <c r="L58" s="862">
        <v>43671</v>
      </c>
      <c r="O58" s="861" t="s">
        <v>5</v>
      </c>
      <c r="Q58" s="1048" t="s">
        <v>2313</v>
      </c>
      <c r="S58" s="861" t="s">
        <v>2730</v>
      </c>
    </row>
    <row r="59" spans="1:19" ht="30.1" customHeight="1" x14ac:dyDescent="0.25">
      <c r="B59" s="1086" t="s">
        <v>2733</v>
      </c>
      <c r="C59" s="1086" t="s">
        <v>2734</v>
      </c>
      <c r="D59" s="1086" t="s">
        <v>348</v>
      </c>
      <c r="E59" s="1088">
        <v>25755597</v>
      </c>
      <c r="F59" s="970" t="s">
        <v>349</v>
      </c>
      <c r="G59" s="1086" t="s">
        <v>493</v>
      </c>
      <c r="H59" s="970" t="s">
        <v>14</v>
      </c>
      <c r="I59" s="1086" t="s">
        <v>2735</v>
      </c>
      <c r="J59" s="1086" t="s">
        <v>2736</v>
      </c>
      <c r="K59" s="1090">
        <v>43671</v>
      </c>
      <c r="L59" s="862">
        <v>43678</v>
      </c>
      <c r="M59" s="862">
        <v>43768</v>
      </c>
      <c r="N59" s="861">
        <v>12</v>
      </c>
      <c r="O59" s="861" t="s">
        <v>4</v>
      </c>
      <c r="P59" s="861">
        <v>36</v>
      </c>
      <c r="Q59" s="1048" t="s">
        <v>822</v>
      </c>
    </row>
    <row r="60" spans="1:19" s="1022" customFormat="1" ht="30.1" customHeight="1" x14ac:dyDescent="0.25">
      <c r="A60" s="1021"/>
      <c r="B60" s="1087"/>
      <c r="C60" s="1087"/>
      <c r="D60" s="1087"/>
      <c r="E60" s="1089"/>
      <c r="F60" s="1022" t="s">
        <v>349</v>
      </c>
      <c r="G60" s="1087"/>
      <c r="H60" s="1022" t="s">
        <v>14</v>
      </c>
      <c r="I60" s="1087"/>
      <c r="J60" s="1087"/>
      <c r="K60" s="1091"/>
      <c r="L60" s="536"/>
      <c r="M60" s="536"/>
      <c r="N60" s="1022">
        <v>12</v>
      </c>
      <c r="O60" s="1022" t="s">
        <v>8</v>
      </c>
      <c r="P60" s="1022">
        <v>36</v>
      </c>
      <c r="Q60" s="1022" t="s">
        <v>2299</v>
      </c>
    </row>
    <row r="61" spans="1:19" ht="30.1" customHeight="1" x14ac:dyDescent="0.25">
      <c r="B61" s="1086" t="s">
        <v>2742</v>
      </c>
      <c r="C61" s="1086" t="s">
        <v>2743</v>
      </c>
      <c r="D61" s="1086" t="s">
        <v>348</v>
      </c>
      <c r="E61" s="1088">
        <v>34959467</v>
      </c>
      <c r="F61" s="970" t="s">
        <v>835</v>
      </c>
      <c r="G61" s="1086" t="s">
        <v>486</v>
      </c>
      <c r="H61" s="890" t="s">
        <v>14</v>
      </c>
      <c r="I61" s="1086" t="s">
        <v>2744</v>
      </c>
      <c r="J61" s="1086" t="s">
        <v>2745</v>
      </c>
      <c r="K61" s="1090">
        <v>43671</v>
      </c>
      <c r="L61" s="862">
        <v>43675</v>
      </c>
      <c r="M61" s="862">
        <v>43705</v>
      </c>
      <c r="N61" s="861">
        <v>12</v>
      </c>
      <c r="O61" s="861" t="s">
        <v>4</v>
      </c>
      <c r="P61" s="861">
        <v>12</v>
      </c>
      <c r="Q61" s="1048" t="s">
        <v>2313</v>
      </c>
    </row>
    <row r="62" spans="1:19" s="1022" customFormat="1" ht="30.1" customHeight="1" x14ac:dyDescent="0.25">
      <c r="A62" s="1021"/>
      <c r="B62" s="1087"/>
      <c r="C62" s="1087"/>
      <c r="D62" s="1087"/>
      <c r="E62" s="1089"/>
      <c r="F62" s="1022" t="s">
        <v>835</v>
      </c>
      <c r="G62" s="1087"/>
      <c r="H62" s="1022" t="s">
        <v>14</v>
      </c>
      <c r="I62" s="1087"/>
      <c r="J62" s="1087"/>
      <c r="K62" s="1091"/>
      <c r="L62" s="536"/>
      <c r="M62" s="536"/>
      <c r="N62" s="1022">
        <v>8</v>
      </c>
      <c r="O62" s="1022" t="s">
        <v>8</v>
      </c>
      <c r="P62" s="1022">
        <v>8</v>
      </c>
      <c r="Q62" s="1022" t="s">
        <v>2299</v>
      </c>
    </row>
    <row r="63" spans="1:19" ht="30.1" customHeight="1" x14ac:dyDescent="0.25">
      <c r="B63" s="863" t="s">
        <v>2746</v>
      </c>
      <c r="C63" s="863" t="s">
        <v>2747</v>
      </c>
      <c r="D63" s="861" t="s">
        <v>348</v>
      </c>
      <c r="E63" s="864">
        <v>9057089</v>
      </c>
      <c r="F63" s="970" t="s">
        <v>906</v>
      </c>
      <c r="G63" s="861" t="s">
        <v>2748</v>
      </c>
      <c r="H63" s="890" t="s">
        <v>14</v>
      </c>
      <c r="I63" s="861" t="s">
        <v>2749</v>
      </c>
      <c r="J63" s="861">
        <v>3114069697</v>
      </c>
      <c r="K63" s="862">
        <v>43671</v>
      </c>
      <c r="L63" s="862">
        <v>43672</v>
      </c>
      <c r="M63" s="862">
        <v>43702</v>
      </c>
      <c r="N63" s="861">
        <v>12</v>
      </c>
      <c r="O63" s="861" t="s">
        <v>4</v>
      </c>
      <c r="P63" s="861">
        <v>12</v>
      </c>
      <c r="Q63" s="1048" t="s">
        <v>822</v>
      </c>
    </row>
    <row r="64" spans="1:19" ht="30.1" customHeight="1" x14ac:dyDescent="0.25">
      <c r="B64" s="863" t="s">
        <v>1289</v>
      </c>
      <c r="C64" s="863" t="s">
        <v>2762</v>
      </c>
      <c r="D64" s="861" t="s">
        <v>348</v>
      </c>
      <c r="E64" s="864">
        <v>8174526</v>
      </c>
      <c r="F64" s="970" t="s">
        <v>906</v>
      </c>
      <c r="G64" s="861" t="s">
        <v>2763</v>
      </c>
      <c r="H64" s="890" t="s">
        <v>14</v>
      </c>
      <c r="I64" s="861" t="s">
        <v>2764</v>
      </c>
      <c r="J64" s="861">
        <v>3126281555</v>
      </c>
      <c r="K64" s="862">
        <v>43672</v>
      </c>
      <c r="L64" s="862">
        <v>43673</v>
      </c>
      <c r="M64" s="862">
        <v>43703</v>
      </c>
      <c r="N64" s="861">
        <v>30</v>
      </c>
      <c r="O64" s="861" t="s">
        <v>4</v>
      </c>
      <c r="P64" s="861">
        <v>30</v>
      </c>
      <c r="Q64" s="1048" t="s">
        <v>822</v>
      </c>
    </row>
    <row r="65" spans="1:28" ht="30.1" customHeight="1" x14ac:dyDescent="0.25">
      <c r="B65" s="1086" t="s">
        <v>2765</v>
      </c>
      <c r="C65" s="1086" t="s">
        <v>2766</v>
      </c>
      <c r="D65" s="1086" t="s">
        <v>348</v>
      </c>
      <c r="E65" s="1088">
        <v>34883901</v>
      </c>
      <c r="F65" s="970" t="s">
        <v>349</v>
      </c>
      <c r="G65" s="1086" t="s">
        <v>2767</v>
      </c>
      <c r="H65" s="890" t="s">
        <v>14</v>
      </c>
      <c r="I65" s="1086" t="s">
        <v>2773</v>
      </c>
      <c r="J65" s="1086">
        <v>3113884051</v>
      </c>
      <c r="K65" s="1090">
        <v>43672</v>
      </c>
      <c r="L65" s="862">
        <v>43675</v>
      </c>
      <c r="M65" s="862">
        <v>43827</v>
      </c>
      <c r="N65" s="861">
        <v>20</v>
      </c>
      <c r="O65" s="861" t="s">
        <v>4</v>
      </c>
      <c r="P65" s="861">
        <v>90</v>
      </c>
      <c r="Q65" s="1048" t="s">
        <v>2301</v>
      </c>
    </row>
    <row r="66" spans="1:28" s="1022" customFormat="1" ht="30.1" customHeight="1" x14ac:dyDescent="0.25">
      <c r="A66" s="1021"/>
      <c r="B66" s="1087"/>
      <c r="C66" s="1087"/>
      <c r="D66" s="1087"/>
      <c r="E66" s="1089"/>
      <c r="F66" s="1022" t="s">
        <v>349</v>
      </c>
      <c r="G66" s="1087"/>
      <c r="H66" s="1022" t="s">
        <v>14</v>
      </c>
      <c r="I66" s="1087"/>
      <c r="J66" s="1087"/>
      <c r="K66" s="1091"/>
      <c r="L66" s="536"/>
      <c r="M66" s="536"/>
      <c r="N66" s="1022">
        <v>20</v>
      </c>
      <c r="O66" s="1022" t="s">
        <v>4</v>
      </c>
      <c r="P66" s="1022">
        <v>90</v>
      </c>
      <c r="Q66" s="1022" t="s">
        <v>2299</v>
      </c>
    </row>
    <row r="67" spans="1:28" ht="30.1" customHeight="1" x14ac:dyDescent="0.25">
      <c r="B67" s="863" t="s">
        <v>2779</v>
      </c>
      <c r="C67" s="863" t="s">
        <v>2780</v>
      </c>
      <c r="D67" s="861" t="s">
        <v>348</v>
      </c>
      <c r="E67" s="864">
        <v>25751126</v>
      </c>
      <c r="F67" s="970" t="s">
        <v>362</v>
      </c>
      <c r="G67" s="861" t="s">
        <v>493</v>
      </c>
      <c r="H67" s="890" t="s">
        <v>14</v>
      </c>
      <c r="I67" s="861" t="s">
        <v>2781</v>
      </c>
      <c r="J67" s="861" t="s">
        <v>2782</v>
      </c>
      <c r="K67" s="1049">
        <v>43672</v>
      </c>
      <c r="L67" s="1049">
        <v>43675</v>
      </c>
      <c r="M67" s="862">
        <v>43705</v>
      </c>
      <c r="N67" s="861">
        <v>12</v>
      </c>
      <c r="O67" s="861" t="s">
        <v>4</v>
      </c>
      <c r="P67" s="861">
        <v>12</v>
      </c>
      <c r="Q67" s="1048" t="s">
        <v>2298</v>
      </c>
      <c r="R67" s="861" t="s">
        <v>2593</v>
      </c>
    </row>
    <row r="68" spans="1:28" customFormat="1" ht="34.65" customHeight="1" x14ac:dyDescent="0.25">
      <c r="B68" s="606" t="s">
        <v>1865</v>
      </c>
      <c r="C68" s="606" t="s">
        <v>1866</v>
      </c>
      <c r="D68" s="604" t="s">
        <v>348</v>
      </c>
      <c r="E68" s="605">
        <v>39776587</v>
      </c>
      <c r="F68" s="604" t="s">
        <v>906</v>
      </c>
      <c r="G68" s="604" t="s">
        <v>1928</v>
      </c>
      <c r="H68" s="604" t="s">
        <v>14</v>
      </c>
      <c r="I68" s="610" t="s">
        <v>1929</v>
      </c>
      <c r="J68" s="610" t="s">
        <v>1930</v>
      </c>
      <c r="K68" s="607">
        <v>43591</v>
      </c>
      <c r="L68" s="607">
        <v>43592</v>
      </c>
      <c r="M68" s="607">
        <v>43631</v>
      </c>
      <c r="N68" s="604">
        <v>30</v>
      </c>
      <c r="O68" s="604" t="s">
        <v>4</v>
      </c>
      <c r="P68" s="604">
        <v>30</v>
      </c>
      <c r="Q68" s="1069" t="s">
        <v>1869</v>
      </c>
      <c r="R68" s="1068"/>
      <c r="S68" s="1068"/>
      <c r="T68" s="1068"/>
      <c r="U68" s="1068"/>
      <c r="V68" s="1068"/>
      <c r="W68" s="1068"/>
      <c r="X68" s="1068"/>
      <c r="Y68" s="1068"/>
      <c r="Z68" s="1068"/>
      <c r="AA68" s="1068"/>
      <c r="AB68" s="1068"/>
    </row>
  </sheetData>
  <autoFilter ref="B1:T68"/>
  <mergeCells count="185">
    <mergeCell ref="B65:B66"/>
    <mergeCell ref="C65:C66"/>
    <mergeCell ref="D65:D66"/>
    <mergeCell ref="E65:E66"/>
    <mergeCell ref="G65:G66"/>
    <mergeCell ref="I65:I66"/>
    <mergeCell ref="J65:J66"/>
    <mergeCell ref="K65:K66"/>
    <mergeCell ref="K61:K62"/>
    <mergeCell ref="B61:B62"/>
    <mergeCell ref="C61:C62"/>
    <mergeCell ref="D61:D62"/>
    <mergeCell ref="E61:E62"/>
    <mergeCell ref="G61:G62"/>
    <mergeCell ref="I61:I62"/>
    <mergeCell ref="J61:J62"/>
    <mergeCell ref="A47:A48"/>
    <mergeCell ref="B59:B60"/>
    <mergeCell ref="C59:C60"/>
    <mergeCell ref="D59:D60"/>
    <mergeCell ref="E59:E60"/>
    <mergeCell ref="G59:G60"/>
    <mergeCell ref="I59:I60"/>
    <mergeCell ref="J59:J60"/>
    <mergeCell ref="L47:L48"/>
    <mergeCell ref="K59:K60"/>
    <mergeCell ref="K47:K48"/>
    <mergeCell ref="B47:B48"/>
    <mergeCell ref="M47:M48"/>
    <mergeCell ref="J47:J48"/>
    <mergeCell ref="I47:I48"/>
    <mergeCell ref="G47:G48"/>
    <mergeCell ref="E47:E48"/>
    <mergeCell ref="C47:C48"/>
    <mergeCell ref="D47:D48"/>
    <mergeCell ref="B43:B45"/>
    <mergeCell ref="C43:C45"/>
    <mergeCell ref="L43:L45"/>
    <mergeCell ref="M43:M45"/>
    <mergeCell ref="K43:K45"/>
    <mergeCell ref="G43:G45"/>
    <mergeCell ref="I43:I45"/>
    <mergeCell ref="J43:J45"/>
    <mergeCell ref="A37:A38"/>
    <mergeCell ref="B37:B38"/>
    <mergeCell ref="C37:C38"/>
    <mergeCell ref="D37:D38"/>
    <mergeCell ref="E37:E38"/>
    <mergeCell ref="G37:G38"/>
    <mergeCell ref="I37:I38"/>
    <mergeCell ref="J37:J38"/>
    <mergeCell ref="K37:K38"/>
    <mergeCell ref="A43:A45"/>
    <mergeCell ref="A40:A42"/>
    <mergeCell ref="G40:G42"/>
    <mergeCell ref="I40:I42"/>
    <mergeCell ref="J40:J42"/>
    <mergeCell ref="K40:K42"/>
    <mergeCell ref="L40:L42"/>
    <mergeCell ref="M40:M42"/>
    <mergeCell ref="E43:E45"/>
    <mergeCell ref="D43:D45"/>
    <mergeCell ref="R20:R21"/>
    <mergeCell ref="B20:B21"/>
    <mergeCell ref="C20:C21"/>
    <mergeCell ref="D20:D21"/>
    <mergeCell ref="E20:E21"/>
    <mergeCell ref="G20:G21"/>
    <mergeCell ref="I20:I21"/>
    <mergeCell ref="R40:R42"/>
    <mergeCell ref="B40:B42"/>
    <mergeCell ref="C40:C42"/>
    <mergeCell ref="D40:D42"/>
    <mergeCell ref="E40:E42"/>
    <mergeCell ref="L37:L38"/>
    <mergeCell ref="M37:M38"/>
    <mergeCell ref="R37:R38"/>
    <mergeCell ref="M28:M30"/>
    <mergeCell ref="B28:B30"/>
    <mergeCell ref="L28:L30"/>
    <mergeCell ref="K28:K30"/>
    <mergeCell ref="J28:J30"/>
    <mergeCell ref="I28:I30"/>
    <mergeCell ref="G28:G30"/>
    <mergeCell ref="E28:E30"/>
    <mergeCell ref="D28:D30"/>
    <mergeCell ref="R26:R27"/>
    <mergeCell ref="B26:B27"/>
    <mergeCell ref="C26:C27"/>
    <mergeCell ref="D26:D27"/>
    <mergeCell ref="E26:E27"/>
    <mergeCell ref="G26:G27"/>
    <mergeCell ref="I26:I27"/>
    <mergeCell ref="J26:J27"/>
    <mergeCell ref="K26:K27"/>
    <mergeCell ref="L26:L27"/>
    <mergeCell ref="M26:M27"/>
    <mergeCell ref="L2:L4"/>
    <mergeCell ref="M2:M4"/>
    <mergeCell ref="K5:K7"/>
    <mergeCell ref="L5:L7"/>
    <mergeCell ref="M5:M7"/>
    <mergeCell ref="L9:L10"/>
    <mergeCell ref="A20:A21"/>
    <mergeCell ref="A18:A19"/>
    <mergeCell ref="A9:A10"/>
    <mergeCell ref="A15:A17"/>
    <mergeCell ref="B15:B17"/>
    <mergeCell ref="G15:G17"/>
    <mergeCell ref="I2:I4"/>
    <mergeCell ref="C15:C17"/>
    <mergeCell ref="D15:D17"/>
    <mergeCell ref="E15:E17"/>
    <mergeCell ref="J15:J17"/>
    <mergeCell ref="K15:K17"/>
    <mergeCell ref="I15:I17"/>
    <mergeCell ref="I5:I7"/>
    <mergeCell ref="J5:J7"/>
    <mergeCell ref="J2:J4"/>
    <mergeCell ref="K9:K10"/>
    <mergeCell ref="K2:K4"/>
    <mergeCell ref="A2:A4"/>
    <mergeCell ref="B2:B4"/>
    <mergeCell ref="C2:C4"/>
    <mergeCell ref="G2:G4"/>
    <mergeCell ref="A5:A7"/>
    <mergeCell ref="B5:B7"/>
    <mergeCell ref="C5:C7"/>
    <mergeCell ref="E5:E7"/>
    <mergeCell ref="D2:D4"/>
    <mergeCell ref="E2:E4"/>
    <mergeCell ref="S5:S7"/>
    <mergeCell ref="B18:B19"/>
    <mergeCell ref="C18:C19"/>
    <mergeCell ref="R18:R19"/>
    <mergeCell ref="M18:M19"/>
    <mergeCell ref="L18:L19"/>
    <mergeCell ref="K18:K19"/>
    <mergeCell ref="J18:J19"/>
    <mergeCell ref="I18:I19"/>
    <mergeCell ref="G18:G19"/>
    <mergeCell ref="E18:E19"/>
    <mergeCell ref="D18:D19"/>
    <mergeCell ref="L15:L17"/>
    <mergeCell ref="M15:M17"/>
    <mergeCell ref="R5:R7"/>
    <mergeCell ref="I9:I10"/>
    <mergeCell ref="J9:J10"/>
    <mergeCell ref="G5:G7"/>
    <mergeCell ref="D5:D7"/>
    <mergeCell ref="G9:G10"/>
    <mergeCell ref="B9:B10"/>
    <mergeCell ref="C9:C10"/>
    <mergeCell ref="R15:R17"/>
    <mergeCell ref="C28:C30"/>
    <mergeCell ref="M9:M10"/>
    <mergeCell ref="D9:D10"/>
    <mergeCell ref="E9:E10"/>
    <mergeCell ref="M20:M21"/>
    <mergeCell ref="A33:A34"/>
    <mergeCell ref="M33:M34"/>
    <mergeCell ref="L33:L34"/>
    <mergeCell ref="K33:K34"/>
    <mergeCell ref="J33:J34"/>
    <mergeCell ref="I33:I34"/>
    <mergeCell ref="B33:B34"/>
    <mergeCell ref="C33:C34"/>
    <mergeCell ref="D33:D34"/>
    <mergeCell ref="E33:E34"/>
    <mergeCell ref="G33:G34"/>
    <mergeCell ref="J20:J21"/>
    <mergeCell ref="K20:K21"/>
    <mergeCell ref="L20:L21"/>
    <mergeCell ref="A28:A30"/>
    <mergeCell ref="M49:M52"/>
    <mergeCell ref="A49:A52"/>
    <mergeCell ref="B49:B52"/>
    <mergeCell ref="C49:C52"/>
    <mergeCell ref="D49:D52"/>
    <mergeCell ref="E49:E52"/>
    <mergeCell ref="G49:G52"/>
    <mergeCell ref="I49:I52"/>
    <mergeCell ref="J49:J52"/>
    <mergeCell ref="K49:K52"/>
    <mergeCell ref="L49:L52"/>
  </mergeCells>
  <pageMargins left="0.25" right="0.25" top="0.75" bottom="0.75" header="0.3" footer="0.3"/>
  <pageSetup scale="51"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pageSetUpPr fitToPage="1"/>
  </sheetPr>
  <dimension ref="A1:S129"/>
  <sheetViews>
    <sheetView zoomScale="85" zoomScaleNormal="85" workbookViewId="0">
      <pane ySplit="1" topLeftCell="A36" activePane="bottomLeft" state="frozen"/>
      <selection pane="bottomLeft" activeCell="F47" sqref="F47"/>
    </sheetView>
  </sheetViews>
  <sheetFormatPr baseColWidth="10" defaultColWidth="11.375" defaultRowHeight="30.1" customHeight="1" x14ac:dyDescent="0.25"/>
  <cols>
    <col min="1" max="1" width="4.25" style="5" customWidth="1"/>
    <col min="2" max="2" width="16.875" style="6" customWidth="1"/>
    <col min="3" max="3" width="18" style="6" customWidth="1"/>
    <col min="4" max="4" width="4.125" style="6" customWidth="1"/>
    <col min="5" max="5" width="15.25" style="8" customWidth="1"/>
    <col min="6" max="6" width="13.25" style="6" customWidth="1"/>
    <col min="7" max="7" width="18.375" style="6" customWidth="1"/>
    <col min="8" max="8" width="13.125" style="6" customWidth="1"/>
    <col min="9" max="9" width="17" style="6" customWidth="1"/>
    <col min="10" max="10" width="14.75" style="6" customWidth="1"/>
    <col min="11" max="11" width="12.25" style="29" hidden="1" customWidth="1"/>
    <col min="12" max="12" width="11.625" style="29" customWidth="1"/>
    <col min="13" max="13" width="11.875" style="29" customWidth="1"/>
    <col min="14" max="14" width="6.75" style="6" customWidth="1"/>
    <col min="15" max="15" width="7.625" style="6" customWidth="1"/>
    <col min="16" max="16" width="6.875" style="6" customWidth="1"/>
    <col min="17" max="17" width="21.375" style="676" customWidth="1"/>
    <col min="18" max="18" width="24.625" style="6" customWidth="1"/>
    <col min="19" max="19" width="39.875" style="9" customWidth="1"/>
    <col min="20" max="16384" width="11.375" style="7"/>
  </cols>
  <sheetData>
    <row r="1" spans="1:19" s="6" customFormat="1" ht="22.6" customHeight="1" x14ac:dyDescent="0.25">
      <c r="A1" s="16"/>
      <c r="B1" s="17" t="s">
        <v>338</v>
      </c>
      <c r="C1" s="17" t="s">
        <v>339</v>
      </c>
      <c r="D1" s="17" t="s">
        <v>340</v>
      </c>
      <c r="E1" s="34" t="s">
        <v>341</v>
      </c>
      <c r="F1" s="17" t="s">
        <v>342</v>
      </c>
      <c r="G1" s="35" t="s">
        <v>472</v>
      </c>
      <c r="H1" s="17" t="s">
        <v>12</v>
      </c>
      <c r="I1" s="17" t="s">
        <v>343</v>
      </c>
      <c r="J1" s="16" t="s">
        <v>0</v>
      </c>
      <c r="K1" s="36" t="s">
        <v>344</v>
      </c>
      <c r="L1" s="36" t="s">
        <v>1</v>
      </c>
      <c r="M1" s="36" t="s">
        <v>2</v>
      </c>
      <c r="N1" s="17" t="s">
        <v>550</v>
      </c>
      <c r="O1" s="17" t="s">
        <v>346</v>
      </c>
      <c r="P1" s="17" t="s">
        <v>551</v>
      </c>
      <c r="Q1" s="17" t="s">
        <v>389</v>
      </c>
      <c r="R1" s="17" t="s">
        <v>3</v>
      </c>
      <c r="S1" s="37" t="s">
        <v>388</v>
      </c>
    </row>
    <row r="2" spans="1:19" ht="30.1" customHeight="1" x14ac:dyDescent="0.25">
      <c r="A2" s="1107"/>
      <c r="B2" s="1094" t="s">
        <v>387</v>
      </c>
      <c r="C2" s="1094" t="s">
        <v>386</v>
      </c>
      <c r="D2" s="1094" t="s">
        <v>355</v>
      </c>
      <c r="E2" s="1119">
        <v>1062605273</v>
      </c>
      <c r="F2" s="88" t="s">
        <v>362</v>
      </c>
      <c r="G2" s="1113" t="s">
        <v>488</v>
      </c>
      <c r="H2" s="95" t="s">
        <v>216</v>
      </c>
      <c r="I2" s="1113" t="s">
        <v>385</v>
      </c>
      <c r="J2" s="1113">
        <v>3145290652</v>
      </c>
      <c r="K2" s="1116">
        <v>43647</v>
      </c>
      <c r="L2" s="1116">
        <v>43647</v>
      </c>
      <c r="M2" s="1116">
        <v>43676</v>
      </c>
      <c r="N2" s="38">
        <v>40</v>
      </c>
      <c r="O2" s="38" t="s">
        <v>4</v>
      </c>
      <c r="P2" s="38">
        <v>90</v>
      </c>
      <c r="Q2" s="96" t="s">
        <v>7</v>
      </c>
      <c r="R2" s="1113" t="s">
        <v>1319</v>
      </c>
      <c r="S2" s="1110" t="s">
        <v>1129</v>
      </c>
    </row>
    <row r="3" spans="1:19" ht="30.1" customHeight="1" x14ac:dyDescent="0.25">
      <c r="A3" s="1108"/>
      <c r="B3" s="1097"/>
      <c r="C3" s="1097"/>
      <c r="D3" s="1097"/>
      <c r="E3" s="1120"/>
      <c r="F3" s="88" t="s">
        <v>362</v>
      </c>
      <c r="G3" s="1114"/>
      <c r="H3" s="722" t="s">
        <v>216</v>
      </c>
      <c r="I3" s="1114"/>
      <c r="J3" s="1114"/>
      <c r="K3" s="1117"/>
      <c r="L3" s="1117"/>
      <c r="M3" s="1117"/>
      <c r="N3" s="38">
        <v>40</v>
      </c>
      <c r="O3" s="38" t="s">
        <v>8</v>
      </c>
      <c r="P3" s="38">
        <v>90</v>
      </c>
      <c r="Q3" s="96" t="s">
        <v>832</v>
      </c>
      <c r="R3" s="1114"/>
      <c r="S3" s="1111"/>
    </row>
    <row r="4" spans="1:19" ht="30.1" customHeight="1" x14ac:dyDescent="0.25">
      <c r="A4" s="1108"/>
      <c r="B4" s="1097"/>
      <c r="C4" s="1097"/>
      <c r="D4" s="1097"/>
      <c r="E4" s="1120"/>
      <c r="F4" s="88" t="s">
        <v>362</v>
      </c>
      <c r="G4" s="1114"/>
      <c r="H4" s="722" t="s">
        <v>216</v>
      </c>
      <c r="I4" s="1114"/>
      <c r="J4" s="1114"/>
      <c r="K4" s="1117"/>
      <c r="L4" s="1117"/>
      <c r="M4" s="1117"/>
      <c r="N4" s="38">
        <v>40</v>
      </c>
      <c r="O4" s="38" t="s">
        <v>215</v>
      </c>
      <c r="P4" s="38">
        <v>90</v>
      </c>
      <c r="Q4" s="96" t="s">
        <v>649</v>
      </c>
      <c r="R4" s="1114"/>
      <c r="S4" s="1111"/>
    </row>
    <row r="5" spans="1:19" ht="30.1" customHeight="1" x14ac:dyDescent="0.25">
      <c r="A5" s="1109"/>
      <c r="B5" s="1095"/>
      <c r="C5" s="1095"/>
      <c r="D5" s="1095"/>
      <c r="E5" s="1121"/>
      <c r="F5" s="88" t="s">
        <v>362</v>
      </c>
      <c r="G5" s="1115"/>
      <c r="H5" s="722" t="s">
        <v>216</v>
      </c>
      <c r="I5" s="1115"/>
      <c r="J5" s="1115"/>
      <c r="K5" s="1118"/>
      <c r="L5" s="1118"/>
      <c r="M5" s="1118"/>
      <c r="N5" s="38">
        <v>40</v>
      </c>
      <c r="O5" s="38" t="s">
        <v>214</v>
      </c>
      <c r="P5" s="38">
        <v>90</v>
      </c>
      <c r="Q5" s="96" t="s">
        <v>209</v>
      </c>
      <c r="R5" s="1115"/>
      <c r="S5" s="1112"/>
    </row>
    <row r="6" spans="1:19" ht="30.1" customHeight="1" x14ac:dyDescent="0.25">
      <c r="A6" s="1101"/>
      <c r="B6" s="1094" t="s">
        <v>974</v>
      </c>
      <c r="C6" s="1094" t="s">
        <v>975</v>
      </c>
      <c r="D6" s="1094" t="s">
        <v>348</v>
      </c>
      <c r="E6" s="1104">
        <v>26023342</v>
      </c>
      <c r="F6" s="114" t="s">
        <v>906</v>
      </c>
      <c r="G6" s="1094" t="s">
        <v>486</v>
      </c>
      <c r="H6" s="114" t="s">
        <v>20</v>
      </c>
      <c r="I6" s="1094" t="s">
        <v>976</v>
      </c>
      <c r="J6" s="1094" t="s">
        <v>977</v>
      </c>
      <c r="K6" s="1092">
        <v>43599</v>
      </c>
      <c r="L6" s="1092">
        <v>43617</v>
      </c>
      <c r="M6" s="1092">
        <v>43738</v>
      </c>
      <c r="N6" s="96">
        <v>15</v>
      </c>
      <c r="O6" s="96" t="s">
        <v>4</v>
      </c>
      <c r="P6" s="96">
        <v>60</v>
      </c>
      <c r="Q6" s="96" t="s">
        <v>6</v>
      </c>
      <c r="R6" s="1094" t="s">
        <v>978</v>
      </c>
      <c r="S6" s="1098"/>
    </row>
    <row r="7" spans="1:19" ht="30.1" customHeight="1" x14ac:dyDescent="0.25">
      <c r="A7" s="1102"/>
      <c r="B7" s="1097"/>
      <c r="C7" s="1097"/>
      <c r="D7" s="1097"/>
      <c r="E7" s="1105"/>
      <c r="F7" s="114" t="s">
        <v>906</v>
      </c>
      <c r="G7" s="1097"/>
      <c r="H7" s="114" t="s">
        <v>20</v>
      </c>
      <c r="I7" s="1097"/>
      <c r="J7" s="1097"/>
      <c r="K7" s="1096"/>
      <c r="L7" s="1096"/>
      <c r="M7" s="1096"/>
      <c r="N7" s="96">
        <v>15</v>
      </c>
      <c r="O7" s="96" t="s">
        <v>8</v>
      </c>
      <c r="P7" s="96">
        <v>60</v>
      </c>
      <c r="Q7" s="96" t="s">
        <v>373</v>
      </c>
      <c r="R7" s="1097"/>
      <c r="S7" s="1099"/>
    </row>
    <row r="8" spans="1:19" ht="30.1" customHeight="1" x14ac:dyDescent="0.25">
      <c r="A8" s="1103"/>
      <c r="B8" s="1095"/>
      <c r="C8" s="1095"/>
      <c r="D8" s="1095"/>
      <c r="E8" s="1106"/>
      <c r="F8" s="114" t="s">
        <v>906</v>
      </c>
      <c r="G8" s="1095"/>
      <c r="H8" s="114" t="s">
        <v>20</v>
      </c>
      <c r="I8" s="1095"/>
      <c r="J8" s="1095"/>
      <c r="K8" s="1093"/>
      <c r="L8" s="1093"/>
      <c r="M8" s="1093"/>
      <c r="N8" s="96">
        <v>15</v>
      </c>
      <c r="O8" s="96" t="s">
        <v>215</v>
      </c>
      <c r="P8" s="96">
        <v>60</v>
      </c>
      <c r="Q8" s="96" t="s">
        <v>614</v>
      </c>
      <c r="R8" s="1095"/>
      <c r="S8" s="1100"/>
    </row>
    <row r="9" spans="1:19" s="22" customFormat="1" ht="35.35" customHeight="1" x14ac:dyDescent="0.25">
      <c r="A9" s="73"/>
      <c r="B9" s="96" t="s">
        <v>979</v>
      </c>
      <c r="C9" s="96" t="s">
        <v>980</v>
      </c>
      <c r="D9" s="96" t="s">
        <v>348</v>
      </c>
      <c r="E9" s="23">
        <v>34970856</v>
      </c>
      <c r="F9" s="96" t="s">
        <v>906</v>
      </c>
      <c r="G9" s="96" t="s">
        <v>486</v>
      </c>
      <c r="H9" s="96" t="s">
        <v>9</v>
      </c>
      <c r="I9" s="96" t="s">
        <v>981</v>
      </c>
      <c r="J9" s="96" t="s">
        <v>982</v>
      </c>
      <c r="K9" s="74">
        <v>43525</v>
      </c>
      <c r="L9" s="74">
        <v>43525</v>
      </c>
      <c r="M9" s="74">
        <v>43707</v>
      </c>
      <c r="N9" s="96">
        <v>20</v>
      </c>
      <c r="O9" s="96" t="s">
        <v>4</v>
      </c>
      <c r="P9" s="96">
        <v>120</v>
      </c>
      <c r="Q9" s="96" t="s">
        <v>7</v>
      </c>
      <c r="R9" s="286" t="s">
        <v>1030</v>
      </c>
      <c r="S9" s="908"/>
    </row>
    <row r="10" spans="1:19" ht="30.1" customHeight="1" x14ac:dyDescent="0.25">
      <c r="A10" s="1101"/>
      <c r="B10" s="1094" t="s">
        <v>1300</v>
      </c>
      <c r="C10" s="1094" t="s">
        <v>1301</v>
      </c>
      <c r="D10" s="1094" t="s">
        <v>348</v>
      </c>
      <c r="E10" s="1104">
        <v>10980083</v>
      </c>
      <c r="F10" s="89" t="s">
        <v>906</v>
      </c>
      <c r="G10" s="1094" t="s">
        <v>494</v>
      </c>
      <c r="H10" s="96" t="s">
        <v>21</v>
      </c>
      <c r="I10" s="1094" t="s">
        <v>1302</v>
      </c>
      <c r="J10" s="1094" t="s">
        <v>1303</v>
      </c>
      <c r="K10" s="1092">
        <v>43571</v>
      </c>
      <c r="L10" s="1092">
        <v>43658</v>
      </c>
      <c r="M10" s="1092">
        <v>43688</v>
      </c>
      <c r="N10" s="56">
        <v>20</v>
      </c>
      <c r="O10" s="56" t="s">
        <v>4</v>
      </c>
      <c r="P10" s="56">
        <v>20</v>
      </c>
      <c r="Q10" s="96" t="s">
        <v>707</v>
      </c>
      <c r="R10" s="1094" t="s">
        <v>2436</v>
      </c>
      <c r="S10" s="21"/>
    </row>
    <row r="11" spans="1:19" ht="30.1" customHeight="1" x14ac:dyDescent="0.25">
      <c r="A11" s="1102"/>
      <c r="B11" s="1097"/>
      <c r="C11" s="1097"/>
      <c r="D11" s="1097"/>
      <c r="E11" s="1105"/>
      <c r="F11" s="96" t="s">
        <v>906</v>
      </c>
      <c r="G11" s="1097"/>
      <c r="H11" s="96" t="s">
        <v>21</v>
      </c>
      <c r="I11" s="1097"/>
      <c r="J11" s="1097"/>
      <c r="K11" s="1096"/>
      <c r="L11" s="1096"/>
      <c r="M11" s="1096"/>
      <c r="N11" s="56">
        <v>20</v>
      </c>
      <c r="O11" s="56" t="s">
        <v>215</v>
      </c>
      <c r="P11" s="56">
        <v>20</v>
      </c>
      <c r="Q11" s="96" t="s">
        <v>44</v>
      </c>
      <c r="R11" s="1097"/>
      <c r="S11" s="183">
        <v>20</v>
      </c>
    </row>
    <row r="12" spans="1:19" ht="30.1" customHeight="1" x14ac:dyDescent="0.25">
      <c r="A12" s="1103"/>
      <c r="B12" s="1095"/>
      <c r="C12" s="1095"/>
      <c r="D12" s="1095"/>
      <c r="E12" s="1106"/>
      <c r="F12" s="96" t="s">
        <v>906</v>
      </c>
      <c r="G12" s="1095"/>
      <c r="H12" s="96" t="s">
        <v>21</v>
      </c>
      <c r="I12" s="1095"/>
      <c r="J12" s="1095"/>
      <c r="K12" s="1093"/>
      <c r="L12" s="1093"/>
      <c r="M12" s="1093"/>
      <c r="N12" s="56">
        <v>20</v>
      </c>
      <c r="O12" s="56" t="s">
        <v>8</v>
      </c>
      <c r="P12" s="56">
        <v>20</v>
      </c>
      <c r="Q12" s="96" t="s">
        <v>381</v>
      </c>
      <c r="R12" s="1095"/>
      <c r="S12" s="21"/>
    </row>
    <row r="13" spans="1:19" ht="30.1" customHeight="1" x14ac:dyDescent="0.25">
      <c r="A13" s="73"/>
      <c r="B13" s="96" t="s">
        <v>1455</v>
      </c>
      <c r="C13" s="96" t="s">
        <v>1456</v>
      </c>
      <c r="D13" s="96" t="s">
        <v>348</v>
      </c>
      <c r="E13" s="23">
        <v>10890249</v>
      </c>
      <c r="F13" s="96" t="s">
        <v>362</v>
      </c>
      <c r="G13" s="96" t="s">
        <v>493</v>
      </c>
      <c r="H13" s="96" t="s">
        <v>110</v>
      </c>
      <c r="I13" s="96" t="s">
        <v>1561</v>
      </c>
      <c r="J13" s="159" t="s">
        <v>1457</v>
      </c>
      <c r="K13" s="74">
        <v>43563</v>
      </c>
      <c r="L13" s="470">
        <v>43594</v>
      </c>
      <c r="M13" s="470">
        <v>43685</v>
      </c>
      <c r="N13" s="96">
        <v>20</v>
      </c>
      <c r="O13" s="96" t="s">
        <v>4</v>
      </c>
      <c r="P13" s="96">
        <v>60</v>
      </c>
      <c r="Q13" s="96" t="s">
        <v>111</v>
      </c>
      <c r="R13" s="96" t="s">
        <v>1458</v>
      </c>
      <c r="S13" s="21" t="s">
        <v>1562</v>
      </c>
    </row>
    <row r="14" spans="1:19" ht="30.1" customHeight="1" x14ac:dyDescent="0.25">
      <c r="A14" s="1101"/>
      <c r="B14" s="1094" t="s">
        <v>1677</v>
      </c>
      <c r="C14" s="1094" t="s">
        <v>1678</v>
      </c>
      <c r="D14" s="1094" t="s">
        <v>348</v>
      </c>
      <c r="E14" s="1104">
        <v>6616313</v>
      </c>
      <c r="F14" s="96" t="s">
        <v>349</v>
      </c>
      <c r="G14" s="1094" t="s">
        <v>584</v>
      </c>
      <c r="H14" s="96" t="s">
        <v>24</v>
      </c>
      <c r="I14" s="1094" t="s">
        <v>1679</v>
      </c>
      <c r="J14" s="1094" t="s">
        <v>1680</v>
      </c>
      <c r="K14" s="1092">
        <v>43578</v>
      </c>
      <c r="L14" s="1092">
        <v>43579</v>
      </c>
      <c r="M14" s="1092">
        <v>43669</v>
      </c>
      <c r="N14" s="96">
        <v>20</v>
      </c>
      <c r="O14" s="96" t="s">
        <v>4</v>
      </c>
      <c r="P14" s="96">
        <v>60</v>
      </c>
      <c r="Q14" s="96" t="s">
        <v>126</v>
      </c>
      <c r="R14" s="1122" t="s">
        <v>1681</v>
      </c>
      <c r="S14" s="21">
        <v>18000</v>
      </c>
    </row>
    <row r="15" spans="1:19" ht="30.1" customHeight="1" x14ac:dyDescent="0.25">
      <c r="A15" s="1103"/>
      <c r="B15" s="1095"/>
      <c r="C15" s="1095"/>
      <c r="D15" s="1095"/>
      <c r="E15" s="1106"/>
      <c r="F15" s="96" t="s">
        <v>349</v>
      </c>
      <c r="G15" s="1095"/>
      <c r="H15" s="96" t="s">
        <v>24</v>
      </c>
      <c r="I15" s="1095"/>
      <c r="J15" s="1095"/>
      <c r="K15" s="1093"/>
      <c r="L15" s="1093"/>
      <c r="M15" s="1093"/>
      <c r="N15" s="96">
        <v>20</v>
      </c>
      <c r="O15" s="96" t="s">
        <v>215</v>
      </c>
      <c r="P15" s="96">
        <v>60</v>
      </c>
      <c r="Q15" s="96" t="s">
        <v>129</v>
      </c>
      <c r="R15" s="1123"/>
      <c r="S15" s="21"/>
    </row>
    <row r="16" spans="1:19" ht="30.1" customHeight="1" x14ac:dyDescent="0.25">
      <c r="A16" s="1101"/>
      <c r="B16" s="1094" t="s">
        <v>1072</v>
      </c>
      <c r="C16" s="1094" t="s">
        <v>1073</v>
      </c>
      <c r="D16" s="1094" t="s">
        <v>348</v>
      </c>
      <c r="E16" s="1104">
        <v>50955422</v>
      </c>
      <c r="F16" s="89" t="s">
        <v>906</v>
      </c>
      <c r="G16" s="1094" t="s">
        <v>497</v>
      </c>
      <c r="H16" s="96" t="s">
        <v>9</v>
      </c>
      <c r="I16" s="1094" t="s">
        <v>1074</v>
      </c>
      <c r="J16" s="1094">
        <v>3124502273</v>
      </c>
      <c r="K16" s="1092">
        <v>43578</v>
      </c>
      <c r="L16" s="1092">
        <v>43579</v>
      </c>
      <c r="M16" s="1092">
        <v>43669</v>
      </c>
      <c r="N16" s="56">
        <v>12</v>
      </c>
      <c r="O16" s="56" t="s">
        <v>4</v>
      </c>
      <c r="P16" s="56">
        <v>36</v>
      </c>
      <c r="Q16" s="96" t="s">
        <v>711</v>
      </c>
      <c r="R16" s="1094" t="s">
        <v>1692</v>
      </c>
      <c r="S16" s="21"/>
    </row>
    <row r="17" spans="1:19" ht="30.1" customHeight="1" x14ac:dyDescent="0.25">
      <c r="A17" s="1102"/>
      <c r="B17" s="1097"/>
      <c r="C17" s="1097"/>
      <c r="D17" s="1097"/>
      <c r="E17" s="1105"/>
      <c r="F17" s="89" t="s">
        <v>906</v>
      </c>
      <c r="G17" s="1097"/>
      <c r="H17" s="96" t="s">
        <v>9</v>
      </c>
      <c r="I17" s="1097"/>
      <c r="J17" s="1097"/>
      <c r="K17" s="1096"/>
      <c r="L17" s="1096"/>
      <c r="M17" s="1096"/>
      <c r="N17" s="56">
        <v>12</v>
      </c>
      <c r="O17" s="56" t="s">
        <v>8</v>
      </c>
      <c r="P17" s="56">
        <v>36</v>
      </c>
      <c r="Q17" s="96" t="s">
        <v>381</v>
      </c>
      <c r="R17" s="1097"/>
      <c r="S17" s="21"/>
    </row>
    <row r="18" spans="1:19" ht="30.1" customHeight="1" x14ac:dyDescent="0.25">
      <c r="A18" s="1103"/>
      <c r="B18" s="1095"/>
      <c r="C18" s="1095"/>
      <c r="D18" s="1095"/>
      <c r="E18" s="1106"/>
      <c r="F18" s="89" t="s">
        <v>906</v>
      </c>
      <c r="G18" s="1095"/>
      <c r="H18" s="96" t="s">
        <v>9</v>
      </c>
      <c r="I18" s="1095"/>
      <c r="J18" s="1095"/>
      <c r="K18" s="1093"/>
      <c r="L18" s="1093"/>
      <c r="M18" s="1093"/>
      <c r="N18" s="56">
        <v>12</v>
      </c>
      <c r="O18" s="56" t="s">
        <v>215</v>
      </c>
      <c r="P18" s="56">
        <v>36</v>
      </c>
      <c r="Q18" s="96" t="s">
        <v>44</v>
      </c>
      <c r="R18" s="1095"/>
      <c r="S18" s="21"/>
    </row>
    <row r="19" spans="1:19" ht="30.1" customHeight="1" x14ac:dyDescent="0.25">
      <c r="A19" s="73"/>
      <c r="B19" s="96" t="s">
        <v>1713</v>
      </c>
      <c r="C19" s="96" t="s">
        <v>1714</v>
      </c>
      <c r="D19" s="96" t="s">
        <v>348</v>
      </c>
      <c r="E19" s="23">
        <v>1063281975</v>
      </c>
      <c r="F19" s="96" t="s">
        <v>362</v>
      </c>
      <c r="G19" s="96" t="s">
        <v>481</v>
      </c>
      <c r="H19" s="96" t="s">
        <v>15</v>
      </c>
      <c r="I19" s="96"/>
      <c r="J19" s="96">
        <v>3234161293</v>
      </c>
      <c r="K19" s="74">
        <v>43579</v>
      </c>
      <c r="L19" s="74">
        <v>43580</v>
      </c>
      <c r="M19" s="74">
        <v>43670</v>
      </c>
      <c r="N19" s="96">
        <v>20</v>
      </c>
      <c r="O19" s="96" t="s">
        <v>4</v>
      </c>
      <c r="P19" s="96">
        <v>60</v>
      </c>
      <c r="Q19" s="96" t="s">
        <v>16</v>
      </c>
      <c r="R19" s="96" t="s">
        <v>1715</v>
      </c>
      <c r="S19" s="21"/>
    </row>
    <row r="20" spans="1:19" ht="30.1" customHeight="1" x14ac:dyDescent="0.25">
      <c r="A20" s="73"/>
      <c r="B20" s="96" t="s">
        <v>1726</v>
      </c>
      <c r="C20" s="96" t="s">
        <v>1727</v>
      </c>
      <c r="D20" s="96" t="s">
        <v>348</v>
      </c>
      <c r="E20" s="23">
        <v>50955782</v>
      </c>
      <c r="F20" s="96" t="s">
        <v>362</v>
      </c>
      <c r="G20" s="96" t="s">
        <v>481</v>
      </c>
      <c r="H20" s="96" t="s">
        <v>9</v>
      </c>
      <c r="I20" s="96" t="s">
        <v>1728</v>
      </c>
      <c r="J20" s="96">
        <v>3105231146</v>
      </c>
      <c r="K20" s="74">
        <v>43634</v>
      </c>
      <c r="L20" s="74">
        <v>43635</v>
      </c>
      <c r="M20" s="74">
        <v>43664</v>
      </c>
      <c r="N20" s="96">
        <v>12</v>
      </c>
      <c r="O20" s="96" t="s">
        <v>8</v>
      </c>
      <c r="P20" s="96">
        <v>12</v>
      </c>
      <c r="Q20" s="96" t="s">
        <v>381</v>
      </c>
      <c r="R20" s="96"/>
      <c r="S20" s="21"/>
    </row>
    <row r="21" spans="1:19" ht="30.1" customHeight="1" x14ac:dyDescent="0.25">
      <c r="A21" s="73"/>
      <c r="B21" s="96" t="s">
        <v>1909</v>
      </c>
      <c r="C21" s="96" t="s">
        <v>1910</v>
      </c>
      <c r="D21" s="96" t="s">
        <v>348</v>
      </c>
      <c r="E21" s="23">
        <v>25867766</v>
      </c>
      <c r="F21" s="96" t="s">
        <v>362</v>
      </c>
      <c r="G21" s="96" t="s">
        <v>490</v>
      </c>
      <c r="H21" s="96" t="s">
        <v>22</v>
      </c>
      <c r="I21" s="96" t="s">
        <v>1911</v>
      </c>
      <c r="J21" s="96">
        <v>3008719832</v>
      </c>
      <c r="K21" s="74">
        <v>43595</v>
      </c>
      <c r="L21" s="74">
        <v>43596</v>
      </c>
      <c r="M21" s="74">
        <v>43779</v>
      </c>
      <c r="N21" s="96">
        <v>8</v>
      </c>
      <c r="O21" s="96" t="s">
        <v>4</v>
      </c>
      <c r="P21" s="96">
        <v>48</v>
      </c>
      <c r="Q21" s="96" t="s">
        <v>1750</v>
      </c>
      <c r="R21" s="96" t="s">
        <v>1912</v>
      </c>
      <c r="S21" s="21"/>
    </row>
    <row r="22" spans="1:19" ht="30.1" customHeight="1" x14ac:dyDescent="0.25">
      <c r="A22" s="1101"/>
      <c r="B22" s="1094" t="s">
        <v>1938</v>
      </c>
      <c r="C22" s="1094" t="s">
        <v>1939</v>
      </c>
      <c r="D22" s="1094" t="s">
        <v>348</v>
      </c>
      <c r="E22" s="1104">
        <v>33166064</v>
      </c>
      <c r="F22" s="410" t="s">
        <v>906</v>
      </c>
      <c r="G22" s="1094" t="s">
        <v>1940</v>
      </c>
      <c r="H22" s="410" t="s">
        <v>9</v>
      </c>
      <c r="I22" s="1094" t="s">
        <v>1941</v>
      </c>
      <c r="J22" s="1094" t="s">
        <v>1942</v>
      </c>
      <c r="K22" s="1092">
        <v>43641</v>
      </c>
      <c r="L22" s="1092">
        <v>43641</v>
      </c>
      <c r="M22" s="1092">
        <v>43671</v>
      </c>
      <c r="N22" s="96">
        <v>20</v>
      </c>
      <c r="O22" s="96" t="s">
        <v>4</v>
      </c>
      <c r="P22" s="96">
        <v>20</v>
      </c>
      <c r="Q22" s="96" t="s">
        <v>7</v>
      </c>
      <c r="R22" s="159"/>
      <c r="S22" s="21"/>
    </row>
    <row r="23" spans="1:19" ht="30.1" customHeight="1" x14ac:dyDescent="0.25">
      <c r="A23" s="1102"/>
      <c r="B23" s="1097"/>
      <c r="C23" s="1097"/>
      <c r="D23" s="1097"/>
      <c r="E23" s="1105"/>
      <c r="F23" s="410" t="s">
        <v>906</v>
      </c>
      <c r="G23" s="1097"/>
      <c r="H23" s="410" t="s">
        <v>9</v>
      </c>
      <c r="I23" s="1097"/>
      <c r="J23" s="1097"/>
      <c r="K23" s="1096"/>
      <c r="L23" s="1096"/>
      <c r="M23" s="1096"/>
      <c r="N23" s="96">
        <v>20</v>
      </c>
      <c r="O23" s="96" t="s">
        <v>5</v>
      </c>
      <c r="P23" s="96">
        <v>20</v>
      </c>
      <c r="Q23" s="96" t="s">
        <v>7</v>
      </c>
      <c r="R23" s="159"/>
      <c r="S23" s="21"/>
    </row>
    <row r="24" spans="1:19" ht="30.1" customHeight="1" x14ac:dyDescent="0.25">
      <c r="A24" s="1102"/>
      <c r="B24" s="1097"/>
      <c r="C24" s="1097"/>
      <c r="D24" s="1097"/>
      <c r="E24" s="1105"/>
      <c r="F24" s="615" t="s">
        <v>906</v>
      </c>
      <c r="G24" s="1097"/>
      <c r="H24" s="615" t="s">
        <v>9</v>
      </c>
      <c r="I24" s="1097"/>
      <c r="J24" s="1097"/>
      <c r="K24" s="1096"/>
      <c r="L24" s="1096"/>
      <c r="M24" s="1096"/>
      <c r="N24" s="96">
        <v>1</v>
      </c>
      <c r="O24" s="96" t="s">
        <v>2270</v>
      </c>
      <c r="P24" s="96">
        <v>1</v>
      </c>
      <c r="Q24" s="96" t="s">
        <v>381</v>
      </c>
      <c r="R24" s="159"/>
      <c r="S24" s="21"/>
    </row>
    <row r="25" spans="1:19" ht="30.1" customHeight="1" x14ac:dyDescent="0.25">
      <c r="A25" s="1102"/>
      <c r="B25" s="1097"/>
      <c r="C25" s="1097"/>
      <c r="D25" s="1097"/>
      <c r="E25" s="1105"/>
      <c r="F25" s="410" t="s">
        <v>906</v>
      </c>
      <c r="G25" s="1097"/>
      <c r="H25" s="410" t="s">
        <v>9</v>
      </c>
      <c r="I25" s="1097"/>
      <c r="J25" s="1097"/>
      <c r="K25" s="1096"/>
      <c r="L25" s="1096"/>
      <c r="M25" s="1096"/>
      <c r="N25" s="96">
        <v>20</v>
      </c>
      <c r="O25" s="96" t="s">
        <v>215</v>
      </c>
      <c r="P25" s="96">
        <v>20</v>
      </c>
      <c r="Q25" s="96" t="s">
        <v>2271</v>
      </c>
      <c r="R25" s="96"/>
      <c r="S25" s="21"/>
    </row>
    <row r="26" spans="1:19" ht="30.1" customHeight="1" x14ac:dyDescent="0.25">
      <c r="A26" s="1101"/>
      <c r="B26" s="1094" t="s">
        <v>772</v>
      </c>
      <c r="C26" s="1094" t="s">
        <v>773</v>
      </c>
      <c r="D26" s="1094" t="s">
        <v>348</v>
      </c>
      <c r="E26" s="1104">
        <v>1063140920</v>
      </c>
      <c r="F26" s="455" t="s">
        <v>349</v>
      </c>
      <c r="G26" s="455" t="s">
        <v>484</v>
      </c>
      <c r="H26" s="455" t="s">
        <v>21</v>
      </c>
      <c r="I26" s="1094" t="s">
        <v>774</v>
      </c>
      <c r="J26" s="1094" t="s">
        <v>775</v>
      </c>
      <c r="K26" s="1092">
        <v>43601</v>
      </c>
      <c r="L26" s="1092">
        <v>43602</v>
      </c>
      <c r="M26" s="1092">
        <v>43724</v>
      </c>
      <c r="N26" s="96">
        <v>20</v>
      </c>
      <c r="O26" s="96" t="s">
        <v>4</v>
      </c>
      <c r="P26" s="96">
        <v>80</v>
      </c>
      <c r="Q26" s="96" t="s">
        <v>335</v>
      </c>
      <c r="R26" s="1094" t="s">
        <v>1959</v>
      </c>
      <c r="S26" s="1124" t="s">
        <v>1960</v>
      </c>
    </row>
    <row r="27" spans="1:19" ht="30.1" customHeight="1" x14ac:dyDescent="0.25">
      <c r="A27" s="1102"/>
      <c r="B27" s="1097"/>
      <c r="C27" s="1097"/>
      <c r="D27" s="1097"/>
      <c r="E27" s="1105"/>
      <c r="F27" s="455" t="s">
        <v>349</v>
      </c>
      <c r="G27" s="456" t="s">
        <v>484</v>
      </c>
      <c r="H27" s="455" t="s">
        <v>21</v>
      </c>
      <c r="I27" s="1097"/>
      <c r="J27" s="1097"/>
      <c r="K27" s="1096"/>
      <c r="L27" s="1096"/>
      <c r="M27" s="1096"/>
      <c r="N27" s="96">
        <v>20</v>
      </c>
      <c r="O27" s="96" t="s">
        <v>8</v>
      </c>
      <c r="P27" s="96">
        <v>80</v>
      </c>
      <c r="Q27" s="96" t="s">
        <v>221</v>
      </c>
      <c r="R27" s="1097"/>
      <c r="S27" s="1099"/>
    </row>
    <row r="28" spans="1:19" ht="30.1" customHeight="1" x14ac:dyDescent="0.25">
      <c r="A28" s="1103"/>
      <c r="B28" s="1095"/>
      <c r="C28" s="1095"/>
      <c r="D28" s="1095"/>
      <c r="E28" s="1106"/>
      <c r="F28" s="455" t="s">
        <v>349</v>
      </c>
      <c r="G28" s="457"/>
      <c r="H28" s="455" t="s">
        <v>21</v>
      </c>
      <c r="I28" s="1095"/>
      <c r="J28" s="1095"/>
      <c r="K28" s="1093"/>
      <c r="L28" s="1093"/>
      <c r="M28" s="1093"/>
      <c r="N28" s="96">
        <v>12</v>
      </c>
      <c r="O28" s="96" t="s">
        <v>215</v>
      </c>
      <c r="P28" s="96">
        <v>48</v>
      </c>
      <c r="Q28" s="96" t="s">
        <v>380</v>
      </c>
      <c r="R28" s="1095"/>
      <c r="S28" s="1100"/>
    </row>
    <row r="29" spans="1:19" ht="30.1" customHeight="1" x14ac:dyDescent="0.25">
      <c r="A29" s="73"/>
      <c r="B29" s="96" t="s">
        <v>2136</v>
      </c>
      <c r="C29" s="96" t="s">
        <v>2137</v>
      </c>
      <c r="D29" s="96" t="s">
        <v>348</v>
      </c>
      <c r="E29" s="577">
        <v>78020866</v>
      </c>
      <c r="F29" s="96" t="s">
        <v>906</v>
      </c>
      <c r="G29" s="96" t="s">
        <v>2138</v>
      </c>
      <c r="H29" s="96" t="s">
        <v>9</v>
      </c>
      <c r="I29" s="96" t="s">
        <v>2139</v>
      </c>
      <c r="J29" s="96" t="s">
        <v>2140</v>
      </c>
      <c r="K29" s="74">
        <v>43620</v>
      </c>
      <c r="L29" s="74">
        <v>43621</v>
      </c>
      <c r="M29" s="74">
        <v>43707</v>
      </c>
      <c r="N29" s="96">
        <v>15</v>
      </c>
      <c r="O29" s="96" t="s">
        <v>8</v>
      </c>
      <c r="P29" s="96">
        <v>45</v>
      </c>
      <c r="Q29" s="96" t="s">
        <v>381</v>
      </c>
      <c r="R29" s="96" t="s">
        <v>2141</v>
      </c>
      <c r="S29" s="21"/>
    </row>
    <row r="31" spans="1:19" ht="30.1" customHeight="1" x14ac:dyDescent="0.25">
      <c r="A31" s="73"/>
      <c r="B31" s="96" t="s">
        <v>2273</v>
      </c>
      <c r="C31" s="96" t="s">
        <v>2272</v>
      </c>
      <c r="D31" s="96" t="s">
        <v>348</v>
      </c>
      <c r="E31" s="23">
        <v>6589731</v>
      </c>
      <c r="F31" s="96" t="s">
        <v>362</v>
      </c>
      <c r="G31" s="96" t="s">
        <v>727</v>
      </c>
      <c r="H31" s="96" t="s">
        <v>19</v>
      </c>
      <c r="I31" s="96" t="s">
        <v>2274</v>
      </c>
      <c r="J31" s="96" t="s">
        <v>2275</v>
      </c>
      <c r="K31" s="74">
        <v>43637</v>
      </c>
      <c r="L31" s="74">
        <v>43641</v>
      </c>
      <c r="M31" s="74">
        <v>43701</v>
      </c>
      <c r="N31" s="96">
        <v>60</v>
      </c>
      <c r="O31" s="96" t="s">
        <v>4</v>
      </c>
      <c r="P31" s="96">
        <v>120</v>
      </c>
      <c r="Q31" s="96" t="s">
        <v>18</v>
      </c>
      <c r="R31" s="96" t="s">
        <v>2276</v>
      </c>
      <c r="S31" s="21"/>
    </row>
    <row r="32" spans="1:19" ht="57.75" customHeight="1" x14ac:dyDescent="0.25">
      <c r="A32" s="73"/>
      <c r="B32" s="96" t="s">
        <v>2307</v>
      </c>
      <c r="C32" s="96" t="s">
        <v>2308</v>
      </c>
      <c r="D32" s="96" t="s">
        <v>348</v>
      </c>
      <c r="E32" s="23">
        <v>35113245</v>
      </c>
      <c r="F32" s="96" t="s">
        <v>349</v>
      </c>
      <c r="G32" s="96" t="s">
        <v>2631</v>
      </c>
      <c r="H32" s="96" t="s">
        <v>9</v>
      </c>
      <c r="I32" s="96" t="s">
        <v>2309</v>
      </c>
      <c r="J32" s="96" t="s">
        <v>2332</v>
      </c>
      <c r="K32" s="74">
        <v>43644</v>
      </c>
      <c r="L32" s="74">
        <v>43648</v>
      </c>
      <c r="M32" s="74">
        <v>43678</v>
      </c>
      <c r="N32" s="96">
        <v>20</v>
      </c>
      <c r="O32" s="96" t="s">
        <v>4</v>
      </c>
      <c r="P32" s="96">
        <v>20</v>
      </c>
      <c r="Q32" s="96" t="s">
        <v>832</v>
      </c>
      <c r="R32" s="686" t="s">
        <v>2639</v>
      </c>
      <c r="S32" s="21"/>
    </row>
    <row r="33" spans="1:19" ht="30.1" customHeight="1" x14ac:dyDescent="0.25">
      <c r="A33" s="1101"/>
      <c r="B33" s="1094" t="s">
        <v>634</v>
      </c>
      <c r="C33" s="1094" t="s">
        <v>635</v>
      </c>
      <c r="D33" s="1094" t="s">
        <v>356</v>
      </c>
      <c r="E33" s="1104">
        <v>1138083910</v>
      </c>
      <c r="F33" s="87" t="s">
        <v>362</v>
      </c>
      <c r="G33" s="1094" t="s">
        <v>636</v>
      </c>
      <c r="H33" s="94" t="s">
        <v>20</v>
      </c>
      <c r="I33" s="1094" t="s">
        <v>633</v>
      </c>
      <c r="J33" s="1094">
        <v>3108284745</v>
      </c>
      <c r="K33" s="1092">
        <v>43644</v>
      </c>
      <c r="L33" s="1092">
        <v>43648</v>
      </c>
      <c r="M33" s="1092">
        <v>43829</v>
      </c>
      <c r="N33" s="20">
        <v>16</v>
      </c>
      <c r="O33" s="20" t="s">
        <v>4</v>
      </c>
      <c r="P33" s="20">
        <v>96</v>
      </c>
      <c r="Q33" s="96" t="s">
        <v>2176</v>
      </c>
      <c r="R33" s="1094" t="s">
        <v>2318</v>
      </c>
      <c r="S33" s="21"/>
    </row>
    <row r="34" spans="1:19" ht="30.1" customHeight="1" x14ac:dyDescent="0.25">
      <c r="A34" s="1102"/>
      <c r="B34" s="1097"/>
      <c r="C34" s="1097"/>
      <c r="D34" s="1097"/>
      <c r="E34" s="1105"/>
      <c r="F34" s="87" t="s">
        <v>362</v>
      </c>
      <c r="G34" s="1097"/>
      <c r="H34" s="94" t="s">
        <v>20</v>
      </c>
      <c r="I34" s="1097"/>
      <c r="J34" s="1097"/>
      <c r="K34" s="1096"/>
      <c r="L34" s="1096"/>
      <c r="M34" s="1096"/>
      <c r="N34" s="20">
        <v>16</v>
      </c>
      <c r="O34" s="20" t="s">
        <v>215</v>
      </c>
      <c r="P34" s="20">
        <v>96</v>
      </c>
      <c r="Q34" s="96" t="s">
        <v>614</v>
      </c>
      <c r="R34" s="1097"/>
      <c r="S34" s="21"/>
    </row>
    <row r="35" spans="1:19" ht="30.1" customHeight="1" x14ac:dyDescent="0.25">
      <c r="A35" s="1103"/>
      <c r="B35" s="1095"/>
      <c r="C35" s="1095"/>
      <c r="D35" s="1095"/>
      <c r="E35" s="1106"/>
      <c r="F35" s="87" t="s">
        <v>362</v>
      </c>
      <c r="G35" s="1095"/>
      <c r="H35" s="94" t="s">
        <v>20</v>
      </c>
      <c r="I35" s="1095"/>
      <c r="J35" s="1095"/>
      <c r="K35" s="1093"/>
      <c r="L35" s="1093"/>
      <c r="M35" s="1093"/>
      <c r="N35" s="20">
        <v>16</v>
      </c>
      <c r="O35" s="20" t="s">
        <v>8</v>
      </c>
      <c r="P35" s="20">
        <v>96</v>
      </c>
      <c r="Q35" s="96" t="s">
        <v>461</v>
      </c>
      <c r="R35" s="1095"/>
      <c r="S35" s="21"/>
    </row>
    <row r="36" spans="1:19" s="4" customFormat="1" ht="30.1" customHeight="1" x14ac:dyDescent="0.25">
      <c r="A36" s="73"/>
      <c r="B36" s="687" t="s">
        <v>2339</v>
      </c>
      <c r="C36" s="687" t="s">
        <v>2340</v>
      </c>
      <c r="D36" s="369" t="s">
        <v>348</v>
      </c>
      <c r="E36" s="688">
        <v>25867603</v>
      </c>
      <c r="F36" s="369" t="s">
        <v>362</v>
      </c>
      <c r="G36" s="369" t="s">
        <v>2341</v>
      </c>
      <c r="H36" s="369" t="s">
        <v>110</v>
      </c>
      <c r="I36" s="369" t="s">
        <v>2342</v>
      </c>
      <c r="J36" s="369" t="s">
        <v>2343</v>
      </c>
      <c r="K36" s="689">
        <v>43649</v>
      </c>
      <c r="L36" s="689">
        <v>43649</v>
      </c>
      <c r="M36" s="689">
        <v>43738</v>
      </c>
      <c r="N36" s="369">
        <v>12</v>
      </c>
      <c r="O36" s="369" t="s">
        <v>4</v>
      </c>
      <c r="P36" s="369">
        <v>36</v>
      </c>
      <c r="Q36" s="369" t="s">
        <v>111</v>
      </c>
      <c r="R36" s="369" t="s">
        <v>1829</v>
      </c>
      <c r="S36" s="690"/>
    </row>
    <row r="37" spans="1:19" ht="30.1" customHeight="1" x14ac:dyDescent="0.25">
      <c r="A37" s="73"/>
      <c r="B37" s="96" t="s">
        <v>2353</v>
      </c>
      <c r="C37" s="96" t="s">
        <v>2354</v>
      </c>
      <c r="D37" s="96" t="s">
        <v>348</v>
      </c>
      <c r="E37" s="23">
        <v>50944045</v>
      </c>
      <c r="F37" s="96" t="s">
        <v>906</v>
      </c>
      <c r="G37" s="96" t="s">
        <v>530</v>
      </c>
      <c r="H37" s="96" t="s">
        <v>15</v>
      </c>
      <c r="I37" s="96"/>
      <c r="J37" s="96"/>
      <c r="K37" s="74">
        <v>43650</v>
      </c>
      <c r="L37" s="74">
        <v>43650</v>
      </c>
      <c r="M37" s="74">
        <v>43738</v>
      </c>
      <c r="N37" s="96">
        <v>20</v>
      </c>
      <c r="O37" s="96" t="s">
        <v>4</v>
      </c>
      <c r="P37" s="96">
        <v>60</v>
      </c>
      <c r="Q37" s="96" t="s">
        <v>16</v>
      </c>
      <c r="R37" s="96" t="s">
        <v>2355</v>
      </c>
      <c r="S37" s="21" t="s">
        <v>2356</v>
      </c>
    </row>
    <row r="38" spans="1:19" ht="30.1" customHeight="1" x14ac:dyDescent="0.25">
      <c r="A38" s="73"/>
      <c r="B38" s="1094" t="s">
        <v>2371</v>
      </c>
      <c r="C38" s="1094" t="s">
        <v>2469</v>
      </c>
      <c r="D38" s="1094" t="s">
        <v>356</v>
      </c>
      <c r="E38" s="1104">
        <v>1062540687</v>
      </c>
      <c r="F38" s="96" t="s">
        <v>349</v>
      </c>
      <c r="G38" s="1094" t="s">
        <v>484</v>
      </c>
      <c r="H38" s="96" t="s">
        <v>15</v>
      </c>
      <c r="I38" s="1094" t="s">
        <v>2375</v>
      </c>
      <c r="J38" s="1094">
        <v>3116383795</v>
      </c>
      <c r="K38" s="1092">
        <v>43650</v>
      </c>
      <c r="L38" s="1092">
        <v>43651</v>
      </c>
      <c r="M38" s="1092">
        <v>43738</v>
      </c>
      <c r="N38" s="96">
        <v>20</v>
      </c>
      <c r="O38" s="96" t="s">
        <v>4</v>
      </c>
      <c r="P38" s="96">
        <v>60</v>
      </c>
      <c r="Q38" s="96" t="s">
        <v>2372</v>
      </c>
      <c r="R38" s="1094" t="s">
        <v>2355</v>
      </c>
      <c r="S38" s="21"/>
    </row>
    <row r="39" spans="1:19" ht="30.1" customHeight="1" x14ac:dyDescent="0.25">
      <c r="A39" s="73"/>
      <c r="B39" s="1097"/>
      <c r="C39" s="1097"/>
      <c r="D39" s="1097"/>
      <c r="E39" s="1105"/>
      <c r="F39" s="96" t="s">
        <v>349</v>
      </c>
      <c r="G39" s="1097"/>
      <c r="H39" s="96" t="s">
        <v>15</v>
      </c>
      <c r="I39" s="1097"/>
      <c r="J39" s="1097"/>
      <c r="K39" s="1096"/>
      <c r="L39" s="1096"/>
      <c r="M39" s="1096"/>
      <c r="N39" s="96">
        <v>20</v>
      </c>
      <c r="O39" s="96" t="s">
        <v>8</v>
      </c>
      <c r="P39" s="96">
        <v>60</v>
      </c>
      <c r="Q39" s="96" t="s">
        <v>2376</v>
      </c>
      <c r="R39" s="1097"/>
      <c r="S39" s="21"/>
    </row>
    <row r="40" spans="1:19" ht="30.1" customHeight="1" x14ac:dyDescent="0.25">
      <c r="A40" s="73"/>
      <c r="B40" s="1095"/>
      <c r="C40" s="1095"/>
      <c r="D40" s="1095"/>
      <c r="E40" s="1106"/>
      <c r="F40" s="96" t="s">
        <v>349</v>
      </c>
      <c r="G40" s="1095"/>
      <c r="H40" s="96" t="s">
        <v>15</v>
      </c>
      <c r="I40" s="1095"/>
      <c r="J40" s="1095"/>
      <c r="K40" s="1093"/>
      <c r="L40" s="1093"/>
      <c r="M40" s="1093"/>
      <c r="N40" s="96">
        <v>20</v>
      </c>
      <c r="O40" s="96" t="s">
        <v>215</v>
      </c>
      <c r="P40" s="96">
        <v>60</v>
      </c>
      <c r="Q40" s="96" t="s">
        <v>2377</v>
      </c>
      <c r="R40" s="1095"/>
      <c r="S40" s="21"/>
    </row>
    <row r="41" spans="1:19" ht="30.1" customHeight="1" x14ac:dyDescent="0.25">
      <c r="A41" s="73"/>
      <c r="B41" s="96" t="s">
        <v>2373</v>
      </c>
      <c r="C41" s="96" t="s">
        <v>2468</v>
      </c>
      <c r="D41" s="96" t="s">
        <v>348</v>
      </c>
      <c r="E41" s="23">
        <v>2789402</v>
      </c>
      <c r="F41" s="96" t="s">
        <v>906</v>
      </c>
      <c r="G41" s="96" t="s">
        <v>801</v>
      </c>
      <c r="H41" s="96" t="s">
        <v>9</v>
      </c>
      <c r="I41" s="96" t="s">
        <v>2374</v>
      </c>
      <c r="J41" s="96">
        <v>3116584701</v>
      </c>
      <c r="K41" s="601">
        <v>43651</v>
      </c>
      <c r="L41" s="601">
        <v>43651</v>
      </c>
      <c r="M41" s="601">
        <v>43738</v>
      </c>
      <c r="N41" s="96">
        <v>20</v>
      </c>
      <c r="O41" s="96" t="s">
        <v>4</v>
      </c>
      <c r="P41" s="96">
        <v>60</v>
      </c>
      <c r="Q41" s="96" t="s">
        <v>1255</v>
      </c>
      <c r="R41" s="96" t="s">
        <v>2355</v>
      </c>
      <c r="S41" s="21"/>
    </row>
    <row r="42" spans="1:19" ht="30.1" customHeight="1" x14ac:dyDescent="0.25">
      <c r="A42" s="73"/>
      <c r="B42" s="96" t="s">
        <v>1652</v>
      </c>
      <c r="C42" s="96" t="s">
        <v>1961</v>
      </c>
      <c r="D42" s="96" t="s">
        <v>348</v>
      </c>
      <c r="E42" s="23">
        <v>6583557</v>
      </c>
      <c r="F42" s="96" t="s">
        <v>906</v>
      </c>
      <c r="G42" s="96"/>
      <c r="H42" s="96" t="s">
        <v>9</v>
      </c>
      <c r="I42" s="96" t="s">
        <v>1962</v>
      </c>
      <c r="J42" s="96" t="s">
        <v>1963</v>
      </c>
      <c r="K42" s="74">
        <v>43654</v>
      </c>
      <c r="L42" s="74">
        <v>43655</v>
      </c>
      <c r="M42" s="74">
        <v>43746</v>
      </c>
      <c r="N42" s="96">
        <v>10</v>
      </c>
      <c r="O42" s="96" t="s">
        <v>4</v>
      </c>
      <c r="P42" s="96">
        <v>30</v>
      </c>
      <c r="Q42" s="96" t="s">
        <v>7</v>
      </c>
      <c r="R42" s="96" t="s">
        <v>2389</v>
      </c>
      <c r="S42" s="21"/>
    </row>
    <row r="43" spans="1:19" ht="30.1" customHeight="1" x14ac:dyDescent="0.25">
      <c r="A43" s="73"/>
      <c r="B43" s="96" t="s">
        <v>2390</v>
      </c>
      <c r="C43" s="96" t="s">
        <v>2391</v>
      </c>
      <c r="D43" s="96" t="s">
        <v>348</v>
      </c>
      <c r="E43" s="23">
        <v>26049050</v>
      </c>
      <c r="F43" s="96" t="s">
        <v>362</v>
      </c>
      <c r="G43" s="96" t="s">
        <v>493</v>
      </c>
      <c r="H43" s="96" t="s">
        <v>110</v>
      </c>
      <c r="I43" s="96" t="s">
        <v>2392</v>
      </c>
      <c r="J43" s="96">
        <v>3106551404</v>
      </c>
      <c r="K43" s="601">
        <v>43655</v>
      </c>
      <c r="L43" s="601">
        <v>43656</v>
      </c>
      <c r="M43" s="601">
        <v>43686</v>
      </c>
      <c r="N43" s="96">
        <v>30</v>
      </c>
      <c r="O43" s="96" t="s">
        <v>4</v>
      </c>
      <c r="P43" s="96">
        <v>30</v>
      </c>
      <c r="Q43" s="96" t="s">
        <v>111</v>
      </c>
      <c r="R43" s="96"/>
      <c r="S43" s="21"/>
    </row>
    <row r="44" spans="1:19" ht="30.1" customHeight="1" x14ac:dyDescent="0.25">
      <c r="A44" s="73"/>
      <c r="B44" s="96" t="s">
        <v>2441</v>
      </c>
      <c r="C44" s="96" t="s">
        <v>2442</v>
      </c>
      <c r="D44" s="96" t="s">
        <v>348</v>
      </c>
      <c r="E44" s="23">
        <v>25880166</v>
      </c>
      <c r="F44" s="96" t="s">
        <v>906</v>
      </c>
      <c r="G44" s="96" t="s">
        <v>480</v>
      </c>
      <c r="H44" s="96" t="s">
        <v>9</v>
      </c>
      <c r="I44" s="96" t="s">
        <v>2443</v>
      </c>
      <c r="J44" s="96" t="s">
        <v>2444</v>
      </c>
      <c r="K44" s="601">
        <v>43658</v>
      </c>
      <c r="L44" s="601">
        <v>43658</v>
      </c>
      <c r="M44" s="601">
        <v>43666</v>
      </c>
      <c r="N44" s="96">
        <v>28</v>
      </c>
      <c r="O44" s="96" t="s">
        <v>5</v>
      </c>
      <c r="P44" s="96">
        <v>28</v>
      </c>
      <c r="Q44" s="96" t="s">
        <v>7</v>
      </c>
      <c r="R44" s="96"/>
      <c r="S44" s="21"/>
    </row>
    <row r="45" spans="1:19" ht="30.1" customHeight="1" x14ac:dyDescent="0.25">
      <c r="A45" s="1101"/>
      <c r="B45" s="1094" t="s">
        <v>2450</v>
      </c>
      <c r="C45" s="1094" t="s">
        <v>2451</v>
      </c>
      <c r="D45" s="1094" t="s">
        <v>348</v>
      </c>
      <c r="E45" s="1104">
        <v>50847871</v>
      </c>
      <c r="F45" s="736" t="s">
        <v>349</v>
      </c>
      <c r="G45" s="1094" t="s">
        <v>2452</v>
      </c>
      <c r="H45" s="736" t="s">
        <v>9</v>
      </c>
      <c r="I45" s="1094" t="s">
        <v>2453</v>
      </c>
      <c r="J45" s="1094">
        <v>3003961992</v>
      </c>
      <c r="K45" s="1092">
        <v>43658</v>
      </c>
      <c r="L45" s="1092">
        <v>43661</v>
      </c>
      <c r="M45" s="1092">
        <v>43752</v>
      </c>
      <c r="N45" s="96">
        <v>12</v>
      </c>
      <c r="O45" s="96" t="s">
        <v>4</v>
      </c>
      <c r="P45" s="96">
        <v>36</v>
      </c>
      <c r="Q45" s="96" t="s">
        <v>7</v>
      </c>
      <c r="R45" s="1094" t="s">
        <v>1458</v>
      </c>
      <c r="S45" s="1098"/>
    </row>
    <row r="46" spans="1:19" ht="30.1" customHeight="1" x14ac:dyDescent="0.25">
      <c r="A46" s="1102"/>
      <c r="B46" s="1097"/>
      <c r="C46" s="1097"/>
      <c r="D46" s="1097"/>
      <c r="E46" s="1105"/>
      <c r="F46" s="736" t="s">
        <v>349</v>
      </c>
      <c r="G46" s="1097"/>
      <c r="H46" s="736" t="s">
        <v>9</v>
      </c>
      <c r="I46" s="1097"/>
      <c r="J46" s="1097"/>
      <c r="K46" s="1096"/>
      <c r="L46" s="1096"/>
      <c r="M46" s="1096"/>
      <c r="N46" s="96">
        <v>12</v>
      </c>
      <c r="O46" s="96" t="s">
        <v>215</v>
      </c>
      <c r="P46" s="96">
        <v>36</v>
      </c>
      <c r="Q46" s="96" t="s">
        <v>364</v>
      </c>
      <c r="R46" s="1097"/>
      <c r="S46" s="1099"/>
    </row>
    <row r="47" spans="1:19" ht="30.1" customHeight="1" x14ac:dyDescent="0.25">
      <c r="A47" s="1103"/>
      <c r="B47" s="1095"/>
      <c r="C47" s="1095"/>
      <c r="D47" s="1095"/>
      <c r="E47" s="1106"/>
      <c r="F47" s="736" t="s">
        <v>349</v>
      </c>
      <c r="G47" s="1095"/>
      <c r="H47" s="736" t="s">
        <v>9</v>
      </c>
      <c r="I47" s="1095"/>
      <c r="J47" s="1095"/>
      <c r="K47" s="1093"/>
      <c r="L47" s="1093"/>
      <c r="M47" s="1093"/>
      <c r="N47" s="96">
        <v>12</v>
      </c>
      <c r="O47" s="96" t="s">
        <v>8</v>
      </c>
      <c r="P47" s="96">
        <v>36</v>
      </c>
      <c r="Q47" s="96" t="s">
        <v>381</v>
      </c>
      <c r="R47" s="1095"/>
      <c r="S47" s="1100"/>
    </row>
    <row r="48" spans="1:19" s="22" customFormat="1" ht="30.1" customHeight="1" x14ac:dyDescent="0.25">
      <c r="A48" s="1101"/>
      <c r="B48" s="1094" t="s">
        <v>2528</v>
      </c>
      <c r="C48" s="1094" t="s">
        <v>2529</v>
      </c>
      <c r="D48" s="1094" t="s">
        <v>348</v>
      </c>
      <c r="E48" s="1104">
        <v>26192132</v>
      </c>
      <c r="F48" s="96" t="s">
        <v>906</v>
      </c>
      <c r="G48" s="1094" t="s">
        <v>2530</v>
      </c>
      <c r="H48" s="96" t="s">
        <v>9</v>
      </c>
      <c r="I48" s="1094" t="s">
        <v>2531</v>
      </c>
      <c r="J48" s="1094" t="s">
        <v>2532</v>
      </c>
      <c r="K48" s="1092">
        <v>43663</v>
      </c>
      <c r="L48" s="1092">
        <v>43663</v>
      </c>
      <c r="M48" s="1092">
        <v>43754</v>
      </c>
      <c r="N48" s="96">
        <v>30</v>
      </c>
      <c r="O48" s="96" t="s">
        <v>4</v>
      </c>
      <c r="P48" s="96">
        <v>90</v>
      </c>
      <c r="Q48" s="96" t="s">
        <v>711</v>
      </c>
      <c r="R48" s="1094" t="s">
        <v>2533</v>
      </c>
      <c r="S48" s="21"/>
    </row>
    <row r="49" spans="1:19" ht="30.1" customHeight="1" x14ac:dyDescent="0.25">
      <c r="A49" s="1103"/>
      <c r="B49" s="1095"/>
      <c r="C49" s="1095"/>
      <c r="D49" s="1095"/>
      <c r="E49" s="1106"/>
      <c r="F49" s="96" t="s">
        <v>906</v>
      </c>
      <c r="G49" s="1095"/>
      <c r="H49" s="96" t="s">
        <v>9</v>
      </c>
      <c r="I49" s="1095"/>
      <c r="J49" s="1095"/>
      <c r="K49" s="1093"/>
      <c r="L49" s="1093"/>
      <c r="M49" s="1093"/>
      <c r="N49" s="96">
        <v>30</v>
      </c>
      <c r="O49" s="96" t="s">
        <v>5</v>
      </c>
      <c r="P49" s="96">
        <v>90</v>
      </c>
      <c r="Q49" s="96" t="s">
        <v>711</v>
      </c>
      <c r="R49" s="1095"/>
      <c r="S49" s="21"/>
    </row>
    <row r="50" spans="1:19" ht="30.1" customHeight="1" x14ac:dyDescent="0.25">
      <c r="A50" s="73"/>
      <c r="B50" s="96" t="s">
        <v>2534</v>
      </c>
      <c r="C50" s="96" t="s">
        <v>2535</v>
      </c>
      <c r="D50" s="96" t="s">
        <v>348</v>
      </c>
      <c r="E50" s="23">
        <v>78291466</v>
      </c>
      <c r="F50" s="96" t="s">
        <v>2536</v>
      </c>
      <c r="G50" s="96" t="s">
        <v>2537</v>
      </c>
      <c r="H50" s="96" t="s">
        <v>15</v>
      </c>
      <c r="I50" s="96" t="s">
        <v>2538</v>
      </c>
      <c r="J50" s="96">
        <v>3135909271</v>
      </c>
      <c r="K50" s="601">
        <v>43663</v>
      </c>
      <c r="L50" s="601">
        <v>43663</v>
      </c>
      <c r="M50" s="601">
        <v>43669</v>
      </c>
      <c r="N50" s="96">
        <v>18</v>
      </c>
      <c r="O50" s="96" t="s">
        <v>5</v>
      </c>
      <c r="P50" s="96">
        <v>18</v>
      </c>
      <c r="Q50" s="96" t="s">
        <v>16</v>
      </c>
      <c r="R50" s="96" t="s">
        <v>2539</v>
      </c>
      <c r="S50" s="21"/>
    </row>
    <row r="51" spans="1:19" ht="30.1" customHeight="1" x14ac:dyDescent="0.25">
      <c r="A51" s="73"/>
      <c r="B51" s="1094" t="s">
        <v>2549</v>
      </c>
      <c r="C51" s="1094" t="s">
        <v>2550</v>
      </c>
      <c r="D51" s="1094" t="s">
        <v>356</v>
      </c>
      <c r="E51" s="1094">
        <v>1051827070</v>
      </c>
      <c r="F51" s="96" t="s">
        <v>362</v>
      </c>
      <c r="G51" s="1094" t="s">
        <v>484</v>
      </c>
      <c r="H51" s="96" t="s">
        <v>9</v>
      </c>
      <c r="I51" s="1094" t="s">
        <v>2551</v>
      </c>
      <c r="J51" s="1094">
        <v>3016757515</v>
      </c>
      <c r="K51" s="1092">
        <v>43663</v>
      </c>
      <c r="L51" s="1092">
        <v>43663</v>
      </c>
      <c r="M51" s="1092">
        <v>43693</v>
      </c>
      <c r="N51" s="96">
        <v>90</v>
      </c>
      <c r="O51" s="96" t="s">
        <v>5</v>
      </c>
      <c r="P51" s="96">
        <v>90</v>
      </c>
      <c r="Q51" s="96" t="s">
        <v>7</v>
      </c>
      <c r="R51" s="96" t="s">
        <v>2552</v>
      </c>
      <c r="S51" s="21"/>
    </row>
    <row r="52" spans="1:19" ht="30.1" customHeight="1" x14ac:dyDescent="0.25">
      <c r="A52" s="73"/>
      <c r="B52" s="1095"/>
      <c r="C52" s="1095"/>
      <c r="D52" s="1095"/>
      <c r="E52" s="1095"/>
      <c r="F52" s="96" t="s">
        <v>362</v>
      </c>
      <c r="G52" s="1095"/>
      <c r="H52" s="96" t="s">
        <v>9</v>
      </c>
      <c r="I52" s="1095"/>
      <c r="J52" s="1095"/>
      <c r="K52" s="1093"/>
      <c r="L52" s="1093"/>
      <c r="M52" s="1093"/>
      <c r="N52" s="96">
        <v>60</v>
      </c>
      <c r="O52" s="96" t="s">
        <v>4</v>
      </c>
      <c r="P52" s="96">
        <v>60</v>
      </c>
      <c r="Q52" s="96" t="s">
        <v>7</v>
      </c>
      <c r="R52" s="96"/>
      <c r="S52" s="21"/>
    </row>
    <row r="53" spans="1:19" ht="30.1" customHeight="1" x14ac:dyDescent="0.25">
      <c r="A53" s="73"/>
      <c r="B53" s="96" t="s">
        <v>2591</v>
      </c>
      <c r="C53" s="96" t="s">
        <v>2592</v>
      </c>
      <c r="D53" s="96" t="s">
        <v>348</v>
      </c>
      <c r="E53" s="23">
        <v>15015632</v>
      </c>
      <c r="F53" s="96" t="s">
        <v>349</v>
      </c>
      <c r="G53" s="96"/>
      <c r="H53" s="96" t="s">
        <v>21</v>
      </c>
      <c r="I53" s="96"/>
      <c r="J53" s="96">
        <v>3205392525</v>
      </c>
      <c r="K53" s="601">
        <v>43665</v>
      </c>
      <c r="L53" s="601">
        <v>43668</v>
      </c>
      <c r="M53" s="601">
        <v>43698</v>
      </c>
      <c r="N53" s="96">
        <v>20</v>
      </c>
      <c r="O53" s="96" t="s">
        <v>4</v>
      </c>
      <c r="P53" s="96">
        <v>20</v>
      </c>
      <c r="Q53" s="889" t="s">
        <v>335</v>
      </c>
      <c r="R53" s="96"/>
      <c r="S53" s="21" t="s">
        <v>2593</v>
      </c>
    </row>
    <row r="54" spans="1:19" ht="30.1" customHeight="1" x14ac:dyDescent="0.25">
      <c r="A54" s="73"/>
      <c r="B54" s="96" t="s">
        <v>2607</v>
      </c>
      <c r="C54" s="96" t="s">
        <v>2608</v>
      </c>
      <c r="D54" s="96" t="s">
        <v>348</v>
      </c>
      <c r="E54" s="23">
        <v>1063362562</v>
      </c>
      <c r="F54" s="96" t="s">
        <v>349</v>
      </c>
      <c r="G54" s="96" t="s">
        <v>488</v>
      </c>
      <c r="H54" s="96" t="s">
        <v>383</v>
      </c>
      <c r="I54" s="96" t="s">
        <v>2609</v>
      </c>
      <c r="J54" s="96" t="s">
        <v>2610</v>
      </c>
      <c r="K54" s="601">
        <v>43668</v>
      </c>
      <c r="L54" s="601">
        <v>43669</v>
      </c>
      <c r="M54" s="601">
        <v>43699</v>
      </c>
      <c r="N54" s="96">
        <v>20</v>
      </c>
      <c r="O54" s="96" t="s">
        <v>4</v>
      </c>
      <c r="P54" s="96">
        <v>20</v>
      </c>
      <c r="Q54" s="96" t="s">
        <v>469</v>
      </c>
      <c r="R54" s="96"/>
      <c r="S54" s="21" t="s">
        <v>2593</v>
      </c>
    </row>
    <row r="55" spans="1:19" ht="30.1" customHeight="1" x14ac:dyDescent="0.25">
      <c r="A55" s="73"/>
      <c r="B55" s="96" t="s">
        <v>1563</v>
      </c>
      <c r="C55" s="96" t="s">
        <v>1564</v>
      </c>
      <c r="D55" s="96" t="s">
        <v>348</v>
      </c>
      <c r="E55" s="23">
        <v>2808626</v>
      </c>
      <c r="F55" s="96" t="s">
        <v>362</v>
      </c>
      <c r="G55" s="96" t="s">
        <v>530</v>
      </c>
      <c r="H55" s="96" t="s">
        <v>110</v>
      </c>
      <c r="I55" s="96" t="s">
        <v>1565</v>
      </c>
      <c r="J55" s="961" t="s">
        <v>1566</v>
      </c>
      <c r="K55" s="74">
        <v>43669</v>
      </c>
      <c r="L55" s="74">
        <v>43670</v>
      </c>
      <c r="M55" s="74">
        <v>43700</v>
      </c>
      <c r="N55" s="96">
        <v>12</v>
      </c>
      <c r="O55" s="96" t="s">
        <v>4</v>
      </c>
      <c r="P55" s="96">
        <v>12</v>
      </c>
      <c r="Q55" s="96" t="s">
        <v>111</v>
      </c>
      <c r="R55" s="96"/>
      <c r="S55" s="21"/>
    </row>
    <row r="56" spans="1:19" ht="30.1" customHeight="1" x14ac:dyDescent="0.25">
      <c r="A56" s="73"/>
      <c r="B56" s="1094" t="s">
        <v>2626</v>
      </c>
      <c r="C56" s="1094" t="s">
        <v>2627</v>
      </c>
      <c r="D56" s="1094" t="s">
        <v>348</v>
      </c>
      <c r="E56" s="1125">
        <v>1547331</v>
      </c>
      <c r="F56" s="965" t="s">
        <v>353</v>
      </c>
      <c r="G56" s="1094" t="s">
        <v>486</v>
      </c>
      <c r="H56" s="96" t="s">
        <v>9</v>
      </c>
      <c r="I56" s="1094" t="s">
        <v>2630</v>
      </c>
      <c r="J56" s="1094">
        <v>3202307666</v>
      </c>
      <c r="K56" s="1092">
        <v>43647</v>
      </c>
      <c r="L56" s="1092">
        <v>43647</v>
      </c>
      <c r="M56" s="1092">
        <v>43676</v>
      </c>
      <c r="N56" s="96" t="s">
        <v>2629</v>
      </c>
      <c r="O56" s="96" t="s">
        <v>5</v>
      </c>
      <c r="P56" s="96">
        <v>12</v>
      </c>
      <c r="Q56" s="96" t="s">
        <v>832</v>
      </c>
      <c r="R56" s="1094" t="s">
        <v>2628</v>
      </c>
      <c r="S56" s="21"/>
    </row>
    <row r="57" spans="1:19" ht="30.1" customHeight="1" x14ac:dyDescent="0.25">
      <c r="A57" s="73"/>
      <c r="B57" s="1095"/>
      <c r="C57" s="1095"/>
      <c r="D57" s="1095"/>
      <c r="E57" s="1126"/>
      <c r="F57" s="965" t="s">
        <v>353</v>
      </c>
      <c r="G57" s="1095"/>
      <c r="H57" s="96" t="s">
        <v>9</v>
      </c>
      <c r="I57" s="1095"/>
      <c r="J57" s="1095"/>
      <c r="K57" s="1093"/>
      <c r="L57" s="1093"/>
      <c r="M57" s="1093"/>
      <c r="N57" s="96">
        <v>20</v>
      </c>
      <c r="O57" s="96" t="s">
        <v>4</v>
      </c>
      <c r="P57" s="96">
        <v>20</v>
      </c>
      <c r="Q57" s="96" t="s">
        <v>832</v>
      </c>
      <c r="R57" s="1095"/>
      <c r="S57" s="21"/>
    </row>
    <row r="58" spans="1:19" ht="30.1" customHeight="1" x14ac:dyDescent="0.25">
      <c r="A58" s="1101"/>
      <c r="B58" s="1094" t="s">
        <v>2378</v>
      </c>
      <c r="C58" s="1094" t="s">
        <v>2379</v>
      </c>
      <c r="D58" s="1094" t="s">
        <v>348</v>
      </c>
      <c r="E58" s="1104">
        <v>78029710</v>
      </c>
      <c r="F58" s="967" t="s">
        <v>349</v>
      </c>
      <c r="G58" s="1094" t="s">
        <v>2380</v>
      </c>
      <c r="H58" s="967" t="s">
        <v>9</v>
      </c>
      <c r="I58" s="1094" t="s">
        <v>2381</v>
      </c>
      <c r="J58" s="1094" t="s">
        <v>2382</v>
      </c>
      <c r="K58" s="1092">
        <v>43670</v>
      </c>
      <c r="L58" s="1092">
        <v>43671</v>
      </c>
      <c r="M58" s="1092">
        <v>43701</v>
      </c>
      <c r="N58" s="96">
        <v>8</v>
      </c>
      <c r="O58" s="96" t="s">
        <v>4</v>
      </c>
      <c r="P58" s="96">
        <v>24</v>
      </c>
      <c r="Q58" s="96" t="s">
        <v>832</v>
      </c>
      <c r="R58" s="1094" t="s">
        <v>2383</v>
      </c>
      <c r="S58" s="968"/>
    </row>
    <row r="59" spans="1:19" ht="30.1" customHeight="1" x14ac:dyDescent="0.25">
      <c r="A59" s="1103"/>
      <c r="B59" s="1095"/>
      <c r="C59" s="1095"/>
      <c r="D59" s="1095"/>
      <c r="E59" s="1106"/>
      <c r="F59" s="96" t="s">
        <v>349</v>
      </c>
      <c r="G59" s="1095"/>
      <c r="H59" s="96" t="s">
        <v>9</v>
      </c>
      <c r="I59" s="1095"/>
      <c r="J59" s="1095"/>
      <c r="K59" s="1093"/>
      <c r="L59" s="1093"/>
      <c r="M59" s="1093"/>
      <c r="N59" s="96">
        <v>4</v>
      </c>
      <c r="O59" s="96" t="s">
        <v>8</v>
      </c>
      <c r="P59" s="96">
        <v>12</v>
      </c>
      <c r="Q59" s="96" t="s">
        <v>381</v>
      </c>
      <c r="R59" s="1095"/>
      <c r="S59" s="96"/>
    </row>
    <row r="60" spans="1:19" ht="30.1" customHeight="1" x14ac:dyDescent="0.25">
      <c r="A60" s="73"/>
      <c r="B60" s="96" t="s">
        <v>2641</v>
      </c>
      <c r="C60" s="96" t="s">
        <v>2642</v>
      </c>
      <c r="D60" s="96" t="s">
        <v>348</v>
      </c>
      <c r="E60" s="23">
        <v>70523053</v>
      </c>
      <c r="F60" s="96" t="s">
        <v>353</v>
      </c>
      <c r="G60" s="96" t="s">
        <v>2643</v>
      </c>
      <c r="H60" s="96" t="s">
        <v>709</v>
      </c>
      <c r="I60" s="96" t="s">
        <v>2644</v>
      </c>
      <c r="J60" s="96" t="s">
        <v>2645</v>
      </c>
      <c r="K60" s="601">
        <v>43671</v>
      </c>
      <c r="L60" s="601">
        <v>43671</v>
      </c>
      <c r="M60" s="601">
        <v>43701</v>
      </c>
      <c r="N60" s="96">
        <v>30</v>
      </c>
      <c r="O60" s="96" t="s">
        <v>4</v>
      </c>
      <c r="P60" s="96">
        <v>30</v>
      </c>
      <c r="Q60" s="96" t="s">
        <v>710</v>
      </c>
      <c r="R60" s="96"/>
      <c r="S60" s="21" t="s">
        <v>2646</v>
      </c>
    </row>
    <row r="61" spans="1:19" ht="30.1" customHeight="1" x14ac:dyDescent="0.25">
      <c r="A61" s="73"/>
      <c r="B61" s="96"/>
      <c r="C61" s="96"/>
      <c r="D61" s="96"/>
      <c r="E61" s="23"/>
      <c r="F61" s="96"/>
      <c r="G61" s="96"/>
      <c r="H61" s="96"/>
      <c r="I61" s="96"/>
      <c r="J61" s="96"/>
      <c r="K61" s="601"/>
      <c r="L61" s="601"/>
      <c r="M61" s="601"/>
      <c r="N61" s="96"/>
      <c r="O61" s="96"/>
      <c r="P61" s="96"/>
      <c r="Q61" s="96"/>
      <c r="R61" s="96"/>
      <c r="S61" s="21"/>
    </row>
    <row r="62" spans="1:19" ht="30.1" customHeight="1" x14ac:dyDescent="0.25">
      <c r="A62" s="73"/>
      <c r="B62" s="96"/>
      <c r="C62" s="96"/>
      <c r="D62" s="96"/>
      <c r="E62" s="23"/>
      <c r="F62" s="96"/>
      <c r="G62" s="96"/>
      <c r="H62" s="96"/>
      <c r="I62" s="96"/>
      <c r="J62" s="96"/>
      <c r="K62" s="601"/>
      <c r="L62" s="601"/>
      <c r="M62" s="601"/>
      <c r="N62" s="96"/>
      <c r="O62" s="96"/>
      <c r="P62" s="96"/>
      <c r="Q62" s="96"/>
      <c r="R62" s="96"/>
      <c r="S62" s="21"/>
    </row>
    <row r="63" spans="1:19" ht="30.1" customHeight="1" x14ac:dyDescent="0.25">
      <c r="A63" s="73"/>
      <c r="B63" s="96"/>
      <c r="C63" s="96"/>
      <c r="D63" s="96"/>
      <c r="E63" s="23"/>
      <c r="F63" s="96"/>
      <c r="G63" s="96"/>
      <c r="H63" s="96"/>
      <c r="I63" s="96"/>
      <c r="J63" s="96"/>
      <c r="K63" s="601"/>
      <c r="L63" s="601"/>
      <c r="M63" s="601"/>
      <c r="N63" s="96"/>
      <c r="O63" s="96"/>
      <c r="P63" s="96"/>
      <c r="Q63" s="96"/>
      <c r="R63" s="96"/>
      <c r="S63" s="21"/>
    </row>
    <row r="64" spans="1:19" ht="30.1" customHeight="1" x14ac:dyDescent="0.25">
      <c r="A64" s="73"/>
      <c r="B64" s="96"/>
      <c r="C64" s="96"/>
      <c r="D64" s="96"/>
      <c r="E64" s="23"/>
      <c r="F64" s="96"/>
      <c r="G64" s="96"/>
      <c r="H64" s="96"/>
      <c r="I64" s="96"/>
      <c r="J64" s="96"/>
      <c r="K64" s="601"/>
      <c r="L64" s="601"/>
      <c r="M64" s="601"/>
      <c r="N64" s="96"/>
      <c r="O64" s="96"/>
      <c r="P64" s="96"/>
      <c r="Q64" s="96"/>
      <c r="R64" s="96"/>
      <c r="S64" s="21"/>
    </row>
    <row r="65" spans="1:19" ht="30.1" customHeight="1" x14ac:dyDescent="0.25">
      <c r="A65" s="73"/>
      <c r="B65" s="96"/>
      <c r="C65" s="96"/>
      <c r="D65" s="96"/>
      <c r="E65" s="23"/>
      <c r="F65" s="96"/>
      <c r="G65" s="96"/>
      <c r="H65" s="96"/>
      <c r="I65" s="96"/>
      <c r="J65" s="96"/>
      <c r="K65" s="601"/>
      <c r="L65" s="601"/>
      <c r="M65" s="601"/>
      <c r="N65" s="96"/>
      <c r="O65" s="96"/>
      <c r="P65" s="96"/>
      <c r="Q65" s="96"/>
      <c r="R65" s="96"/>
      <c r="S65" s="21"/>
    </row>
    <row r="66" spans="1:19" ht="30.1" customHeight="1" x14ac:dyDescent="0.25">
      <c r="A66" s="73"/>
      <c r="B66" s="96"/>
      <c r="C66" s="96"/>
      <c r="D66" s="96"/>
      <c r="E66" s="23"/>
      <c r="F66" s="96"/>
      <c r="G66" s="96"/>
      <c r="H66" s="96"/>
      <c r="I66" s="96"/>
      <c r="J66" s="96"/>
      <c r="K66" s="601"/>
      <c r="L66" s="601"/>
      <c r="M66" s="601"/>
      <c r="N66" s="96"/>
      <c r="O66" s="96"/>
      <c r="P66" s="96"/>
      <c r="Q66" s="96"/>
      <c r="R66" s="96"/>
      <c r="S66" s="21"/>
    </row>
    <row r="67" spans="1:19" ht="30.1" customHeight="1" x14ac:dyDescent="0.25">
      <c r="A67" s="73"/>
      <c r="B67" s="96"/>
      <c r="C67" s="96"/>
      <c r="D67" s="96"/>
      <c r="E67" s="23"/>
      <c r="F67" s="96"/>
      <c r="G67" s="96"/>
      <c r="H67" s="96"/>
      <c r="I67" s="96"/>
      <c r="J67" s="96"/>
      <c r="K67" s="601"/>
      <c r="L67" s="601"/>
      <c r="M67" s="601"/>
      <c r="N67" s="96"/>
      <c r="O67" s="96"/>
      <c r="P67" s="96"/>
      <c r="Q67" s="96"/>
      <c r="R67" s="96"/>
      <c r="S67" s="21"/>
    </row>
    <row r="68" spans="1:19" ht="30.1" customHeight="1" x14ac:dyDescent="0.25">
      <c r="A68" s="73"/>
      <c r="B68" s="96"/>
      <c r="C68" s="96"/>
      <c r="D68" s="96"/>
      <c r="E68" s="23"/>
      <c r="F68" s="96"/>
      <c r="G68" s="96"/>
      <c r="H68" s="96"/>
      <c r="I68" s="96"/>
      <c r="J68" s="96"/>
      <c r="K68" s="601"/>
      <c r="L68" s="601"/>
      <c r="M68" s="601"/>
      <c r="N68" s="96"/>
      <c r="O68" s="96"/>
      <c r="P68" s="96"/>
      <c r="Q68" s="96"/>
      <c r="R68" s="96"/>
      <c r="S68" s="21"/>
    </row>
    <row r="69" spans="1:19" ht="30.1" customHeight="1" x14ac:dyDescent="0.25">
      <c r="A69" s="73"/>
      <c r="B69" s="96"/>
      <c r="C69" s="96"/>
      <c r="D69" s="96"/>
      <c r="E69" s="23"/>
      <c r="F69" s="96"/>
      <c r="G69" s="96"/>
      <c r="H69" s="96"/>
      <c r="I69" s="96"/>
      <c r="J69" s="96"/>
      <c r="K69" s="601"/>
      <c r="L69" s="601"/>
      <c r="M69" s="601"/>
      <c r="N69" s="96"/>
      <c r="O69" s="96"/>
      <c r="P69" s="96"/>
      <c r="Q69" s="96"/>
      <c r="R69" s="96"/>
      <c r="S69" s="21"/>
    </row>
    <row r="70" spans="1:19" ht="30.1" customHeight="1" x14ac:dyDescent="0.25">
      <c r="A70" s="73"/>
      <c r="B70" s="96"/>
      <c r="C70" s="96"/>
      <c r="D70" s="96"/>
      <c r="E70" s="23"/>
      <c r="F70" s="96"/>
      <c r="G70" s="96"/>
      <c r="H70" s="96"/>
      <c r="I70" s="96"/>
      <c r="J70" s="96"/>
      <c r="K70" s="601"/>
      <c r="L70" s="601"/>
      <c r="M70" s="601"/>
      <c r="N70" s="96"/>
      <c r="O70" s="96"/>
      <c r="P70" s="96"/>
      <c r="Q70" s="96"/>
      <c r="R70" s="96"/>
      <c r="S70" s="21"/>
    </row>
    <row r="71" spans="1:19" ht="30.1" customHeight="1" x14ac:dyDescent="0.25">
      <c r="A71" s="73"/>
      <c r="B71" s="96"/>
      <c r="C71" s="96"/>
      <c r="D71" s="96"/>
      <c r="E71" s="23"/>
      <c r="F71" s="96"/>
      <c r="G71" s="96"/>
      <c r="H71" s="96"/>
      <c r="I71" s="96"/>
      <c r="J71" s="96"/>
      <c r="K71" s="601"/>
      <c r="L71" s="601"/>
      <c r="M71" s="601"/>
      <c r="N71" s="96"/>
      <c r="O71" s="96"/>
      <c r="P71" s="96"/>
      <c r="Q71" s="96"/>
      <c r="R71" s="96"/>
      <c r="S71" s="21"/>
    </row>
    <row r="72" spans="1:19" ht="30.1" customHeight="1" x14ac:dyDescent="0.25">
      <c r="A72" s="73"/>
      <c r="B72" s="96"/>
      <c r="C72" s="96"/>
      <c r="D72" s="96"/>
      <c r="E72" s="23"/>
      <c r="F72" s="96"/>
      <c r="G72" s="96"/>
      <c r="H72" s="96"/>
      <c r="I72" s="96"/>
      <c r="J72" s="96"/>
      <c r="K72" s="601"/>
      <c r="L72" s="601"/>
      <c r="M72" s="601"/>
      <c r="N72" s="96"/>
      <c r="O72" s="96"/>
      <c r="P72" s="96"/>
      <c r="Q72" s="96"/>
      <c r="R72" s="96"/>
      <c r="S72" s="21"/>
    </row>
    <row r="73" spans="1:19" ht="30.1" customHeight="1" x14ac:dyDescent="0.25">
      <c r="A73" s="73"/>
      <c r="B73" s="96"/>
      <c r="C73" s="96"/>
      <c r="D73" s="96"/>
      <c r="E73" s="23"/>
      <c r="F73" s="96"/>
      <c r="G73" s="96"/>
      <c r="H73" s="96"/>
      <c r="I73" s="96"/>
      <c r="J73" s="96"/>
      <c r="K73" s="601"/>
      <c r="L73" s="601"/>
      <c r="M73" s="601"/>
      <c r="N73" s="96"/>
      <c r="O73" s="96"/>
      <c r="P73" s="96"/>
      <c r="Q73" s="96"/>
      <c r="R73" s="96"/>
      <c r="S73" s="21"/>
    </row>
    <row r="74" spans="1:19" ht="30.1" customHeight="1" x14ac:dyDescent="0.25">
      <c r="A74" s="73"/>
      <c r="B74" s="96"/>
      <c r="C74" s="96"/>
      <c r="D74" s="96"/>
      <c r="E74" s="23"/>
      <c r="F74" s="96"/>
      <c r="G74" s="96"/>
      <c r="H74" s="96"/>
      <c r="I74" s="96"/>
      <c r="J74" s="96"/>
      <c r="K74" s="601"/>
      <c r="L74" s="601"/>
      <c r="M74" s="601"/>
      <c r="N74" s="96"/>
      <c r="O74" s="96"/>
      <c r="P74" s="96"/>
      <c r="Q74" s="96"/>
      <c r="R74" s="96"/>
      <c r="S74" s="21"/>
    </row>
    <row r="75" spans="1:19" ht="30.1" customHeight="1" x14ac:dyDescent="0.25">
      <c r="A75" s="73"/>
      <c r="B75" s="96"/>
      <c r="C75" s="96"/>
      <c r="D75" s="96"/>
      <c r="E75" s="23"/>
      <c r="F75" s="96"/>
      <c r="G75" s="96"/>
      <c r="H75" s="96"/>
      <c r="I75" s="96"/>
      <c r="J75" s="96"/>
      <c r="K75" s="601"/>
      <c r="L75" s="601"/>
      <c r="M75" s="601"/>
      <c r="N75" s="96"/>
      <c r="O75" s="96"/>
      <c r="P75" s="96"/>
      <c r="Q75" s="96"/>
      <c r="R75" s="96"/>
      <c r="S75" s="21"/>
    </row>
    <row r="76" spans="1:19" ht="30.1" customHeight="1" x14ac:dyDescent="0.25">
      <c r="A76" s="73"/>
      <c r="B76" s="96"/>
      <c r="C76" s="96"/>
      <c r="D76" s="96"/>
      <c r="E76" s="23"/>
      <c r="F76" s="96"/>
      <c r="G76" s="96"/>
      <c r="H76" s="96"/>
      <c r="I76" s="96"/>
      <c r="J76" s="96"/>
      <c r="K76" s="601"/>
      <c r="L76" s="601"/>
      <c r="M76" s="601"/>
      <c r="N76" s="96"/>
      <c r="O76" s="96"/>
      <c r="P76" s="96"/>
      <c r="Q76" s="96"/>
      <c r="R76" s="96"/>
      <c r="S76" s="21"/>
    </row>
    <row r="77" spans="1:19" ht="30.1" customHeight="1" x14ac:dyDescent="0.25">
      <c r="A77" s="73"/>
      <c r="B77" s="96"/>
      <c r="C77" s="96"/>
      <c r="D77" s="96"/>
      <c r="E77" s="23"/>
      <c r="F77" s="96"/>
      <c r="G77" s="96"/>
      <c r="H77" s="96"/>
      <c r="I77" s="96"/>
      <c r="J77" s="96"/>
      <c r="K77" s="601"/>
      <c r="L77" s="601"/>
      <c r="M77" s="601"/>
      <c r="N77" s="96"/>
      <c r="O77" s="96"/>
      <c r="P77" s="96"/>
      <c r="Q77" s="96"/>
      <c r="R77" s="96"/>
      <c r="S77" s="21"/>
    </row>
    <row r="78" spans="1:19" ht="30.1" customHeight="1" x14ac:dyDescent="0.25">
      <c r="A78" s="73"/>
      <c r="B78" s="96"/>
      <c r="C78" s="96"/>
      <c r="D78" s="96"/>
      <c r="E78" s="23"/>
      <c r="F78" s="96"/>
      <c r="G78" s="96"/>
      <c r="H78" s="96"/>
      <c r="I78" s="96"/>
      <c r="J78" s="96"/>
      <c r="K78" s="601"/>
      <c r="L78" s="601"/>
      <c r="M78" s="601"/>
      <c r="N78" s="96"/>
      <c r="O78" s="96"/>
      <c r="P78" s="96"/>
      <c r="Q78" s="96"/>
      <c r="R78" s="96"/>
      <c r="S78" s="21"/>
    </row>
    <row r="79" spans="1:19" ht="30.1" customHeight="1" x14ac:dyDescent="0.25">
      <c r="A79" s="73"/>
      <c r="B79" s="96"/>
      <c r="C79" s="96"/>
      <c r="D79" s="96"/>
      <c r="E79" s="23"/>
      <c r="F79" s="96"/>
      <c r="G79" s="96"/>
      <c r="H79" s="96"/>
      <c r="I79" s="96"/>
      <c r="J79" s="96"/>
      <c r="K79" s="601"/>
      <c r="L79" s="601"/>
      <c r="M79" s="601"/>
      <c r="N79" s="96"/>
      <c r="O79" s="96"/>
      <c r="P79" s="96"/>
      <c r="Q79" s="96"/>
      <c r="R79" s="96"/>
      <c r="S79" s="21"/>
    </row>
    <row r="80" spans="1:19" ht="30.1" customHeight="1" x14ac:dyDescent="0.25">
      <c r="A80" s="73"/>
      <c r="B80" s="96"/>
      <c r="C80" s="96"/>
      <c r="D80" s="96"/>
      <c r="E80" s="23"/>
      <c r="F80" s="96"/>
      <c r="G80" s="96"/>
      <c r="H80" s="96"/>
      <c r="I80" s="96"/>
      <c r="J80" s="96"/>
      <c r="K80" s="601"/>
      <c r="L80" s="601"/>
      <c r="M80" s="601"/>
      <c r="N80" s="96"/>
      <c r="O80" s="96"/>
      <c r="P80" s="96"/>
      <c r="Q80" s="96"/>
      <c r="R80" s="96"/>
      <c r="S80" s="21"/>
    </row>
    <row r="81" spans="1:19" ht="30.1" customHeight="1" x14ac:dyDescent="0.25">
      <c r="A81" s="73"/>
      <c r="B81" s="96"/>
      <c r="C81" s="96"/>
      <c r="D81" s="96"/>
      <c r="E81" s="23"/>
      <c r="F81" s="96"/>
      <c r="G81" s="96"/>
      <c r="H81" s="96"/>
      <c r="I81" s="96"/>
      <c r="J81" s="96"/>
      <c r="K81" s="601"/>
      <c r="L81" s="601"/>
      <c r="M81" s="601"/>
      <c r="N81" s="96"/>
      <c r="O81" s="96"/>
      <c r="P81" s="96"/>
      <c r="Q81" s="96"/>
      <c r="R81" s="96"/>
      <c r="S81" s="21"/>
    </row>
    <row r="82" spans="1:19" ht="30.1" customHeight="1" x14ac:dyDescent="0.25">
      <c r="A82" s="73"/>
      <c r="B82" s="96"/>
      <c r="C82" s="96"/>
      <c r="D82" s="96"/>
      <c r="E82" s="23"/>
      <c r="F82" s="96"/>
      <c r="G82" s="96"/>
      <c r="H82" s="96"/>
      <c r="I82" s="96"/>
      <c r="J82" s="96"/>
      <c r="K82" s="601"/>
      <c r="L82" s="601"/>
      <c r="M82" s="601"/>
      <c r="N82" s="96"/>
      <c r="O82" s="96"/>
      <c r="P82" s="96"/>
      <c r="Q82" s="96"/>
      <c r="R82" s="96"/>
      <c r="S82" s="21"/>
    </row>
    <row r="83" spans="1:19" ht="30.1" customHeight="1" x14ac:dyDescent="0.25">
      <c r="A83" s="73"/>
      <c r="B83" s="96"/>
      <c r="C83" s="96"/>
      <c r="D83" s="96"/>
      <c r="E83" s="23"/>
      <c r="F83" s="96"/>
      <c r="G83" s="96"/>
      <c r="H83" s="96"/>
      <c r="I83" s="96"/>
      <c r="J83" s="96"/>
      <c r="K83" s="601"/>
      <c r="L83" s="601"/>
      <c r="M83" s="601"/>
      <c r="N83" s="96"/>
      <c r="O83" s="96"/>
      <c r="P83" s="96"/>
      <c r="Q83" s="96"/>
      <c r="R83" s="96"/>
      <c r="S83" s="21"/>
    </row>
    <row r="84" spans="1:19" ht="30.1" customHeight="1" x14ac:dyDescent="0.25">
      <c r="A84" s="73"/>
      <c r="B84" s="96"/>
      <c r="C84" s="96"/>
      <c r="D84" s="96"/>
      <c r="E84" s="23"/>
      <c r="F84" s="96"/>
      <c r="G84" s="96"/>
      <c r="H84" s="96"/>
      <c r="I84" s="96"/>
      <c r="J84" s="96"/>
      <c r="K84" s="601"/>
      <c r="L84" s="601"/>
      <c r="M84" s="601"/>
      <c r="N84" s="96"/>
      <c r="O84" s="96"/>
      <c r="P84" s="96"/>
      <c r="Q84" s="96"/>
      <c r="R84" s="96"/>
      <c r="S84" s="21"/>
    </row>
    <row r="85" spans="1:19" ht="30.1" customHeight="1" x14ac:dyDescent="0.25">
      <c r="A85" s="73"/>
      <c r="B85" s="96"/>
      <c r="C85" s="96"/>
      <c r="D85" s="96"/>
      <c r="E85" s="23"/>
      <c r="F85" s="96"/>
      <c r="G85" s="96"/>
      <c r="H85" s="96"/>
      <c r="I85" s="96"/>
      <c r="J85" s="96"/>
      <c r="K85" s="601"/>
      <c r="L85" s="601"/>
      <c r="M85" s="601"/>
      <c r="N85" s="96"/>
      <c r="O85" s="96"/>
      <c r="P85" s="96"/>
      <c r="Q85" s="96"/>
      <c r="R85" s="96"/>
      <c r="S85" s="21"/>
    </row>
    <row r="86" spans="1:19" ht="30.1" customHeight="1" x14ac:dyDescent="0.25">
      <c r="A86" s="73"/>
      <c r="B86" s="96"/>
      <c r="C86" s="96"/>
      <c r="D86" s="96"/>
      <c r="E86" s="23"/>
      <c r="F86" s="96"/>
      <c r="G86" s="96"/>
      <c r="H86" s="96"/>
      <c r="I86" s="96"/>
      <c r="J86" s="96"/>
      <c r="K86" s="601"/>
      <c r="L86" s="601"/>
      <c r="M86" s="601"/>
      <c r="N86" s="96"/>
      <c r="O86" s="96"/>
      <c r="P86" s="96"/>
      <c r="Q86" s="96"/>
      <c r="R86" s="96"/>
      <c r="S86" s="21"/>
    </row>
    <row r="87" spans="1:19" ht="30.1" customHeight="1" x14ac:dyDescent="0.25">
      <c r="A87" s="73"/>
      <c r="B87" s="96"/>
      <c r="C87" s="96"/>
      <c r="D87" s="96"/>
      <c r="E87" s="23"/>
      <c r="F87" s="96"/>
      <c r="G87" s="96"/>
      <c r="H87" s="96"/>
      <c r="I87" s="96"/>
      <c r="J87" s="96"/>
      <c r="K87" s="601"/>
      <c r="L87" s="601"/>
      <c r="M87" s="601"/>
      <c r="N87" s="96"/>
      <c r="O87" s="96"/>
      <c r="P87" s="96"/>
      <c r="Q87" s="96"/>
      <c r="R87" s="96"/>
      <c r="S87" s="21"/>
    </row>
    <row r="88" spans="1:19" ht="30.1" customHeight="1" x14ac:dyDescent="0.25">
      <c r="A88" s="73"/>
      <c r="B88" s="96"/>
      <c r="C88" s="96"/>
      <c r="D88" s="96"/>
      <c r="E88" s="23"/>
      <c r="F88" s="96"/>
      <c r="G88" s="96"/>
      <c r="H88" s="96"/>
      <c r="I88" s="96"/>
      <c r="J88" s="96"/>
      <c r="K88" s="601"/>
      <c r="L88" s="601"/>
      <c r="M88" s="601"/>
      <c r="N88" s="96"/>
      <c r="O88" s="96"/>
      <c r="P88" s="96"/>
      <c r="Q88" s="96"/>
      <c r="R88" s="96"/>
      <c r="S88" s="21"/>
    </row>
    <row r="89" spans="1:19" ht="30.1" customHeight="1" x14ac:dyDescent="0.25">
      <c r="A89" s="73"/>
      <c r="B89" s="96"/>
      <c r="C89" s="96"/>
      <c r="D89" s="96"/>
      <c r="E89" s="23"/>
      <c r="F89" s="96"/>
      <c r="G89" s="96"/>
      <c r="H89" s="96"/>
      <c r="I89" s="96"/>
      <c r="J89" s="96"/>
      <c r="K89" s="601"/>
      <c r="L89" s="601"/>
      <c r="M89" s="601"/>
      <c r="N89" s="96"/>
      <c r="O89" s="96"/>
      <c r="P89" s="96"/>
      <c r="Q89" s="96"/>
      <c r="R89" s="96"/>
      <c r="S89" s="21"/>
    </row>
    <row r="90" spans="1:19" ht="30.1" customHeight="1" x14ac:dyDescent="0.25">
      <c r="A90" s="73"/>
      <c r="B90" s="96"/>
      <c r="C90" s="96"/>
      <c r="D90" s="96"/>
      <c r="E90" s="23"/>
      <c r="F90" s="96"/>
      <c r="G90" s="96"/>
      <c r="H90" s="96"/>
      <c r="I90" s="96"/>
      <c r="J90" s="96"/>
      <c r="K90" s="601"/>
      <c r="L90" s="601"/>
      <c r="M90" s="601"/>
      <c r="N90" s="96"/>
      <c r="O90" s="96"/>
      <c r="P90" s="96"/>
      <c r="Q90" s="96"/>
      <c r="R90" s="96"/>
      <c r="S90" s="21"/>
    </row>
    <row r="91" spans="1:19" ht="30.1" customHeight="1" x14ac:dyDescent="0.25">
      <c r="A91" s="73"/>
      <c r="B91" s="96"/>
      <c r="C91" s="96"/>
      <c r="D91" s="96"/>
      <c r="E91" s="23"/>
      <c r="F91" s="96"/>
      <c r="G91" s="96"/>
      <c r="H91" s="96"/>
      <c r="I91" s="96"/>
      <c r="J91" s="96"/>
      <c r="K91" s="601"/>
      <c r="L91" s="601"/>
      <c r="M91" s="601"/>
      <c r="N91" s="96"/>
      <c r="O91" s="96"/>
      <c r="P91" s="96"/>
      <c r="Q91" s="96"/>
      <c r="R91" s="96"/>
      <c r="S91" s="21"/>
    </row>
    <row r="92" spans="1:19" ht="30.1" customHeight="1" x14ac:dyDescent="0.25">
      <c r="A92" s="73"/>
      <c r="B92" s="96"/>
      <c r="C92" s="96"/>
      <c r="D92" s="96"/>
      <c r="E92" s="23"/>
      <c r="F92" s="96"/>
      <c r="G92" s="96"/>
      <c r="H92" s="96"/>
      <c r="I92" s="96"/>
      <c r="J92" s="96"/>
      <c r="K92" s="601"/>
      <c r="L92" s="601"/>
      <c r="M92" s="601"/>
      <c r="N92" s="96"/>
      <c r="O92" s="96"/>
      <c r="P92" s="96"/>
      <c r="Q92" s="96"/>
      <c r="R92" s="96"/>
      <c r="S92" s="21"/>
    </row>
    <row r="93" spans="1:19" ht="30.1" customHeight="1" x14ac:dyDescent="0.25">
      <c r="A93" s="73"/>
      <c r="B93" s="96"/>
      <c r="C93" s="96"/>
      <c r="D93" s="96"/>
      <c r="E93" s="23"/>
      <c r="F93" s="96"/>
      <c r="G93" s="96"/>
      <c r="H93" s="96"/>
      <c r="I93" s="96"/>
      <c r="J93" s="96"/>
      <c r="K93" s="601"/>
      <c r="L93" s="601"/>
      <c r="M93" s="601"/>
      <c r="N93" s="96"/>
      <c r="O93" s="96"/>
      <c r="P93" s="96"/>
      <c r="Q93" s="96"/>
      <c r="R93" s="96"/>
      <c r="S93" s="21"/>
    </row>
    <row r="94" spans="1:19" ht="30.1" customHeight="1" x14ac:dyDescent="0.25">
      <c r="A94" s="73"/>
      <c r="B94" s="96"/>
      <c r="C94" s="96"/>
      <c r="D94" s="96"/>
      <c r="E94" s="23"/>
      <c r="F94" s="96"/>
      <c r="G94" s="96"/>
      <c r="H94" s="96"/>
      <c r="I94" s="96"/>
      <c r="J94" s="96"/>
      <c r="K94" s="601"/>
      <c r="L94" s="601"/>
      <c r="M94" s="601"/>
      <c r="N94" s="96"/>
      <c r="O94" s="96"/>
      <c r="P94" s="96"/>
      <c r="Q94" s="96"/>
      <c r="R94" s="96"/>
      <c r="S94" s="21"/>
    </row>
    <row r="95" spans="1:19" ht="30.1" customHeight="1" x14ac:dyDescent="0.25">
      <c r="A95" s="73"/>
      <c r="B95" s="96"/>
      <c r="C95" s="96"/>
      <c r="D95" s="96"/>
      <c r="E95" s="23"/>
      <c r="F95" s="96"/>
      <c r="G95" s="96"/>
      <c r="H95" s="96"/>
      <c r="I95" s="96"/>
      <c r="J95" s="96"/>
      <c r="K95" s="601"/>
      <c r="L95" s="601"/>
      <c r="M95" s="601"/>
      <c r="N95" s="96"/>
      <c r="O95" s="96"/>
      <c r="P95" s="96"/>
      <c r="Q95" s="96"/>
      <c r="R95" s="96"/>
      <c r="S95" s="21"/>
    </row>
    <row r="96" spans="1:19" ht="30.1" customHeight="1" x14ac:dyDescent="0.25">
      <c r="A96" s="73"/>
      <c r="B96" s="96"/>
      <c r="C96" s="96"/>
      <c r="D96" s="96"/>
      <c r="E96" s="23"/>
      <c r="F96" s="96"/>
      <c r="G96" s="96"/>
      <c r="H96" s="96"/>
      <c r="I96" s="96"/>
      <c r="J96" s="96"/>
      <c r="K96" s="601"/>
      <c r="L96" s="601"/>
      <c r="M96" s="601"/>
      <c r="N96" s="96"/>
      <c r="O96" s="96"/>
      <c r="P96" s="96"/>
      <c r="Q96" s="96"/>
      <c r="R96" s="96"/>
      <c r="S96" s="21"/>
    </row>
    <row r="97" spans="1:19" ht="30.1" customHeight="1" x14ac:dyDescent="0.25">
      <c r="A97" s="73"/>
      <c r="B97" s="96"/>
      <c r="C97" s="96"/>
      <c r="D97" s="96"/>
      <c r="E97" s="23"/>
      <c r="F97" s="96"/>
      <c r="G97" s="96"/>
      <c r="H97" s="96"/>
      <c r="I97" s="96"/>
      <c r="J97" s="96"/>
      <c r="K97" s="601"/>
      <c r="L97" s="601"/>
      <c r="M97" s="601"/>
      <c r="N97" s="96"/>
      <c r="O97" s="96"/>
      <c r="P97" s="96"/>
      <c r="Q97" s="96"/>
      <c r="R97" s="96"/>
      <c r="S97" s="21"/>
    </row>
    <row r="98" spans="1:19" ht="30.1" customHeight="1" x14ac:dyDescent="0.25">
      <c r="A98" s="73"/>
      <c r="B98" s="96"/>
      <c r="C98" s="96"/>
      <c r="D98" s="96"/>
      <c r="E98" s="23"/>
      <c r="F98" s="96"/>
      <c r="G98" s="96"/>
      <c r="H98" s="96"/>
      <c r="I98" s="96"/>
      <c r="J98" s="96"/>
      <c r="K98" s="601"/>
      <c r="L98" s="601"/>
      <c r="M98" s="601"/>
      <c r="N98" s="96"/>
      <c r="O98" s="96"/>
      <c r="P98" s="96"/>
      <c r="Q98" s="96"/>
      <c r="R98" s="96"/>
      <c r="S98" s="21"/>
    </row>
    <row r="99" spans="1:19" ht="30.1" customHeight="1" x14ac:dyDescent="0.25">
      <c r="A99" s="73"/>
      <c r="B99" s="96"/>
      <c r="C99" s="96"/>
      <c r="D99" s="96"/>
      <c r="E99" s="23"/>
      <c r="F99" s="96"/>
      <c r="G99" s="96"/>
      <c r="H99" s="96"/>
      <c r="I99" s="96"/>
      <c r="J99" s="96"/>
      <c r="K99" s="601"/>
      <c r="L99" s="601"/>
      <c r="M99" s="601"/>
      <c r="N99" s="96"/>
      <c r="O99" s="96"/>
      <c r="P99" s="96"/>
      <c r="Q99" s="96"/>
      <c r="R99" s="96"/>
      <c r="S99" s="21"/>
    </row>
    <row r="100" spans="1:19" ht="30.1" customHeight="1" x14ac:dyDescent="0.25">
      <c r="A100" s="73"/>
      <c r="B100" s="96"/>
      <c r="C100" s="96"/>
      <c r="D100" s="96"/>
      <c r="E100" s="23"/>
      <c r="F100" s="96"/>
      <c r="G100" s="96"/>
      <c r="H100" s="96"/>
      <c r="I100" s="96"/>
      <c r="J100" s="96"/>
      <c r="K100" s="601"/>
      <c r="L100" s="601"/>
      <c r="M100" s="601"/>
      <c r="N100" s="96"/>
      <c r="O100" s="96"/>
      <c r="P100" s="96"/>
      <c r="Q100" s="96"/>
      <c r="R100" s="96"/>
      <c r="S100" s="21"/>
    </row>
    <row r="101" spans="1:19" ht="30.1" customHeight="1" x14ac:dyDescent="0.25">
      <c r="A101" s="73"/>
      <c r="B101" s="96"/>
      <c r="C101" s="96"/>
      <c r="D101" s="96"/>
      <c r="E101" s="23"/>
      <c r="F101" s="96"/>
      <c r="G101" s="96"/>
      <c r="H101" s="96"/>
      <c r="I101" s="96"/>
      <c r="J101" s="96"/>
      <c r="K101" s="601"/>
      <c r="L101" s="601"/>
      <c r="M101" s="601"/>
      <c r="N101" s="96"/>
      <c r="O101" s="96"/>
      <c r="P101" s="96"/>
      <c r="Q101" s="96"/>
      <c r="R101" s="96"/>
      <c r="S101" s="21"/>
    </row>
    <row r="102" spans="1:19" ht="30.1" customHeight="1" x14ac:dyDescent="0.25">
      <c r="A102" s="73"/>
      <c r="B102" s="96"/>
      <c r="C102" s="96"/>
      <c r="D102" s="96"/>
      <c r="E102" s="23"/>
      <c r="F102" s="96"/>
      <c r="G102" s="96"/>
      <c r="H102" s="96"/>
      <c r="I102" s="96"/>
      <c r="J102" s="96"/>
      <c r="K102" s="601"/>
      <c r="L102" s="601"/>
      <c r="M102" s="601"/>
      <c r="N102" s="96"/>
      <c r="O102" s="96"/>
      <c r="P102" s="96"/>
      <c r="Q102" s="96"/>
      <c r="R102" s="96"/>
      <c r="S102" s="21"/>
    </row>
    <row r="103" spans="1:19" ht="30.1" customHeight="1" x14ac:dyDescent="0.25">
      <c r="A103" s="73"/>
      <c r="B103" s="96"/>
      <c r="C103" s="96"/>
      <c r="D103" s="96"/>
      <c r="E103" s="23"/>
      <c r="F103" s="96"/>
      <c r="G103" s="96"/>
      <c r="H103" s="96"/>
      <c r="I103" s="96"/>
      <c r="J103" s="96"/>
      <c r="K103" s="601"/>
      <c r="L103" s="601"/>
      <c r="M103" s="601"/>
      <c r="N103" s="96"/>
      <c r="O103" s="96"/>
      <c r="P103" s="96"/>
      <c r="Q103" s="96"/>
      <c r="R103" s="96"/>
      <c r="S103" s="21"/>
    </row>
    <row r="104" spans="1:19" ht="30.1" customHeight="1" x14ac:dyDescent="0.25">
      <c r="A104" s="73"/>
      <c r="B104" s="96"/>
      <c r="C104" s="96"/>
      <c r="D104" s="96"/>
      <c r="E104" s="23"/>
      <c r="F104" s="96"/>
      <c r="G104" s="96"/>
      <c r="H104" s="96"/>
      <c r="I104" s="96"/>
      <c r="J104" s="96"/>
      <c r="K104" s="601"/>
      <c r="L104" s="601"/>
      <c r="M104" s="601"/>
      <c r="N104" s="96"/>
      <c r="O104" s="96"/>
      <c r="P104" s="96"/>
      <c r="Q104" s="96"/>
      <c r="R104" s="96"/>
      <c r="S104" s="21"/>
    </row>
    <row r="105" spans="1:19" ht="30.1" customHeight="1" x14ac:dyDescent="0.25">
      <c r="A105" s="73"/>
      <c r="B105" s="96"/>
      <c r="C105" s="96"/>
      <c r="D105" s="96"/>
      <c r="E105" s="23"/>
      <c r="F105" s="96"/>
      <c r="G105" s="96"/>
      <c r="H105" s="96"/>
      <c r="I105" s="96"/>
      <c r="J105" s="96"/>
      <c r="K105" s="601"/>
      <c r="L105" s="601"/>
      <c r="M105" s="601"/>
      <c r="N105" s="96"/>
      <c r="O105" s="96"/>
      <c r="P105" s="96"/>
      <c r="Q105" s="96"/>
      <c r="R105" s="96"/>
      <c r="S105" s="21"/>
    </row>
    <row r="106" spans="1:19" ht="30.1" customHeight="1" x14ac:dyDescent="0.25">
      <c r="A106" s="73"/>
      <c r="B106" s="96"/>
      <c r="C106" s="96"/>
      <c r="D106" s="96"/>
      <c r="E106" s="23"/>
      <c r="F106" s="96"/>
      <c r="G106" s="96"/>
      <c r="H106" s="96"/>
      <c r="I106" s="96"/>
      <c r="J106" s="96"/>
      <c r="K106" s="601"/>
      <c r="L106" s="601"/>
      <c r="M106" s="601"/>
      <c r="N106" s="96"/>
      <c r="O106" s="96"/>
      <c r="P106" s="96"/>
      <c r="Q106" s="96"/>
      <c r="R106" s="96"/>
      <c r="S106" s="21"/>
    </row>
    <row r="107" spans="1:19" ht="30.1" customHeight="1" x14ac:dyDescent="0.25">
      <c r="A107" s="73"/>
      <c r="B107" s="96"/>
      <c r="C107" s="96"/>
      <c r="D107" s="96"/>
      <c r="E107" s="23"/>
      <c r="F107" s="96"/>
      <c r="G107" s="96"/>
      <c r="H107" s="96"/>
      <c r="I107" s="96"/>
      <c r="J107" s="96"/>
      <c r="K107" s="601"/>
      <c r="L107" s="601"/>
      <c r="M107" s="601"/>
      <c r="N107" s="96"/>
      <c r="O107" s="96"/>
      <c r="P107" s="96"/>
      <c r="Q107" s="96"/>
      <c r="R107" s="96"/>
      <c r="S107" s="21"/>
    </row>
    <row r="108" spans="1:19" ht="30.1" customHeight="1" x14ac:dyDescent="0.25">
      <c r="A108" s="73"/>
      <c r="B108" s="96"/>
      <c r="C108" s="96"/>
      <c r="D108" s="96"/>
      <c r="E108" s="23"/>
      <c r="F108" s="96"/>
      <c r="G108" s="96"/>
      <c r="H108" s="96"/>
      <c r="I108" s="96"/>
      <c r="J108" s="96"/>
      <c r="K108" s="601"/>
      <c r="L108" s="601"/>
      <c r="M108" s="601"/>
      <c r="N108" s="96"/>
      <c r="O108" s="96"/>
      <c r="P108" s="96"/>
      <c r="Q108" s="96"/>
      <c r="R108" s="96"/>
      <c r="S108" s="21"/>
    </row>
    <row r="109" spans="1:19" ht="30.1" customHeight="1" x14ac:dyDescent="0.25">
      <c r="A109" s="73"/>
      <c r="B109" s="96"/>
      <c r="C109" s="96"/>
      <c r="D109" s="96"/>
      <c r="E109" s="23"/>
      <c r="F109" s="96"/>
      <c r="G109" s="96"/>
      <c r="H109" s="96"/>
      <c r="I109" s="96"/>
      <c r="J109" s="96"/>
      <c r="K109" s="601"/>
      <c r="L109" s="601"/>
      <c r="M109" s="601"/>
      <c r="N109" s="96"/>
      <c r="O109" s="96"/>
      <c r="P109" s="96"/>
      <c r="Q109" s="96"/>
      <c r="R109" s="96"/>
      <c r="S109" s="21"/>
    </row>
    <row r="110" spans="1:19" ht="30.1" customHeight="1" x14ac:dyDescent="0.25">
      <c r="A110" s="73"/>
      <c r="B110" s="96"/>
      <c r="C110" s="96"/>
      <c r="D110" s="96"/>
      <c r="E110" s="23"/>
      <c r="F110" s="96"/>
      <c r="G110" s="96"/>
      <c r="H110" s="96"/>
      <c r="I110" s="96"/>
      <c r="J110" s="96"/>
      <c r="K110" s="601"/>
      <c r="L110" s="601"/>
      <c r="M110" s="601"/>
      <c r="N110" s="96"/>
      <c r="O110" s="96"/>
      <c r="P110" s="96"/>
      <c r="Q110" s="96"/>
      <c r="R110" s="96"/>
      <c r="S110" s="21"/>
    </row>
    <row r="111" spans="1:19" ht="30.1" customHeight="1" x14ac:dyDescent="0.25">
      <c r="A111" s="73"/>
      <c r="B111" s="96"/>
      <c r="C111" s="96"/>
      <c r="D111" s="96"/>
      <c r="E111" s="23"/>
      <c r="F111" s="96"/>
      <c r="G111" s="96"/>
      <c r="H111" s="96"/>
      <c r="I111" s="96"/>
      <c r="J111" s="96"/>
      <c r="K111" s="601"/>
      <c r="L111" s="601"/>
      <c r="M111" s="601"/>
      <c r="N111" s="96"/>
      <c r="O111" s="96"/>
      <c r="P111" s="96"/>
      <c r="Q111" s="96"/>
      <c r="R111" s="96"/>
      <c r="S111" s="21"/>
    </row>
    <row r="112" spans="1:19" ht="30.1" customHeight="1" x14ac:dyDescent="0.25">
      <c r="A112" s="73"/>
      <c r="B112" s="96"/>
      <c r="C112" s="96"/>
      <c r="D112" s="96"/>
      <c r="E112" s="23"/>
      <c r="F112" s="96"/>
      <c r="G112" s="96"/>
      <c r="H112" s="96"/>
      <c r="I112" s="96"/>
      <c r="J112" s="96"/>
      <c r="K112" s="601"/>
      <c r="L112" s="601"/>
      <c r="M112" s="601"/>
      <c r="N112" s="96"/>
      <c r="O112" s="96"/>
      <c r="P112" s="96"/>
      <c r="Q112" s="96"/>
      <c r="R112" s="96"/>
      <c r="S112" s="21"/>
    </row>
    <row r="113" spans="1:19" ht="30.1" customHeight="1" x14ac:dyDescent="0.25">
      <c r="A113" s="73"/>
      <c r="B113" s="96"/>
      <c r="C113" s="96"/>
      <c r="D113" s="96"/>
      <c r="E113" s="23"/>
      <c r="F113" s="96"/>
      <c r="G113" s="96"/>
      <c r="H113" s="96"/>
      <c r="I113" s="96"/>
      <c r="J113" s="96"/>
      <c r="K113" s="601"/>
      <c r="L113" s="601"/>
      <c r="M113" s="601"/>
      <c r="N113" s="96"/>
      <c r="O113" s="96"/>
      <c r="P113" s="96"/>
      <c r="Q113" s="96"/>
      <c r="R113" s="96"/>
      <c r="S113" s="21"/>
    </row>
    <row r="114" spans="1:19" ht="30.1" customHeight="1" x14ac:dyDescent="0.25">
      <c r="A114" s="73"/>
      <c r="B114" s="96"/>
      <c r="C114" s="96"/>
      <c r="D114" s="96"/>
      <c r="E114" s="23"/>
      <c r="F114" s="96"/>
      <c r="G114" s="96"/>
      <c r="H114" s="96"/>
      <c r="I114" s="96"/>
      <c r="J114" s="96"/>
      <c r="K114" s="601"/>
      <c r="L114" s="601"/>
      <c r="M114" s="601"/>
      <c r="N114" s="96"/>
      <c r="O114" s="96"/>
      <c r="P114" s="96"/>
      <c r="Q114" s="96"/>
      <c r="R114" s="96"/>
      <c r="S114" s="21"/>
    </row>
    <row r="115" spans="1:19" ht="30.1" customHeight="1" x14ac:dyDescent="0.25">
      <c r="A115" s="73"/>
      <c r="B115" s="96"/>
      <c r="C115" s="96"/>
      <c r="D115" s="96"/>
      <c r="E115" s="23"/>
      <c r="F115" s="96"/>
      <c r="G115" s="96"/>
      <c r="H115" s="96"/>
      <c r="I115" s="96"/>
      <c r="J115" s="96"/>
      <c r="K115" s="601"/>
      <c r="L115" s="601"/>
      <c r="M115" s="601"/>
      <c r="N115" s="96"/>
      <c r="O115" s="96"/>
      <c r="P115" s="96"/>
      <c r="Q115" s="96"/>
      <c r="R115" s="96"/>
      <c r="S115" s="21"/>
    </row>
    <row r="116" spans="1:19" ht="30.1" customHeight="1" x14ac:dyDescent="0.25">
      <c r="A116" s="73"/>
      <c r="B116" s="96"/>
      <c r="C116" s="96"/>
      <c r="D116" s="96"/>
      <c r="E116" s="23"/>
      <c r="F116" s="96"/>
      <c r="G116" s="96"/>
      <c r="H116" s="96"/>
      <c r="I116" s="96"/>
      <c r="J116" s="96"/>
      <c r="K116" s="601"/>
      <c r="L116" s="601"/>
      <c r="M116" s="601"/>
      <c r="N116" s="96"/>
      <c r="O116" s="96"/>
      <c r="P116" s="96"/>
      <c r="Q116" s="96"/>
      <c r="R116" s="96"/>
      <c r="S116" s="21"/>
    </row>
    <row r="117" spans="1:19" ht="30.1" customHeight="1" x14ac:dyDescent="0.25">
      <c r="A117" s="73"/>
      <c r="B117" s="96"/>
      <c r="C117" s="96"/>
      <c r="D117" s="96"/>
      <c r="E117" s="23"/>
      <c r="F117" s="96"/>
      <c r="G117" s="96"/>
      <c r="H117" s="96"/>
      <c r="I117" s="96"/>
      <c r="J117" s="96"/>
      <c r="K117" s="601"/>
      <c r="L117" s="601"/>
      <c r="M117" s="601"/>
      <c r="N117" s="96"/>
      <c r="O117" s="96"/>
      <c r="P117" s="96"/>
      <c r="Q117" s="96"/>
      <c r="R117" s="96"/>
      <c r="S117" s="21"/>
    </row>
    <row r="118" spans="1:19" ht="30.1" customHeight="1" x14ac:dyDescent="0.25">
      <c r="A118" s="73"/>
      <c r="B118" s="96"/>
      <c r="C118" s="96"/>
      <c r="D118" s="96"/>
      <c r="E118" s="23"/>
      <c r="F118" s="96"/>
      <c r="G118" s="96"/>
      <c r="H118" s="96"/>
      <c r="I118" s="96"/>
      <c r="J118" s="96"/>
      <c r="K118" s="601"/>
      <c r="L118" s="601"/>
      <c r="M118" s="601"/>
      <c r="N118" s="96"/>
      <c r="O118" s="96"/>
      <c r="P118" s="96"/>
      <c r="Q118" s="96"/>
      <c r="R118" s="96"/>
      <c r="S118" s="21"/>
    </row>
    <row r="119" spans="1:19" ht="30.1" customHeight="1" x14ac:dyDescent="0.25">
      <c r="A119" s="73"/>
      <c r="B119" s="96"/>
      <c r="C119" s="96"/>
      <c r="D119" s="96"/>
      <c r="E119" s="23"/>
      <c r="F119" s="96"/>
      <c r="G119" s="96"/>
      <c r="H119" s="96"/>
      <c r="I119" s="96"/>
      <c r="J119" s="96"/>
      <c r="K119" s="601"/>
      <c r="L119" s="601"/>
      <c r="M119" s="601"/>
      <c r="N119" s="96"/>
      <c r="O119" s="96"/>
      <c r="P119" s="96"/>
      <c r="Q119" s="96"/>
      <c r="R119" s="96"/>
      <c r="S119" s="21"/>
    </row>
    <row r="120" spans="1:19" ht="30.1" customHeight="1" x14ac:dyDescent="0.25">
      <c r="A120" s="73"/>
      <c r="B120" s="96"/>
      <c r="C120" s="96"/>
      <c r="D120" s="96"/>
      <c r="E120" s="23"/>
      <c r="F120" s="96"/>
      <c r="G120" s="96"/>
      <c r="H120" s="96"/>
      <c r="I120" s="96"/>
      <c r="J120" s="96"/>
      <c r="K120" s="601"/>
      <c r="L120" s="601"/>
      <c r="M120" s="601"/>
      <c r="N120" s="96"/>
      <c r="O120" s="96"/>
      <c r="P120" s="96"/>
      <c r="Q120" s="96"/>
      <c r="R120" s="96"/>
      <c r="S120" s="21"/>
    </row>
    <row r="121" spans="1:19" ht="30.1" customHeight="1" x14ac:dyDescent="0.25">
      <c r="A121" s="73"/>
      <c r="B121" s="96"/>
      <c r="C121" s="96"/>
      <c r="D121" s="96"/>
      <c r="E121" s="23"/>
      <c r="F121" s="96"/>
      <c r="G121" s="96"/>
      <c r="H121" s="96"/>
      <c r="I121" s="96"/>
      <c r="J121" s="96"/>
      <c r="K121" s="601"/>
      <c r="L121" s="601"/>
      <c r="M121" s="601"/>
      <c r="N121" s="96"/>
      <c r="O121" s="96"/>
      <c r="P121" s="96"/>
      <c r="Q121" s="96"/>
      <c r="R121" s="96"/>
      <c r="S121" s="21"/>
    </row>
    <row r="122" spans="1:19" ht="30.1" customHeight="1" x14ac:dyDescent="0.25">
      <c r="A122" s="73"/>
      <c r="B122" s="96"/>
      <c r="C122" s="96"/>
      <c r="D122" s="96"/>
      <c r="E122" s="23"/>
      <c r="F122" s="96"/>
      <c r="G122" s="96"/>
      <c r="H122" s="96"/>
      <c r="I122" s="96"/>
      <c r="J122" s="96"/>
      <c r="K122" s="601"/>
      <c r="L122" s="601"/>
      <c r="M122" s="601"/>
      <c r="N122" s="96"/>
      <c r="O122" s="96"/>
      <c r="P122" s="96"/>
      <c r="Q122" s="96"/>
      <c r="R122" s="96"/>
      <c r="S122" s="21"/>
    </row>
    <row r="123" spans="1:19" ht="30.1" customHeight="1" x14ac:dyDescent="0.25">
      <c r="A123" s="73"/>
      <c r="B123" s="96"/>
      <c r="C123" s="96"/>
      <c r="D123" s="96"/>
      <c r="E123" s="23"/>
      <c r="F123" s="96"/>
      <c r="G123" s="96"/>
      <c r="H123" s="96"/>
      <c r="I123" s="96"/>
      <c r="J123" s="96"/>
      <c r="K123" s="601"/>
      <c r="L123" s="601"/>
      <c r="M123" s="601"/>
      <c r="N123" s="96"/>
      <c r="O123" s="96"/>
      <c r="P123" s="96"/>
      <c r="Q123" s="96"/>
      <c r="R123" s="96"/>
      <c r="S123" s="21"/>
    </row>
    <row r="124" spans="1:19" ht="30.1" customHeight="1" x14ac:dyDescent="0.25">
      <c r="A124" s="73"/>
      <c r="B124" s="96"/>
      <c r="C124" s="96"/>
      <c r="D124" s="96"/>
      <c r="E124" s="23"/>
      <c r="F124" s="96"/>
      <c r="G124" s="96"/>
      <c r="H124" s="96"/>
      <c r="I124" s="96"/>
      <c r="J124" s="96"/>
      <c r="K124" s="601"/>
      <c r="L124" s="601"/>
      <c r="M124" s="601"/>
      <c r="N124" s="96"/>
      <c r="O124" s="96"/>
      <c r="P124" s="96"/>
      <c r="Q124" s="96"/>
      <c r="R124" s="96"/>
      <c r="S124" s="21"/>
    </row>
    <row r="125" spans="1:19" ht="30.1" customHeight="1" x14ac:dyDescent="0.25">
      <c r="A125" s="73"/>
      <c r="B125" s="96"/>
      <c r="C125" s="96"/>
      <c r="D125" s="96"/>
      <c r="E125" s="23"/>
      <c r="F125" s="96"/>
      <c r="G125" s="96"/>
      <c r="H125" s="96"/>
      <c r="I125" s="96"/>
      <c r="J125" s="96"/>
      <c r="K125" s="601"/>
      <c r="L125" s="601"/>
      <c r="M125" s="601"/>
      <c r="N125" s="96"/>
      <c r="O125" s="96"/>
      <c r="P125" s="96"/>
      <c r="Q125" s="96"/>
      <c r="R125" s="96"/>
      <c r="S125" s="21"/>
    </row>
    <row r="126" spans="1:19" ht="30.1" customHeight="1" x14ac:dyDescent="0.25">
      <c r="A126" s="73"/>
      <c r="B126" s="96"/>
      <c r="C126" s="96"/>
      <c r="D126" s="96"/>
      <c r="E126" s="23"/>
      <c r="F126" s="96"/>
      <c r="G126" s="96"/>
      <c r="H126" s="96"/>
      <c r="I126" s="96"/>
      <c r="J126" s="96"/>
      <c r="K126" s="601"/>
      <c r="L126" s="601"/>
      <c r="M126" s="601"/>
      <c r="N126" s="96"/>
      <c r="O126" s="96"/>
      <c r="P126" s="96"/>
      <c r="Q126" s="96"/>
      <c r="R126" s="96"/>
      <c r="S126" s="21"/>
    </row>
    <row r="127" spans="1:19" ht="30.1" customHeight="1" x14ac:dyDescent="0.25">
      <c r="A127" s="73"/>
      <c r="B127" s="96"/>
      <c r="C127" s="96"/>
      <c r="D127" s="96"/>
      <c r="E127" s="23"/>
      <c r="F127" s="96"/>
      <c r="G127" s="96"/>
      <c r="H127" s="96"/>
      <c r="I127" s="96"/>
      <c r="J127" s="96"/>
      <c r="K127" s="601"/>
      <c r="L127" s="601"/>
      <c r="M127" s="601"/>
      <c r="N127" s="96"/>
      <c r="O127" s="96"/>
      <c r="P127" s="96"/>
      <c r="Q127" s="96"/>
      <c r="R127" s="96"/>
      <c r="S127" s="21"/>
    </row>
    <row r="128" spans="1:19" ht="30.1" customHeight="1" x14ac:dyDescent="0.25">
      <c r="A128" s="73"/>
      <c r="B128" s="96"/>
      <c r="C128" s="96"/>
      <c r="D128" s="96"/>
      <c r="E128" s="23"/>
      <c r="F128" s="96"/>
      <c r="G128" s="96"/>
      <c r="H128" s="96"/>
      <c r="I128" s="96"/>
      <c r="J128" s="96"/>
      <c r="K128" s="601"/>
      <c r="L128" s="601"/>
      <c r="M128" s="601"/>
      <c r="N128" s="96"/>
      <c r="O128" s="96"/>
      <c r="P128" s="96"/>
      <c r="Q128" s="96"/>
      <c r="R128" s="96"/>
      <c r="S128" s="21"/>
    </row>
    <row r="129" spans="1:19" ht="30.1" customHeight="1" x14ac:dyDescent="0.25">
      <c r="A129" s="73"/>
      <c r="B129" s="96"/>
      <c r="C129" s="96"/>
      <c r="D129" s="96"/>
      <c r="E129" s="23"/>
      <c r="F129" s="96"/>
      <c r="G129" s="96"/>
      <c r="H129" s="96"/>
      <c r="I129" s="96"/>
      <c r="J129" s="96"/>
      <c r="K129" s="601"/>
      <c r="L129" s="601"/>
      <c r="M129" s="601"/>
      <c r="N129" s="96"/>
      <c r="O129" s="96"/>
      <c r="P129" s="96"/>
      <c r="Q129" s="96"/>
      <c r="R129" s="96"/>
      <c r="S129" s="21"/>
    </row>
  </sheetData>
  <autoFilter ref="B1:T60"/>
  <mergeCells count="166">
    <mergeCell ref="L58:L59"/>
    <mergeCell ref="M58:M59"/>
    <mergeCell ref="R58:R59"/>
    <mergeCell ref="A58:A59"/>
    <mergeCell ref="B58:B59"/>
    <mergeCell ref="C58:C59"/>
    <mergeCell ref="D58:D59"/>
    <mergeCell ref="E58:E59"/>
    <mergeCell ref="G58:G59"/>
    <mergeCell ref="I58:I59"/>
    <mergeCell ref="J58:J59"/>
    <mergeCell ref="K58:K59"/>
    <mergeCell ref="B56:B57"/>
    <mergeCell ref="C56:C57"/>
    <mergeCell ref="D56:D57"/>
    <mergeCell ref="E56:E57"/>
    <mergeCell ref="K56:K57"/>
    <mergeCell ref="L56:L57"/>
    <mergeCell ref="M56:M57"/>
    <mergeCell ref="R56:R57"/>
    <mergeCell ref="G56:G57"/>
    <mergeCell ref="J56:J57"/>
    <mergeCell ref="I56:I57"/>
    <mergeCell ref="L48:L49"/>
    <mergeCell ref="M48:M49"/>
    <mergeCell ref="R48:R49"/>
    <mergeCell ref="A48:A49"/>
    <mergeCell ref="B48:B49"/>
    <mergeCell ref="C48:C49"/>
    <mergeCell ref="D48:D49"/>
    <mergeCell ref="E48:E49"/>
    <mergeCell ref="G48:G49"/>
    <mergeCell ref="I48:I49"/>
    <mergeCell ref="J48:J49"/>
    <mergeCell ref="K48:K49"/>
    <mergeCell ref="R38:R40"/>
    <mergeCell ref="M38:M40"/>
    <mergeCell ref="B38:B40"/>
    <mergeCell ref="C38:C40"/>
    <mergeCell ref="D38:D40"/>
    <mergeCell ref="E38:E40"/>
    <mergeCell ref="G38:G40"/>
    <mergeCell ref="I38:I40"/>
    <mergeCell ref="J38:J40"/>
    <mergeCell ref="K38:K40"/>
    <mergeCell ref="L38:L40"/>
    <mergeCell ref="E22:E25"/>
    <mergeCell ref="G22:G25"/>
    <mergeCell ref="I22:I25"/>
    <mergeCell ref="J22:J25"/>
    <mergeCell ref="K22:K25"/>
    <mergeCell ref="S26:S28"/>
    <mergeCell ref="A26:A28"/>
    <mergeCell ref="B26:B28"/>
    <mergeCell ref="C26:C28"/>
    <mergeCell ref="D26:D28"/>
    <mergeCell ref="E26:E28"/>
    <mergeCell ref="I26:I28"/>
    <mergeCell ref="J26:J28"/>
    <mergeCell ref="K26:K28"/>
    <mergeCell ref="R26:R28"/>
    <mergeCell ref="M26:M28"/>
    <mergeCell ref="L26:L28"/>
    <mergeCell ref="R10:R12"/>
    <mergeCell ref="M6:M8"/>
    <mergeCell ref="R6:R8"/>
    <mergeCell ref="S6:S8"/>
    <mergeCell ref="L6:L8"/>
    <mergeCell ref="L10:L12"/>
    <mergeCell ref="M10:M12"/>
    <mergeCell ref="R14:R15"/>
    <mergeCell ref="R16:R18"/>
    <mergeCell ref="L14:L15"/>
    <mergeCell ref="M14:M15"/>
    <mergeCell ref="M16:M18"/>
    <mergeCell ref="A2:A5"/>
    <mergeCell ref="S2:S5"/>
    <mergeCell ref="R2:R5"/>
    <mergeCell ref="L2:L5"/>
    <mergeCell ref="D2:D5"/>
    <mergeCell ref="E2:E5"/>
    <mergeCell ref="K2:K5"/>
    <mergeCell ref="J2:J5"/>
    <mergeCell ref="M2:M5"/>
    <mergeCell ref="I2:I5"/>
    <mergeCell ref="G2:G5"/>
    <mergeCell ref="B2:B5"/>
    <mergeCell ref="C2:C5"/>
    <mergeCell ref="A6:A8"/>
    <mergeCell ref="B6:B8"/>
    <mergeCell ref="C6:C8"/>
    <mergeCell ref="D6:D8"/>
    <mergeCell ref="E6:E8"/>
    <mergeCell ref="A10:A12"/>
    <mergeCell ref="B10:B12"/>
    <mergeCell ref="C10:C12"/>
    <mergeCell ref="D10:D12"/>
    <mergeCell ref="E10:E12"/>
    <mergeCell ref="G10:G12"/>
    <mergeCell ref="G6:G8"/>
    <mergeCell ref="J10:J12"/>
    <mergeCell ref="K10:K12"/>
    <mergeCell ref="I10:I12"/>
    <mergeCell ref="I6:I8"/>
    <mergeCell ref="J6:J8"/>
    <mergeCell ref="K6:K8"/>
    <mergeCell ref="J14:J15"/>
    <mergeCell ref="K14:K15"/>
    <mergeCell ref="A14:A15"/>
    <mergeCell ref="B14:B15"/>
    <mergeCell ref="C14:C15"/>
    <mergeCell ref="D14:D15"/>
    <mergeCell ref="E14:E15"/>
    <mergeCell ref="G14:G15"/>
    <mergeCell ref="I14:I15"/>
    <mergeCell ref="B16:B18"/>
    <mergeCell ref="C16:C18"/>
    <mergeCell ref="D16:D18"/>
    <mergeCell ref="E16:E18"/>
    <mergeCell ref="J16:J18"/>
    <mergeCell ref="K16:K18"/>
    <mergeCell ref="L16:L18"/>
    <mergeCell ref="R33:R35"/>
    <mergeCell ref="L33:L35"/>
    <mergeCell ref="M33:M35"/>
    <mergeCell ref="K33:K35"/>
    <mergeCell ref="A33:A35"/>
    <mergeCell ref="G33:G35"/>
    <mergeCell ref="I33:I35"/>
    <mergeCell ref="J33:J35"/>
    <mergeCell ref="E33:E35"/>
    <mergeCell ref="D33:D35"/>
    <mergeCell ref="B33:B35"/>
    <mergeCell ref="C33:C35"/>
    <mergeCell ref="A16:A18"/>
    <mergeCell ref="G16:G18"/>
    <mergeCell ref="I16:I18"/>
    <mergeCell ref="L22:L25"/>
    <mergeCell ref="M22:M25"/>
    <mergeCell ref="A22:A25"/>
    <mergeCell ref="B22:B25"/>
    <mergeCell ref="C22:C25"/>
    <mergeCell ref="D22:D25"/>
    <mergeCell ref="L45:L47"/>
    <mergeCell ref="M45:M47"/>
    <mergeCell ref="R45:R47"/>
    <mergeCell ref="S45:S47"/>
    <mergeCell ref="A45:A47"/>
    <mergeCell ref="B45:B47"/>
    <mergeCell ref="C45:C47"/>
    <mergeCell ref="D45:D47"/>
    <mergeCell ref="E45:E47"/>
    <mergeCell ref="G45:G47"/>
    <mergeCell ref="I45:I47"/>
    <mergeCell ref="J45:J47"/>
    <mergeCell ref="K45:K47"/>
    <mergeCell ref="M51:M52"/>
    <mergeCell ref="B51:B52"/>
    <mergeCell ref="C51:C52"/>
    <mergeCell ref="D51:D52"/>
    <mergeCell ref="E51:E52"/>
    <mergeCell ref="G51:G52"/>
    <mergeCell ref="I51:I52"/>
    <mergeCell ref="J51:J52"/>
    <mergeCell ref="K51:K52"/>
    <mergeCell ref="L51:L52"/>
  </mergeCells>
  <pageMargins left="0.25" right="0.25" top="0.75" bottom="0.75" header="0.3" footer="0.3"/>
  <pageSetup scale="50" fitToHeight="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pageSetUpPr fitToPage="1"/>
  </sheetPr>
  <dimension ref="A1:O207"/>
  <sheetViews>
    <sheetView zoomScale="115" zoomScaleNormal="115" workbookViewId="0">
      <pane ySplit="1" topLeftCell="A161" activePane="bottomLeft" state="frozen"/>
      <selection pane="bottomLeft" activeCell="C166" sqref="C166:C168"/>
    </sheetView>
  </sheetViews>
  <sheetFormatPr baseColWidth="10" defaultColWidth="11.375" defaultRowHeight="20.05" customHeight="1" x14ac:dyDescent="0.25"/>
  <cols>
    <col min="1" max="1" width="13.75" style="941" customWidth="1"/>
    <col min="2" max="2" width="24" style="942" customWidth="1"/>
    <col min="3" max="3" width="22.875" style="942" customWidth="1"/>
    <col min="4" max="4" width="12.75" style="943" customWidth="1"/>
    <col min="5" max="5" width="15.375" style="12" customWidth="1"/>
    <col min="6" max="6" width="12.375" style="12" customWidth="1"/>
    <col min="7" max="7" width="12" style="12" customWidth="1"/>
    <col min="8" max="8" width="13.75" style="12" customWidth="1"/>
    <col min="9" max="9" width="6.75" style="12" customWidth="1"/>
    <col min="10" max="10" width="6.625" style="12" customWidth="1"/>
    <col min="11" max="11" width="20.625" style="12" customWidth="1"/>
    <col min="12" max="12" width="18.875" style="12" hidden="1" customWidth="1"/>
    <col min="13" max="13" width="28.625" style="12" hidden="1" customWidth="1"/>
    <col min="14" max="14" width="20.875" style="310" customWidth="1"/>
    <col min="15" max="15" width="23.375" style="310" customWidth="1"/>
    <col min="16" max="16384" width="11.375" style="310"/>
  </cols>
  <sheetData>
    <row r="1" spans="1:15" ht="20.05" customHeight="1" x14ac:dyDescent="0.25">
      <c r="A1" s="917" t="s">
        <v>12</v>
      </c>
      <c r="B1" s="918" t="s">
        <v>27</v>
      </c>
      <c r="C1" s="918" t="s">
        <v>11</v>
      </c>
      <c r="D1" s="919" t="s">
        <v>879</v>
      </c>
      <c r="E1" s="920" t="s">
        <v>495</v>
      </c>
      <c r="F1" s="921" t="s">
        <v>1</v>
      </c>
      <c r="G1" s="921" t="s">
        <v>2</v>
      </c>
      <c r="H1" s="920" t="s">
        <v>28</v>
      </c>
      <c r="I1" s="920" t="s">
        <v>13</v>
      </c>
      <c r="J1" s="920" t="s">
        <v>30</v>
      </c>
      <c r="K1" s="910" t="s">
        <v>29</v>
      </c>
      <c r="L1" s="920" t="s">
        <v>0</v>
      </c>
      <c r="M1" s="920" t="s">
        <v>222</v>
      </c>
      <c r="N1" s="920" t="s">
        <v>3</v>
      </c>
      <c r="O1" s="920" t="s">
        <v>532</v>
      </c>
    </row>
    <row r="2" spans="1:15" ht="20.05" customHeight="1" x14ac:dyDescent="0.25">
      <c r="A2" s="1182" t="s">
        <v>9</v>
      </c>
      <c r="B2" s="874" t="s">
        <v>31</v>
      </c>
      <c r="C2" s="874" t="s">
        <v>32</v>
      </c>
      <c r="D2" s="578"/>
      <c r="E2" s="870" t="s">
        <v>493</v>
      </c>
      <c r="F2" s="868">
        <v>43651</v>
      </c>
      <c r="G2" s="868">
        <v>43676</v>
      </c>
      <c r="H2" s="869" t="s">
        <v>33</v>
      </c>
      <c r="I2" s="869">
        <v>12</v>
      </c>
      <c r="J2" s="869" t="s">
        <v>4</v>
      </c>
      <c r="K2" s="12" t="s">
        <v>7</v>
      </c>
      <c r="L2" s="870">
        <v>3116680252</v>
      </c>
      <c r="M2" s="870" t="s">
        <v>257</v>
      </c>
      <c r="N2" s="18"/>
      <c r="O2" s="18"/>
    </row>
    <row r="3" spans="1:15" s="887" customFormat="1" ht="18" customHeight="1" x14ac:dyDescent="0.25">
      <c r="A3" s="1182"/>
      <c r="B3" s="888" t="s">
        <v>36</v>
      </c>
      <c r="C3" s="888" t="s">
        <v>37</v>
      </c>
      <c r="D3" s="885">
        <v>25838966</v>
      </c>
      <c r="E3" s="882" t="s">
        <v>513</v>
      </c>
      <c r="F3" s="884">
        <v>43651</v>
      </c>
      <c r="G3" s="884">
        <v>43676</v>
      </c>
      <c r="H3" s="882" t="s">
        <v>33</v>
      </c>
      <c r="I3" s="882">
        <v>12</v>
      </c>
      <c r="J3" s="882" t="s">
        <v>4</v>
      </c>
      <c r="K3" s="12" t="s">
        <v>832</v>
      </c>
      <c r="L3" s="882">
        <v>3015457772</v>
      </c>
      <c r="M3" s="882" t="s">
        <v>260</v>
      </c>
      <c r="N3" s="1127" t="s">
        <v>2606</v>
      </c>
      <c r="O3" s="1127"/>
    </row>
    <row r="4" spans="1:15" ht="18" customHeight="1" x14ac:dyDescent="0.25">
      <c r="A4" s="1182"/>
      <c r="B4" s="874" t="s">
        <v>731</v>
      </c>
      <c r="C4" s="874" t="s">
        <v>98</v>
      </c>
      <c r="D4" s="578">
        <v>2799853</v>
      </c>
      <c r="E4" s="870" t="s">
        <v>732</v>
      </c>
      <c r="F4" s="868">
        <v>43651</v>
      </c>
      <c r="G4" s="868">
        <v>43676</v>
      </c>
      <c r="H4" s="869" t="s">
        <v>33</v>
      </c>
      <c r="I4" s="869">
        <v>12</v>
      </c>
      <c r="J4" s="869" t="s">
        <v>4</v>
      </c>
      <c r="K4" s="12" t="s">
        <v>711</v>
      </c>
      <c r="L4" s="870">
        <v>3205465544</v>
      </c>
      <c r="M4" s="870" t="s">
        <v>733</v>
      </c>
      <c r="N4" s="303"/>
      <c r="O4" s="18"/>
    </row>
    <row r="5" spans="1:15" ht="18" customHeight="1" x14ac:dyDescent="0.25">
      <c r="A5" s="1182"/>
      <c r="B5" s="874" t="s">
        <v>1364</v>
      </c>
      <c r="C5" s="874" t="s">
        <v>1363</v>
      </c>
      <c r="D5" s="578">
        <v>25841534</v>
      </c>
      <c r="E5" s="870" t="s">
        <v>486</v>
      </c>
      <c r="F5" s="868">
        <v>43655</v>
      </c>
      <c r="G5" s="868">
        <v>43676</v>
      </c>
      <c r="H5" s="869" t="s">
        <v>33</v>
      </c>
      <c r="I5" s="869">
        <v>12</v>
      </c>
      <c r="J5" s="869" t="s">
        <v>4</v>
      </c>
      <c r="K5" s="12" t="s">
        <v>7</v>
      </c>
      <c r="L5" s="870">
        <v>3003901758</v>
      </c>
      <c r="M5" s="300" t="s">
        <v>1365</v>
      </c>
      <c r="N5" s="303"/>
      <c r="O5" s="18"/>
    </row>
    <row r="6" spans="1:15" ht="20.05" customHeight="1" x14ac:dyDescent="0.25">
      <c r="A6" s="1182"/>
      <c r="B6" s="874" t="s">
        <v>38</v>
      </c>
      <c r="C6" s="874" t="s">
        <v>39</v>
      </c>
      <c r="D6" s="578">
        <v>78017207</v>
      </c>
      <c r="E6" s="71" t="s">
        <v>514</v>
      </c>
      <c r="F6" s="868">
        <v>43651</v>
      </c>
      <c r="G6" s="868">
        <v>43676</v>
      </c>
      <c r="H6" s="869" t="s">
        <v>33</v>
      </c>
      <c r="I6" s="869">
        <v>12</v>
      </c>
      <c r="J6" s="869" t="s">
        <v>4</v>
      </c>
      <c r="K6" s="12" t="s">
        <v>711</v>
      </c>
      <c r="L6" s="870">
        <v>3215292829</v>
      </c>
      <c r="M6" s="870" t="s">
        <v>256</v>
      </c>
      <c r="N6" s="303" t="s">
        <v>1892</v>
      </c>
      <c r="O6" s="18"/>
    </row>
    <row r="7" spans="1:15" ht="24.45" customHeight="1" x14ac:dyDescent="0.25">
      <c r="A7" s="1182"/>
      <c r="B7" s="874" t="s">
        <v>786</v>
      </c>
      <c r="C7" s="874" t="s">
        <v>785</v>
      </c>
      <c r="D7" s="922">
        <v>1065009516</v>
      </c>
      <c r="E7" s="71" t="s">
        <v>484</v>
      </c>
      <c r="F7" s="868">
        <v>43651</v>
      </c>
      <c r="G7" s="868">
        <v>43676</v>
      </c>
      <c r="H7" s="869" t="s">
        <v>33</v>
      </c>
      <c r="I7" s="869">
        <v>12</v>
      </c>
      <c r="J7" s="869" t="s">
        <v>4</v>
      </c>
      <c r="K7" s="12" t="s">
        <v>7</v>
      </c>
      <c r="L7" s="870" t="s">
        <v>2428</v>
      </c>
      <c r="M7" s="71" t="s">
        <v>2427</v>
      </c>
      <c r="N7" s="18"/>
      <c r="O7" s="18"/>
    </row>
    <row r="8" spans="1:15" ht="20.05" customHeight="1" x14ac:dyDescent="0.25">
      <c r="A8" s="1182"/>
      <c r="B8" s="874" t="s">
        <v>1852</v>
      </c>
      <c r="C8" s="874" t="s">
        <v>1853</v>
      </c>
      <c r="D8" s="922">
        <v>25868681</v>
      </c>
      <c r="E8" s="71" t="s">
        <v>485</v>
      </c>
      <c r="F8" s="868">
        <v>43655</v>
      </c>
      <c r="G8" s="868">
        <v>43676</v>
      </c>
      <c r="H8" s="869" t="s">
        <v>33</v>
      </c>
      <c r="I8" s="869">
        <v>12</v>
      </c>
      <c r="J8" s="869" t="s">
        <v>4</v>
      </c>
      <c r="K8" s="12" t="s">
        <v>711</v>
      </c>
      <c r="L8" s="870">
        <v>3107019204</v>
      </c>
      <c r="M8" s="71" t="s">
        <v>1854</v>
      </c>
      <c r="N8" s="18"/>
      <c r="O8" s="18"/>
    </row>
    <row r="9" spans="1:15" ht="20.05" customHeight="1" x14ac:dyDescent="0.25">
      <c r="A9" s="1182"/>
      <c r="B9" s="874" t="s">
        <v>2412</v>
      </c>
      <c r="C9" s="874" t="s">
        <v>2413</v>
      </c>
      <c r="D9" s="922">
        <v>50848081</v>
      </c>
      <c r="E9" s="71" t="s">
        <v>496</v>
      </c>
      <c r="F9" s="868">
        <v>43655</v>
      </c>
      <c r="G9" s="868">
        <v>43676</v>
      </c>
      <c r="H9" s="869" t="s">
        <v>33</v>
      </c>
      <c r="I9" s="869">
        <v>12</v>
      </c>
      <c r="J9" s="869" t="s">
        <v>4</v>
      </c>
      <c r="K9" s="12" t="s">
        <v>7</v>
      </c>
      <c r="L9" s="870">
        <v>3046417940</v>
      </c>
      <c r="M9" s="71" t="s">
        <v>2417</v>
      </c>
      <c r="N9" s="18"/>
      <c r="O9" s="18"/>
    </row>
    <row r="10" spans="1:15" ht="20.05" customHeight="1" x14ac:dyDescent="0.25">
      <c r="A10" s="1182"/>
      <c r="B10" s="874" t="s">
        <v>2422</v>
      </c>
      <c r="C10" s="874" t="s">
        <v>2423</v>
      </c>
      <c r="D10" s="922">
        <v>50847017</v>
      </c>
      <c r="E10" s="71" t="s">
        <v>2424</v>
      </c>
      <c r="F10" s="868">
        <v>43656</v>
      </c>
      <c r="G10" s="868">
        <v>43676</v>
      </c>
      <c r="H10" s="869" t="s">
        <v>33</v>
      </c>
      <c r="I10" s="869">
        <v>12</v>
      </c>
      <c r="J10" s="869" t="s">
        <v>4</v>
      </c>
      <c r="K10" s="12" t="s">
        <v>7</v>
      </c>
      <c r="L10" s="870">
        <v>3108280878</v>
      </c>
      <c r="M10" s="71" t="s">
        <v>2425</v>
      </c>
      <c r="N10" s="18"/>
      <c r="O10" s="18"/>
    </row>
    <row r="11" spans="1:15" ht="20.05" customHeight="1" x14ac:dyDescent="0.25">
      <c r="A11" s="1182"/>
      <c r="B11" s="874" t="s">
        <v>2420</v>
      </c>
      <c r="C11" s="874" t="s">
        <v>2421</v>
      </c>
      <c r="D11" s="922">
        <v>26201934</v>
      </c>
      <c r="E11" s="71" t="s">
        <v>1145</v>
      </c>
      <c r="F11" s="868">
        <v>43656</v>
      </c>
      <c r="G11" s="868">
        <v>43676</v>
      </c>
      <c r="H11" s="869" t="s">
        <v>33</v>
      </c>
      <c r="I11" s="869">
        <v>12</v>
      </c>
      <c r="J11" s="869" t="s">
        <v>4</v>
      </c>
      <c r="K11" s="12" t="s">
        <v>7</v>
      </c>
      <c r="L11" s="870">
        <v>3127476324</v>
      </c>
      <c r="M11" s="71" t="s">
        <v>2640</v>
      </c>
      <c r="N11" s="18"/>
      <c r="O11" s="18"/>
    </row>
    <row r="12" spans="1:15" ht="20.05" customHeight="1" x14ac:dyDescent="0.25">
      <c r="A12" s="1182"/>
      <c r="B12" s="874" t="s">
        <v>2409</v>
      </c>
      <c r="C12" s="874" t="s">
        <v>2410</v>
      </c>
      <c r="D12" s="922">
        <v>70526978</v>
      </c>
      <c r="E12" s="71" t="s">
        <v>530</v>
      </c>
      <c r="F12" s="868">
        <v>43655</v>
      </c>
      <c r="G12" s="868">
        <v>43676</v>
      </c>
      <c r="H12" s="869" t="s">
        <v>33</v>
      </c>
      <c r="I12" s="869">
        <v>12</v>
      </c>
      <c r="J12" s="869" t="s">
        <v>4</v>
      </c>
      <c r="K12" s="12" t="s">
        <v>7</v>
      </c>
      <c r="L12" s="870">
        <v>3135022736</v>
      </c>
      <c r="M12" s="71" t="s">
        <v>2411</v>
      </c>
      <c r="N12" s="18"/>
      <c r="O12" s="18"/>
    </row>
    <row r="13" spans="1:15" ht="20.05" customHeight="1" x14ac:dyDescent="0.25">
      <c r="A13" s="1182"/>
      <c r="B13" s="874" t="s">
        <v>40</v>
      </c>
      <c r="C13" s="874" t="s">
        <v>41</v>
      </c>
      <c r="D13" s="578">
        <v>6859684</v>
      </c>
      <c r="E13" s="870" t="s">
        <v>515</v>
      </c>
      <c r="F13" s="868">
        <v>43651</v>
      </c>
      <c r="G13" s="868">
        <v>43676</v>
      </c>
      <c r="H13" s="869" t="s">
        <v>33</v>
      </c>
      <c r="I13" s="869">
        <v>12</v>
      </c>
      <c r="J13" s="869" t="s">
        <v>4</v>
      </c>
      <c r="K13" s="12" t="s">
        <v>711</v>
      </c>
      <c r="L13" s="870">
        <v>3207658456</v>
      </c>
      <c r="M13" s="870" t="s">
        <v>261</v>
      </c>
      <c r="N13" s="18"/>
      <c r="O13" s="18"/>
    </row>
    <row r="14" spans="1:15" ht="20.05" customHeight="1" x14ac:dyDescent="0.25">
      <c r="A14" s="1182"/>
      <c r="B14" s="1164" t="s">
        <v>42</v>
      </c>
      <c r="C14" s="1164" t="s">
        <v>43</v>
      </c>
      <c r="D14" s="1159">
        <v>35113315</v>
      </c>
      <c r="E14" s="1135" t="s">
        <v>486</v>
      </c>
      <c r="F14" s="868">
        <v>43651</v>
      </c>
      <c r="G14" s="868">
        <v>43676</v>
      </c>
      <c r="H14" s="869" t="s">
        <v>33</v>
      </c>
      <c r="I14" s="869">
        <v>12</v>
      </c>
      <c r="J14" s="869" t="s">
        <v>4</v>
      </c>
      <c r="K14" s="12" t="s">
        <v>832</v>
      </c>
      <c r="L14" s="1135">
        <v>3017683908</v>
      </c>
      <c r="M14" s="1135" t="s">
        <v>238</v>
      </c>
      <c r="N14" s="18"/>
      <c r="O14" s="18"/>
    </row>
    <row r="15" spans="1:15" ht="20.05" customHeight="1" x14ac:dyDescent="0.25">
      <c r="A15" s="1182"/>
      <c r="B15" s="1164"/>
      <c r="C15" s="1164"/>
      <c r="D15" s="1159"/>
      <c r="E15" s="1135"/>
      <c r="F15" s="1128">
        <v>43651</v>
      </c>
      <c r="G15" s="1128">
        <v>43677</v>
      </c>
      <c r="H15" s="1131" t="s">
        <v>686</v>
      </c>
      <c r="I15" s="869">
        <v>12</v>
      </c>
      <c r="J15" s="869" t="s">
        <v>8</v>
      </c>
      <c r="K15" s="12" t="s">
        <v>213</v>
      </c>
      <c r="L15" s="1135"/>
      <c r="M15" s="1135"/>
      <c r="N15" s="18"/>
      <c r="O15" s="18"/>
    </row>
    <row r="16" spans="1:15" ht="20.05" customHeight="1" x14ac:dyDescent="0.25">
      <c r="A16" s="1182"/>
      <c r="B16" s="1164"/>
      <c r="C16" s="1164"/>
      <c r="D16" s="1159"/>
      <c r="E16" s="1135"/>
      <c r="F16" s="1128"/>
      <c r="G16" s="1128"/>
      <c r="H16" s="1131"/>
      <c r="I16" s="869">
        <v>8</v>
      </c>
      <c r="J16" s="869" t="s">
        <v>4</v>
      </c>
      <c r="K16" s="12" t="s">
        <v>832</v>
      </c>
      <c r="L16" s="1135"/>
      <c r="M16" s="1135"/>
      <c r="N16" s="18"/>
      <c r="O16" s="18"/>
    </row>
    <row r="17" spans="1:15" ht="20.05" customHeight="1" x14ac:dyDescent="0.25">
      <c r="A17" s="1182"/>
      <c r="B17" s="1164"/>
      <c r="C17" s="1164"/>
      <c r="D17" s="1159"/>
      <c r="E17" s="1135"/>
      <c r="F17" s="1128"/>
      <c r="G17" s="1128"/>
      <c r="H17" s="1131"/>
      <c r="I17" s="869">
        <v>20</v>
      </c>
      <c r="J17" s="869" t="s">
        <v>215</v>
      </c>
      <c r="K17" s="12" t="s">
        <v>2271</v>
      </c>
      <c r="L17" s="1135"/>
      <c r="M17" s="1135"/>
      <c r="N17" s="18"/>
      <c r="O17" s="18"/>
    </row>
    <row r="18" spans="1:15" ht="20.05" customHeight="1" x14ac:dyDescent="0.25">
      <c r="A18" s="1182"/>
      <c r="B18" s="874" t="s">
        <v>166</v>
      </c>
      <c r="C18" s="874" t="s">
        <v>167</v>
      </c>
      <c r="D18" s="578">
        <v>26137148</v>
      </c>
      <c r="E18" s="870" t="s">
        <v>527</v>
      </c>
      <c r="F18" s="868">
        <v>43651</v>
      </c>
      <c r="G18" s="868">
        <v>43676</v>
      </c>
      <c r="H18" s="869" t="s">
        <v>33</v>
      </c>
      <c r="I18" s="869">
        <v>12</v>
      </c>
      <c r="J18" s="869" t="s">
        <v>4</v>
      </c>
      <c r="K18" s="12" t="s">
        <v>7</v>
      </c>
      <c r="L18" s="870">
        <v>3204248994</v>
      </c>
      <c r="M18" s="870" t="s">
        <v>720</v>
      </c>
      <c r="N18" s="66"/>
      <c r="O18" s="66"/>
    </row>
    <row r="19" spans="1:15" ht="20.05" customHeight="1" x14ac:dyDescent="0.25">
      <c r="A19" s="1182"/>
      <c r="B19" s="874" t="s">
        <v>93</v>
      </c>
      <c r="C19" s="874" t="s">
        <v>599</v>
      </c>
      <c r="D19" s="578">
        <v>2786537</v>
      </c>
      <c r="E19" s="71" t="s">
        <v>584</v>
      </c>
      <c r="F19" s="868">
        <v>43651</v>
      </c>
      <c r="G19" s="868">
        <v>43676</v>
      </c>
      <c r="H19" s="869" t="s">
        <v>33</v>
      </c>
      <c r="I19" s="869">
        <v>12</v>
      </c>
      <c r="J19" s="869" t="s">
        <v>4</v>
      </c>
      <c r="K19" s="12" t="s">
        <v>711</v>
      </c>
      <c r="L19" s="870">
        <v>2786537</v>
      </c>
      <c r="M19" s="870" t="s">
        <v>600</v>
      </c>
      <c r="N19" s="18"/>
      <c r="O19" s="18"/>
    </row>
    <row r="20" spans="1:15" ht="20.05" customHeight="1" x14ac:dyDescent="0.25">
      <c r="A20" s="1182"/>
      <c r="B20" s="874" t="s">
        <v>556</v>
      </c>
      <c r="C20" s="874" t="s">
        <v>557</v>
      </c>
      <c r="D20" s="578">
        <v>12717896</v>
      </c>
      <c r="E20" s="870" t="s">
        <v>558</v>
      </c>
      <c r="F20" s="536">
        <v>43592</v>
      </c>
      <c r="G20" s="536">
        <v>43615</v>
      </c>
      <c r="H20" s="715" t="s">
        <v>33</v>
      </c>
      <c r="I20" s="715"/>
      <c r="J20" s="715" t="s">
        <v>4</v>
      </c>
      <c r="K20" s="12" t="s">
        <v>707</v>
      </c>
      <c r="L20" s="870">
        <v>3145486334</v>
      </c>
      <c r="M20" s="870" t="s">
        <v>559</v>
      </c>
      <c r="N20" s="18"/>
      <c r="O20" s="18"/>
    </row>
    <row r="21" spans="1:15" ht="20.05" customHeight="1" x14ac:dyDescent="0.25">
      <c r="A21" s="1182"/>
      <c r="B21" s="1164" t="s">
        <v>197</v>
      </c>
      <c r="C21" s="1164" t="s">
        <v>198</v>
      </c>
      <c r="D21" s="1159">
        <v>6573756</v>
      </c>
      <c r="E21" s="1135" t="s">
        <v>486</v>
      </c>
      <c r="F21" s="868">
        <v>43651</v>
      </c>
      <c r="G21" s="868">
        <v>43676</v>
      </c>
      <c r="H21" s="869" t="s">
        <v>33</v>
      </c>
      <c r="I21" s="869">
        <v>12</v>
      </c>
      <c r="J21" s="869" t="s">
        <v>4</v>
      </c>
      <c r="K21" s="12" t="s">
        <v>711</v>
      </c>
      <c r="L21" s="1135">
        <v>3106165564</v>
      </c>
      <c r="M21" s="1135" t="s">
        <v>258</v>
      </c>
      <c r="N21" s="18"/>
      <c r="O21" s="18"/>
    </row>
    <row r="22" spans="1:15" ht="20.05" customHeight="1" x14ac:dyDescent="0.25">
      <c r="A22" s="1182"/>
      <c r="B22" s="1164"/>
      <c r="C22" s="1164"/>
      <c r="D22" s="1159"/>
      <c r="E22" s="1135"/>
      <c r="F22" s="1180">
        <v>43615</v>
      </c>
      <c r="G22" s="1180">
        <v>43646</v>
      </c>
      <c r="H22" s="1136" t="s">
        <v>686</v>
      </c>
      <c r="I22" s="699"/>
      <c r="J22" s="699" t="s">
        <v>4</v>
      </c>
      <c r="K22" s="12" t="s">
        <v>711</v>
      </c>
      <c r="L22" s="1135"/>
      <c r="M22" s="1135"/>
      <c r="N22" s="18"/>
      <c r="O22" s="18"/>
    </row>
    <row r="23" spans="1:15" ht="20.05" customHeight="1" x14ac:dyDescent="0.25">
      <c r="A23" s="1182"/>
      <c r="B23" s="1164"/>
      <c r="C23" s="1164"/>
      <c r="D23" s="1159"/>
      <c r="E23" s="1135"/>
      <c r="F23" s="1180"/>
      <c r="G23" s="1180"/>
      <c r="H23" s="1136"/>
      <c r="I23" s="699"/>
      <c r="J23" s="699" t="s">
        <v>215</v>
      </c>
      <c r="K23" s="12" t="s">
        <v>44</v>
      </c>
      <c r="L23" s="1135"/>
      <c r="M23" s="1135"/>
      <c r="N23" s="18"/>
      <c r="O23" s="18"/>
    </row>
    <row r="24" spans="1:15" ht="20.05" customHeight="1" x14ac:dyDescent="0.25">
      <c r="A24" s="1182"/>
      <c r="B24" s="874" t="s">
        <v>581</v>
      </c>
      <c r="C24" s="874" t="s">
        <v>582</v>
      </c>
      <c r="D24" s="578">
        <v>25837220</v>
      </c>
      <c r="E24" s="71" t="s">
        <v>494</v>
      </c>
      <c r="F24" s="868">
        <v>43651</v>
      </c>
      <c r="G24" s="868">
        <v>43676</v>
      </c>
      <c r="H24" s="869" t="s">
        <v>33</v>
      </c>
      <c r="I24" s="869">
        <v>12</v>
      </c>
      <c r="J24" s="869" t="s">
        <v>4</v>
      </c>
      <c r="K24" s="12" t="s">
        <v>711</v>
      </c>
      <c r="L24" s="870">
        <v>3107271568</v>
      </c>
      <c r="M24" s="870" t="s">
        <v>583</v>
      </c>
      <c r="N24" s="18"/>
      <c r="O24" s="18"/>
    </row>
    <row r="25" spans="1:15" ht="20.05" customHeight="1" x14ac:dyDescent="0.25">
      <c r="A25" s="1182"/>
      <c r="B25" s="874" t="s">
        <v>578</v>
      </c>
      <c r="C25" s="874" t="s">
        <v>579</v>
      </c>
      <c r="D25" s="578">
        <v>34959760</v>
      </c>
      <c r="E25" s="870" t="s">
        <v>486</v>
      </c>
      <c r="F25" s="868">
        <v>43651</v>
      </c>
      <c r="G25" s="868">
        <v>43676</v>
      </c>
      <c r="H25" s="869" t="s">
        <v>33</v>
      </c>
      <c r="I25" s="869">
        <v>12</v>
      </c>
      <c r="J25" s="869" t="s">
        <v>4</v>
      </c>
      <c r="K25" s="12" t="s">
        <v>711</v>
      </c>
      <c r="L25" s="870">
        <v>-3126400798</v>
      </c>
      <c r="M25" s="28" t="s">
        <v>580</v>
      </c>
      <c r="N25" s="18"/>
      <c r="O25" s="18"/>
    </row>
    <row r="26" spans="1:15" ht="20.05" customHeight="1" x14ac:dyDescent="0.25">
      <c r="A26" s="1182"/>
      <c r="B26" s="1183" t="s">
        <v>199</v>
      </c>
      <c r="C26" s="1183" t="s">
        <v>200</v>
      </c>
      <c r="D26" s="1189">
        <v>25839748</v>
      </c>
      <c r="E26" s="1186" t="s">
        <v>493</v>
      </c>
      <c r="F26" s="536">
        <v>43592</v>
      </c>
      <c r="G26" s="536">
        <v>43615</v>
      </c>
      <c r="H26" s="925" t="s">
        <v>33</v>
      </c>
      <c r="I26" s="925"/>
      <c r="J26" s="925" t="s">
        <v>4</v>
      </c>
      <c r="K26" s="12" t="s">
        <v>711</v>
      </c>
      <c r="L26" s="1151">
        <v>3168676337</v>
      </c>
      <c r="M26" s="1151" t="s">
        <v>259</v>
      </c>
      <c r="N26" s="1172"/>
      <c r="O26" s="18"/>
    </row>
    <row r="27" spans="1:15" ht="20.05" customHeight="1" x14ac:dyDescent="0.25">
      <c r="A27" s="1182"/>
      <c r="B27" s="1184"/>
      <c r="C27" s="1184"/>
      <c r="D27" s="1190"/>
      <c r="E27" s="1187"/>
      <c r="F27" s="536">
        <v>43595</v>
      </c>
      <c r="G27" s="536">
        <v>43615</v>
      </c>
      <c r="H27" s="925" t="s">
        <v>686</v>
      </c>
      <c r="I27" s="925"/>
      <c r="J27" s="925" t="s">
        <v>215</v>
      </c>
      <c r="K27" s="12" t="s">
        <v>649</v>
      </c>
      <c r="L27" s="1175"/>
      <c r="M27" s="1175"/>
      <c r="N27" s="1173"/>
      <c r="O27" s="18"/>
    </row>
    <row r="28" spans="1:15" ht="20.05" customHeight="1" x14ac:dyDescent="0.25">
      <c r="A28" s="1182"/>
      <c r="B28" s="1185"/>
      <c r="C28" s="1185"/>
      <c r="D28" s="1191"/>
      <c r="E28" s="1188"/>
      <c r="F28" s="79"/>
      <c r="G28" s="79"/>
      <c r="L28" s="1152"/>
      <c r="M28" s="1152"/>
      <c r="N28" s="1174"/>
      <c r="O28" s="18"/>
    </row>
    <row r="29" spans="1:15" ht="20.05" customHeight="1" x14ac:dyDescent="0.25">
      <c r="A29" s="1182"/>
      <c r="B29" s="1164" t="s">
        <v>201</v>
      </c>
      <c r="C29" s="1164" t="s">
        <v>202</v>
      </c>
      <c r="D29" s="578">
        <v>1547104</v>
      </c>
      <c r="E29" s="1171" t="s">
        <v>498</v>
      </c>
      <c r="F29" s="868">
        <v>43651</v>
      </c>
      <c r="G29" s="868">
        <v>43676</v>
      </c>
      <c r="H29" s="700" t="s">
        <v>33</v>
      </c>
      <c r="I29" s="700">
        <v>12</v>
      </c>
      <c r="J29" s="700" t="s">
        <v>4</v>
      </c>
      <c r="K29" s="12" t="s">
        <v>711</v>
      </c>
      <c r="L29" s="1135" t="s">
        <v>254</v>
      </c>
      <c r="M29" s="1135" t="s">
        <v>255</v>
      </c>
      <c r="N29" s="18"/>
      <c r="O29" s="18"/>
    </row>
    <row r="30" spans="1:15" ht="20.05" customHeight="1" x14ac:dyDescent="0.25">
      <c r="A30" s="1182"/>
      <c r="B30" s="1164"/>
      <c r="C30" s="1164"/>
      <c r="D30" s="578"/>
      <c r="E30" s="1171"/>
      <c r="F30" s="79"/>
      <c r="G30" s="79"/>
      <c r="H30" s="926"/>
      <c r="I30" s="926"/>
      <c r="J30" s="926"/>
      <c r="K30" s="12" t="s">
        <v>649</v>
      </c>
      <c r="L30" s="1135"/>
      <c r="M30" s="1135"/>
      <c r="N30" s="18"/>
      <c r="O30" s="18"/>
    </row>
    <row r="31" spans="1:15" ht="18" customHeight="1" x14ac:dyDescent="0.25">
      <c r="A31" s="1192" t="s">
        <v>96</v>
      </c>
      <c r="B31" s="472" t="s">
        <v>97</v>
      </c>
      <c r="C31" s="472" t="s">
        <v>98</v>
      </c>
      <c r="D31" s="473">
        <v>1073821697</v>
      </c>
      <c r="E31" s="474" t="s">
        <v>509</v>
      </c>
      <c r="F31" s="868">
        <v>43651</v>
      </c>
      <c r="G31" s="868">
        <v>43676</v>
      </c>
      <c r="H31" s="869" t="s">
        <v>33</v>
      </c>
      <c r="I31" s="869">
        <v>12</v>
      </c>
      <c r="J31" s="869" t="s">
        <v>4</v>
      </c>
      <c r="K31" s="12" t="s">
        <v>1255</v>
      </c>
      <c r="L31" s="474">
        <v>3125614051</v>
      </c>
      <c r="M31" s="474" t="s">
        <v>262</v>
      </c>
      <c r="N31" s="475"/>
      <c r="O31" s="15"/>
    </row>
    <row r="32" spans="1:15" ht="18" customHeight="1" x14ac:dyDescent="0.25">
      <c r="A32" s="1192"/>
      <c r="B32" s="472" t="s">
        <v>1993</v>
      </c>
      <c r="C32" s="472" t="s">
        <v>1994</v>
      </c>
      <c r="D32" s="473">
        <v>1073821238</v>
      </c>
      <c r="E32" s="474"/>
      <c r="F32" s="868">
        <v>43655</v>
      </c>
      <c r="G32" s="868">
        <v>43677</v>
      </c>
      <c r="H32" s="869" t="s">
        <v>33</v>
      </c>
      <c r="I32" s="869">
        <v>12</v>
      </c>
      <c r="J32" s="869" t="s">
        <v>4</v>
      </c>
      <c r="K32" s="12" t="s">
        <v>1255</v>
      </c>
      <c r="L32" s="474">
        <v>3014043486</v>
      </c>
      <c r="M32" s="474" t="s">
        <v>1995</v>
      </c>
      <c r="N32" s="475"/>
      <c r="O32" s="15"/>
    </row>
    <row r="33" spans="1:15" ht="20.05" customHeight="1" x14ac:dyDescent="0.25">
      <c r="A33" s="1192"/>
      <c r="B33" s="875" t="s">
        <v>34</v>
      </c>
      <c r="C33" s="875" t="s">
        <v>35</v>
      </c>
      <c r="D33" s="101">
        <v>1577229</v>
      </c>
      <c r="E33" s="14" t="s">
        <v>494</v>
      </c>
      <c r="F33" s="868">
        <v>43651</v>
      </c>
      <c r="G33" s="868">
        <v>43676</v>
      </c>
      <c r="H33" s="869" t="s">
        <v>33</v>
      </c>
      <c r="I33" s="869">
        <v>12</v>
      </c>
      <c r="J33" s="869" t="s">
        <v>4</v>
      </c>
      <c r="K33" s="12" t="s">
        <v>1255</v>
      </c>
      <c r="L33" s="867">
        <v>3205316814</v>
      </c>
      <c r="M33" s="867" t="s">
        <v>263</v>
      </c>
      <c r="N33" s="475"/>
      <c r="O33" s="15"/>
    </row>
    <row r="34" spans="1:15" ht="20.05" customHeight="1" x14ac:dyDescent="0.25">
      <c r="A34" s="1192"/>
      <c r="B34" s="1149" t="s">
        <v>99</v>
      </c>
      <c r="C34" s="1149" t="s">
        <v>100</v>
      </c>
      <c r="D34" s="101"/>
      <c r="E34" s="1149" t="s">
        <v>492</v>
      </c>
      <c r="F34" s="868">
        <v>43651</v>
      </c>
      <c r="G34" s="868">
        <v>43676</v>
      </c>
      <c r="H34" s="869" t="s">
        <v>33</v>
      </c>
      <c r="I34" s="869">
        <v>12</v>
      </c>
      <c r="J34" s="869" t="s">
        <v>4</v>
      </c>
      <c r="K34" s="12" t="s">
        <v>7</v>
      </c>
      <c r="L34" s="1181" t="s">
        <v>265</v>
      </c>
      <c r="M34" s="1149" t="s">
        <v>245</v>
      </c>
      <c r="N34" s="927"/>
      <c r="O34" s="15"/>
    </row>
    <row r="35" spans="1:15" ht="20.05" customHeight="1" x14ac:dyDescent="0.25">
      <c r="A35" s="1192"/>
      <c r="B35" s="1149"/>
      <c r="C35" s="1149"/>
      <c r="D35" s="101">
        <v>7374838</v>
      </c>
      <c r="E35" s="1149"/>
      <c r="F35" s="1128">
        <v>43655</v>
      </c>
      <c r="G35" s="1128">
        <v>43676</v>
      </c>
      <c r="H35" s="1131" t="s">
        <v>686</v>
      </c>
      <c r="I35" s="869">
        <v>20</v>
      </c>
      <c r="J35" s="869" t="s">
        <v>215</v>
      </c>
      <c r="K35" s="12" t="s">
        <v>44</v>
      </c>
      <c r="L35" s="1181"/>
      <c r="M35" s="1149"/>
      <c r="N35" s="927"/>
      <c r="O35" s="15"/>
    </row>
    <row r="36" spans="1:15" ht="19.55" customHeight="1" x14ac:dyDescent="0.25">
      <c r="A36" s="1192"/>
      <c r="B36" s="1149"/>
      <c r="C36" s="1149"/>
      <c r="D36" s="101"/>
      <c r="E36" s="1149"/>
      <c r="F36" s="1128"/>
      <c r="G36" s="1128"/>
      <c r="H36" s="1131"/>
      <c r="I36" s="869">
        <v>20</v>
      </c>
      <c r="J36" s="869" t="s">
        <v>8</v>
      </c>
      <c r="K36" s="12" t="s">
        <v>213</v>
      </c>
      <c r="L36" s="1181"/>
      <c r="M36" s="1149"/>
      <c r="N36" s="285"/>
      <c r="O36" s="15"/>
    </row>
    <row r="37" spans="1:15" ht="19.55" customHeight="1" x14ac:dyDescent="0.25">
      <c r="A37" s="1192"/>
      <c r="B37" s="867" t="s">
        <v>1620</v>
      </c>
      <c r="C37" s="867" t="s">
        <v>1621</v>
      </c>
      <c r="D37" s="101">
        <v>25841675</v>
      </c>
      <c r="E37" s="867" t="s">
        <v>480</v>
      </c>
      <c r="F37" s="868">
        <v>43655</v>
      </c>
      <c r="G37" s="868">
        <v>43676</v>
      </c>
      <c r="H37" s="869" t="s">
        <v>33</v>
      </c>
      <c r="I37" s="869">
        <v>12</v>
      </c>
      <c r="J37" s="869" t="s">
        <v>4</v>
      </c>
      <c r="K37" s="12" t="s">
        <v>1255</v>
      </c>
      <c r="L37" s="877">
        <v>3207890685</v>
      </c>
      <c r="M37" s="867" t="s">
        <v>1622</v>
      </c>
      <c r="N37" s="285"/>
      <c r="O37" s="15"/>
    </row>
    <row r="38" spans="1:15" ht="19.55" customHeight="1" x14ac:dyDescent="0.35">
      <c r="A38" s="1192"/>
      <c r="B38" s="875" t="s">
        <v>571</v>
      </c>
      <c r="C38" s="875" t="s">
        <v>572</v>
      </c>
      <c r="D38" s="101">
        <v>26192149</v>
      </c>
      <c r="E38" s="877" t="s">
        <v>573</v>
      </c>
      <c r="F38" s="868">
        <v>43651</v>
      </c>
      <c r="G38" s="868">
        <v>43676</v>
      </c>
      <c r="H38" s="869" t="s">
        <v>33</v>
      </c>
      <c r="I38" s="869">
        <v>12</v>
      </c>
      <c r="J38" s="869" t="s">
        <v>4</v>
      </c>
      <c r="K38" s="12" t="s">
        <v>1255</v>
      </c>
      <c r="L38" s="867">
        <v>3116797960</v>
      </c>
      <c r="M38" s="867" t="s">
        <v>1203</v>
      </c>
      <c r="N38" s="167"/>
      <c r="O38" s="167"/>
    </row>
    <row r="39" spans="1:15" ht="20.05" customHeight="1" x14ac:dyDescent="0.25">
      <c r="A39" s="1192"/>
      <c r="B39" s="875" t="s">
        <v>101</v>
      </c>
      <c r="C39" s="875" t="s">
        <v>102</v>
      </c>
      <c r="D39" s="101">
        <v>35114652</v>
      </c>
      <c r="E39" s="867" t="s">
        <v>487</v>
      </c>
      <c r="F39" s="868">
        <v>43651</v>
      </c>
      <c r="G39" s="868">
        <v>43676</v>
      </c>
      <c r="H39" s="869" t="s">
        <v>33</v>
      </c>
      <c r="I39" s="869">
        <v>12</v>
      </c>
      <c r="J39" s="869" t="s">
        <v>4</v>
      </c>
      <c r="K39" s="12" t="s">
        <v>1255</v>
      </c>
      <c r="L39" s="867">
        <v>3218701120</v>
      </c>
      <c r="M39" s="877" t="s">
        <v>264</v>
      </c>
      <c r="N39" s="15"/>
      <c r="O39" s="15"/>
    </row>
    <row r="40" spans="1:15" ht="20.05" customHeight="1" x14ac:dyDescent="0.25">
      <c r="A40" s="1193" t="s">
        <v>22</v>
      </c>
      <c r="B40" s="874" t="s">
        <v>83</v>
      </c>
      <c r="C40" s="874" t="s">
        <v>84</v>
      </c>
      <c r="D40" s="578">
        <v>32514767</v>
      </c>
      <c r="E40" s="71" t="s">
        <v>517</v>
      </c>
      <c r="F40" s="868">
        <v>43651</v>
      </c>
      <c r="G40" s="868">
        <v>43676</v>
      </c>
      <c r="H40" s="869" t="s">
        <v>33</v>
      </c>
      <c r="I40" s="869">
        <v>12</v>
      </c>
      <c r="J40" s="869" t="s">
        <v>4</v>
      </c>
      <c r="K40" s="12" t="s">
        <v>1255</v>
      </c>
      <c r="L40" s="870">
        <v>3135237669</v>
      </c>
      <c r="M40" s="870" t="s">
        <v>283</v>
      </c>
      <c r="N40" s="1176"/>
      <c r="O40" s="1176"/>
    </row>
    <row r="41" spans="1:15" ht="20.05" customHeight="1" x14ac:dyDescent="0.25">
      <c r="A41" s="1193"/>
      <c r="B41" s="874" t="s">
        <v>85</v>
      </c>
      <c r="C41" s="874" t="s">
        <v>86</v>
      </c>
      <c r="D41" s="578">
        <v>25871327</v>
      </c>
      <c r="E41" s="870" t="s">
        <v>518</v>
      </c>
      <c r="F41" s="868">
        <v>43651</v>
      </c>
      <c r="G41" s="868">
        <v>43676</v>
      </c>
      <c r="H41" s="869" t="s">
        <v>33</v>
      </c>
      <c r="I41" s="869">
        <v>12</v>
      </c>
      <c r="J41" s="869" t="s">
        <v>4</v>
      </c>
      <c r="K41" s="12" t="s">
        <v>23</v>
      </c>
      <c r="L41" s="870">
        <v>3114225165</v>
      </c>
      <c r="M41" s="870" t="s">
        <v>247</v>
      </c>
      <c r="N41" s="18"/>
      <c r="O41" s="18"/>
    </row>
    <row r="42" spans="1:15" ht="20.05" customHeight="1" x14ac:dyDescent="0.25">
      <c r="A42" s="1193"/>
      <c r="B42" s="874" t="s">
        <v>2171</v>
      </c>
      <c r="C42" s="874" t="s">
        <v>2170</v>
      </c>
      <c r="D42" s="578">
        <v>25845578</v>
      </c>
      <c r="E42" s="870" t="s">
        <v>672</v>
      </c>
      <c r="F42" s="329">
        <v>43621</v>
      </c>
      <c r="G42" s="329">
        <v>43646</v>
      </c>
      <c r="H42" s="699" t="s">
        <v>33</v>
      </c>
      <c r="I42" s="699"/>
      <c r="J42" s="699" t="s">
        <v>4</v>
      </c>
      <c r="L42" s="870">
        <v>3106421583</v>
      </c>
      <c r="M42" s="870" t="s">
        <v>2172</v>
      </c>
      <c r="N42" s="18"/>
      <c r="O42" s="18"/>
    </row>
    <row r="43" spans="1:15" ht="20.05" customHeight="1" x14ac:dyDescent="0.25">
      <c r="A43" s="1193"/>
      <c r="B43" s="870" t="s">
        <v>852</v>
      </c>
      <c r="C43" s="870" t="s">
        <v>853</v>
      </c>
      <c r="D43" s="578">
        <v>1550335</v>
      </c>
      <c r="E43" s="870" t="s">
        <v>494</v>
      </c>
      <c r="F43" s="868">
        <v>43651</v>
      </c>
      <c r="G43" s="868">
        <v>43676</v>
      </c>
      <c r="H43" s="700" t="s">
        <v>33</v>
      </c>
      <c r="I43" s="700">
        <v>12</v>
      </c>
      <c r="J43" s="700" t="s">
        <v>4</v>
      </c>
      <c r="K43" s="12" t="s">
        <v>23</v>
      </c>
      <c r="L43" s="870">
        <v>3126137243</v>
      </c>
      <c r="M43" s="870" t="s">
        <v>851</v>
      </c>
      <c r="N43" s="303" t="s">
        <v>864</v>
      </c>
      <c r="O43" s="18"/>
    </row>
    <row r="44" spans="1:15" ht="20.05" customHeight="1" x14ac:dyDescent="0.25">
      <c r="A44" s="1193"/>
      <c r="B44" s="1135" t="s">
        <v>1706</v>
      </c>
      <c r="C44" s="1135" t="s">
        <v>1707</v>
      </c>
      <c r="D44" s="1159">
        <v>26060011</v>
      </c>
      <c r="E44" s="1171" t="s">
        <v>481</v>
      </c>
      <c r="F44" s="1129">
        <v>43655</v>
      </c>
      <c r="G44" s="1129">
        <v>43676</v>
      </c>
      <c r="H44" s="1130" t="s">
        <v>33</v>
      </c>
      <c r="I44" s="1131">
        <v>12</v>
      </c>
      <c r="J44" s="869" t="s">
        <v>4</v>
      </c>
      <c r="K44" s="128" t="s">
        <v>543</v>
      </c>
      <c r="L44" s="1135">
        <v>3015188995</v>
      </c>
      <c r="M44" s="1171" t="s">
        <v>1708</v>
      </c>
      <c r="N44" s="171"/>
      <c r="O44" s="171"/>
    </row>
    <row r="45" spans="1:15" ht="20.05" customHeight="1" x14ac:dyDescent="0.25">
      <c r="A45" s="1193"/>
      <c r="B45" s="1135"/>
      <c r="C45" s="1135"/>
      <c r="D45" s="1159"/>
      <c r="E45" s="1171"/>
      <c r="F45" s="1129"/>
      <c r="G45" s="1129"/>
      <c r="H45" s="1130"/>
      <c r="I45" s="1131"/>
      <c r="J45" s="869" t="s">
        <v>215</v>
      </c>
      <c r="K45" s="128" t="s">
        <v>1255</v>
      </c>
      <c r="L45" s="1135"/>
      <c r="M45" s="1171"/>
      <c r="N45" s="171"/>
      <c r="O45" s="171"/>
    </row>
    <row r="46" spans="1:15" ht="20.05" customHeight="1" x14ac:dyDescent="0.25">
      <c r="A46" s="1193"/>
      <c r="B46" s="874" t="s">
        <v>87</v>
      </c>
      <c r="C46" s="874" t="s">
        <v>88</v>
      </c>
      <c r="D46" s="578">
        <v>26045221</v>
      </c>
      <c r="E46" s="300" t="s">
        <v>519</v>
      </c>
      <c r="F46" s="868">
        <v>43651</v>
      </c>
      <c r="G46" s="868">
        <v>43676</v>
      </c>
      <c r="H46" s="869" t="s">
        <v>33</v>
      </c>
      <c r="I46" s="869">
        <v>12</v>
      </c>
      <c r="J46" s="869" t="s">
        <v>4</v>
      </c>
      <c r="K46" s="12" t="s">
        <v>23</v>
      </c>
      <c r="L46" s="870">
        <v>3106433323</v>
      </c>
      <c r="M46" s="870" t="s">
        <v>284</v>
      </c>
      <c r="N46" s="1177"/>
      <c r="O46" s="1177"/>
    </row>
    <row r="47" spans="1:15" ht="20.05" customHeight="1" x14ac:dyDescent="0.25">
      <c r="A47" s="1193"/>
      <c r="B47" s="1135" t="s">
        <v>94</v>
      </c>
      <c r="C47" s="1135" t="s">
        <v>95</v>
      </c>
      <c r="D47" s="1159">
        <v>6808268</v>
      </c>
      <c r="E47" s="1135" t="s">
        <v>493</v>
      </c>
      <c r="F47" s="868">
        <v>43651</v>
      </c>
      <c r="G47" s="868">
        <v>43676</v>
      </c>
      <c r="H47" s="869" t="s">
        <v>33</v>
      </c>
      <c r="I47" s="869">
        <v>12</v>
      </c>
      <c r="J47" s="869" t="s">
        <v>4</v>
      </c>
      <c r="K47" s="12" t="s">
        <v>23</v>
      </c>
      <c r="L47" s="1135">
        <v>3124569870</v>
      </c>
      <c r="M47" s="1135" t="s">
        <v>240</v>
      </c>
      <c r="N47" s="18"/>
      <c r="O47" s="18"/>
    </row>
    <row r="48" spans="1:15" ht="20.05" customHeight="1" x14ac:dyDescent="0.25">
      <c r="A48" s="1193"/>
      <c r="B48" s="1135"/>
      <c r="C48" s="1135"/>
      <c r="D48" s="1159"/>
      <c r="E48" s="1135"/>
      <c r="F48" s="868">
        <v>43651</v>
      </c>
      <c r="G48" s="868">
        <v>43676</v>
      </c>
      <c r="H48" s="869" t="s">
        <v>686</v>
      </c>
      <c r="I48" s="869">
        <v>20</v>
      </c>
      <c r="J48" s="869" t="s">
        <v>215</v>
      </c>
      <c r="K48" s="12" t="s">
        <v>241</v>
      </c>
      <c r="L48" s="1135"/>
      <c r="M48" s="1135"/>
      <c r="N48" s="18"/>
      <c r="O48" s="18"/>
    </row>
    <row r="49" spans="1:15" ht="19.55" customHeight="1" x14ac:dyDescent="0.25">
      <c r="A49" s="1161" t="s">
        <v>295</v>
      </c>
      <c r="B49" s="875" t="s">
        <v>91</v>
      </c>
      <c r="C49" s="875" t="s">
        <v>92</v>
      </c>
      <c r="D49" s="101">
        <v>1138076889</v>
      </c>
      <c r="E49" s="867" t="s">
        <v>484</v>
      </c>
      <c r="F49" s="868">
        <v>43651</v>
      </c>
      <c r="G49" s="868">
        <v>43676</v>
      </c>
      <c r="H49" s="869" t="s">
        <v>33</v>
      </c>
      <c r="I49" s="869">
        <v>12</v>
      </c>
      <c r="J49" s="869" t="s">
        <v>4</v>
      </c>
      <c r="K49" s="12" t="s">
        <v>1255</v>
      </c>
      <c r="L49" s="867">
        <v>3225969858</v>
      </c>
      <c r="M49" s="877" t="s">
        <v>296</v>
      </c>
      <c r="N49" s="15"/>
      <c r="O49" s="15"/>
    </row>
    <row r="50" spans="1:15" ht="24.45" customHeight="1" x14ac:dyDescent="0.25">
      <c r="A50" s="1161"/>
      <c r="B50" s="875" t="s">
        <v>1918</v>
      </c>
      <c r="C50" s="875" t="s">
        <v>1919</v>
      </c>
      <c r="D50" s="101">
        <v>34900201</v>
      </c>
      <c r="E50" s="867" t="s">
        <v>481</v>
      </c>
      <c r="F50" s="868">
        <v>43651</v>
      </c>
      <c r="G50" s="868">
        <v>43676</v>
      </c>
      <c r="H50" s="869" t="s">
        <v>33</v>
      </c>
      <c r="I50" s="869">
        <v>12</v>
      </c>
      <c r="J50" s="869" t="s">
        <v>4</v>
      </c>
      <c r="K50" s="12" t="s">
        <v>1255</v>
      </c>
      <c r="L50" s="14" t="s">
        <v>1986</v>
      </c>
      <c r="M50" s="877" t="s">
        <v>1920</v>
      </c>
      <c r="N50" s="15"/>
      <c r="O50" s="15"/>
    </row>
    <row r="51" spans="1:15" ht="21.75" customHeight="1" x14ac:dyDescent="0.25">
      <c r="A51" s="1161"/>
      <c r="B51" s="875" t="s">
        <v>89</v>
      </c>
      <c r="C51" s="875" t="s">
        <v>90</v>
      </c>
      <c r="D51" s="101">
        <v>26158996</v>
      </c>
      <c r="E51" s="867" t="s">
        <v>522</v>
      </c>
      <c r="F51" s="868">
        <v>43651</v>
      </c>
      <c r="G51" s="868">
        <v>43676</v>
      </c>
      <c r="H51" s="869" t="s">
        <v>33</v>
      </c>
      <c r="I51" s="869">
        <v>12</v>
      </c>
      <c r="J51" s="869" t="s">
        <v>4</v>
      </c>
      <c r="K51" s="12" t="s">
        <v>1255</v>
      </c>
      <c r="L51" s="867">
        <v>3225612621</v>
      </c>
      <c r="M51" s="928" t="s">
        <v>297</v>
      </c>
      <c r="N51" s="15"/>
      <c r="O51" s="15"/>
    </row>
    <row r="52" spans="1:15" ht="20.05" customHeight="1" x14ac:dyDescent="0.25">
      <c r="A52" s="1202" t="s">
        <v>233</v>
      </c>
      <c r="B52" s="874" t="s">
        <v>568</v>
      </c>
      <c r="C52" s="874" t="s">
        <v>569</v>
      </c>
      <c r="D52" s="578">
        <v>26042329</v>
      </c>
      <c r="E52" s="870" t="s">
        <v>493</v>
      </c>
      <c r="F52" s="868">
        <v>43651</v>
      </c>
      <c r="G52" s="868">
        <v>43676</v>
      </c>
      <c r="H52" s="869" t="s">
        <v>33</v>
      </c>
      <c r="I52" s="869">
        <v>12</v>
      </c>
      <c r="J52" s="869" t="s">
        <v>4</v>
      </c>
      <c r="K52" s="12" t="s">
        <v>48</v>
      </c>
      <c r="L52" s="870">
        <v>3014746332</v>
      </c>
      <c r="M52" s="870" t="s">
        <v>570</v>
      </c>
      <c r="N52" s="18"/>
      <c r="O52" s="18"/>
    </row>
    <row r="53" spans="1:15" ht="20.05" customHeight="1" x14ac:dyDescent="0.25">
      <c r="A53" s="1203"/>
      <c r="B53" s="874" t="s">
        <v>577</v>
      </c>
      <c r="C53" s="874" t="s">
        <v>47</v>
      </c>
      <c r="D53" s="578">
        <v>26042064</v>
      </c>
      <c r="E53" s="870" t="s">
        <v>493</v>
      </c>
      <c r="F53" s="868">
        <v>43651</v>
      </c>
      <c r="G53" s="868">
        <v>43676</v>
      </c>
      <c r="H53" s="869" t="s">
        <v>33</v>
      </c>
      <c r="I53" s="869">
        <v>12</v>
      </c>
      <c r="J53" s="869" t="s">
        <v>4</v>
      </c>
      <c r="K53" s="12" t="s">
        <v>48</v>
      </c>
      <c r="L53" s="870">
        <v>3106029445</v>
      </c>
      <c r="M53" s="870" t="s">
        <v>274</v>
      </c>
      <c r="N53" s="18"/>
      <c r="O53" s="18"/>
    </row>
    <row r="54" spans="1:15" ht="20.05" customHeight="1" x14ac:dyDescent="0.25">
      <c r="A54" s="1203"/>
      <c r="B54" s="874" t="s">
        <v>2187</v>
      </c>
      <c r="C54" s="874" t="s">
        <v>2186</v>
      </c>
      <c r="D54" s="578">
        <v>1564564</v>
      </c>
      <c r="E54" s="870" t="s">
        <v>486</v>
      </c>
      <c r="F54" s="868">
        <v>43655</v>
      </c>
      <c r="G54" s="868">
        <v>43677</v>
      </c>
      <c r="H54" s="869" t="s">
        <v>33</v>
      </c>
      <c r="I54" s="869">
        <v>12</v>
      </c>
      <c r="J54" s="869" t="s">
        <v>4</v>
      </c>
      <c r="K54" s="12" t="s">
        <v>46</v>
      </c>
      <c r="L54" s="870" t="s">
        <v>2189</v>
      </c>
      <c r="M54" s="870" t="s">
        <v>2188</v>
      </c>
      <c r="N54" s="18"/>
      <c r="O54" s="18"/>
    </row>
    <row r="55" spans="1:15" ht="20.05" customHeight="1" x14ac:dyDescent="0.25">
      <c r="A55" s="1203"/>
      <c r="B55" s="1164" t="s">
        <v>51</v>
      </c>
      <c r="C55" s="1164" t="s">
        <v>52</v>
      </c>
      <c r="D55" s="1159">
        <v>26075082</v>
      </c>
      <c r="E55" s="1135" t="s">
        <v>617</v>
      </c>
      <c r="F55" s="329">
        <v>43621</v>
      </c>
      <c r="G55" s="329">
        <v>43646</v>
      </c>
      <c r="H55" s="583" t="s">
        <v>686</v>
      </c>
      <c r="I55" s="583"/>
      <c r="J55" s="583" t="s">
        <v>215</v>
      </c>
      <c r="K55" s="12" t="s">
        <v>129</v>
      </c>
      <c r="L55" s="870">
        <v>7778385</v>
      </c>
      <c r="M55" s="870" t="s">
        <v>272</v>
      </c>
      <c r="N55" s="18"/>
      <c r="O55" s="18"/>
    </row>
    <row r="56" spans="1:15" ht="20.05" customHeight="1" x14ac:dyDescent="0.25">
      <c r="A56" s="1203"/>
      <c r="B56" s="1164"/>
      <c r="C56" s="1164"/>
      <c r="D56" s="1159"/>
      <c r="E56" s="1135"/>
      <c r="F56" s="868">
        <v>43651</v>
      </c>
      <c r="G56" s="868">
        <v>43676</v>
      </c>
      <c r="H56" s="869" t="s">
        <v>33</v>
      </c>
      <c r="I56" s="869">
        <v>12</v>
      </c>
      <c r="J56" s="869" t="s">
        <v>4</v>
      </c>
      <c r="K56" s="12" t="s">
        <v>48</v>
      </c>
      <c r="L56" s="870">
        <v>7778385</v>
      </c>
      <c r="M56" s="870" t="s">
        <v>236</v>
      </c>
      <c r="N56" s="18"/>
      <c r="O56" s="18"/>
    </row>
    <row r="57" spans="1:15" ht="20.05" customHeight="1" x14ac:dyDescent="0.25">
      <c r="A57" s="1203"/>
      <c r="B57" s="874" t="s">
        <v>752</v>
      </c>
      <c r="C57" s="874" t="s">
        <v>753</v>
      </c>
      <c r="D57" s="578">
        <v>6638982</v>
      </c>
      <c r="E57" s="870" t="s">
        <v>530</v>
      </c>
      <c r="F57" s="868">
        <v>43651</v>
      </c>
      <c r="G57" s="868">
        <v>43676</v>
      </c>
      <c r="H57" s="700" t="s">
        <v>33</v>
      </c>
      <c r="I57" s="700">
        <v>12</v>
      </c>
      <c r="J57" s="700" t="s">
        <v>4</v>
      </c>
      <c r="K57" s="12" t="s">
        <v>48</v>
      </c>
      <c r="L57" s="870">
        <v>3002628025</v>
      </c>
      <c r="M57" s="300" t="s">
        <v>771</v>
      </c>
      <c r="N57" s="18"/>
      <c r="O57" s="18"/>
    </row>
    <row r="58" spans="1:15" ht="20.05" customHeight="1" x14ac:dyDescent="0.25">
      <c r="A58" s="1203"/>
      <c r="B58" s="1135" t="s">
        <v>1488</v>
      </c>
      <c r="C58" s="1135" t="s">
        <v>2433</v>
      </c>
      <c r="D58" s="1159">
        <v>1555519</v>
      </c>
      <c r="E58" s="1135" t="s">
        <v>480</v>
      </c>
      <c r="F58" s="1132">
        <v>43658</v>
      </c>
      <c r="G58" s="1128">
        <v>43676</v>
      </c>
      <c r="H58" s="1179" t="s">
        <v>1016</v>
      </c>
      <c r="I58" s="700">
        <v>20</v>
      </c>
      <c r="J58" s="700" t="s">
        <v>5</v>
      </c>
      <c r="K58" s="12" t="s">
        <v>46</v>
      </c>
      <c r="L58" s="1135" t="s">
        <v>2434</v>
      </c>
      <c r="M58" s="1134" t="s">
        <v>2435</v>
      </c>
      <c r="N58" s="18"/>
      <c r="O58" s="18"/>
    </row>
    <row r="59" spans="1:15" ht="20.05" customHeight="1" x14ac:dyDescent="0.25">
      <c r="A59" s="1203"/>
      <c r="B59" s="1135"/>
      <c r="C59" s="1135"/>
      <c r="D59" s="1159"/>
      <c r="E59" s="1135"/>
      <c r="F59" s="1132"/>
      <c r="G59" s="1128"/>
      <c r="H59" s="1179"/>
      <c r="I59" s="700">
        <v>20</v>
      </c>
      <c r="J59" s="700" t="s">
        <v>4</v>
      </c>
      <c r="K59" s="12" t="s">
        <v>46</v>
      </c>
      <c r="L59" s="1135"/>
      <c r="M59" s="1134"/>
      <c r="N59" s="18"/>
      <c r="O59" s="18"/>
    </row>
    <row r="60" spans="1:15" ht="20.05" customHeight="1" x14ac:dyDescent="0.25">
      <c r="A60" s="1203"/>
      <c r="B60" s="874" t="s">
        <v>1814</v>
      </c>
      <c r="C60" s="874" t="s">
        <v>1815</v>
      </c>
      <c r="D60" s="578">
        <v>30040148</v>
      </c>
      <c r="E60" s="870" t="s">
        <v>481</v>
      </c>
      <c r="F60" s="868">
        <v>43655</v>
      </c>
      <c r="G60" s="868">
        <v>43677</v>
      </c>
      <c r="H60" s="869" t="s">
        <v>33</v>
      </c>
      <c r="I60" s="869">
        <v>12</v>
      </c>
      <c r="J60" s="869" t="s">
        <v>4</v>
      </c>
      <c r="K60" s="12" t="s">
        <v>46</v>
      </c>
      <c r="L60" s="870">
        <v>3128787332</v>
      </c>
      <c r="M60" s="300" t="s">
        <v>1816</v>
      </c>
      <c r="N60" s="18"/>
      <c r="O60" s="18"/>
    </row>
    <row r="61" spans="1:15" ht="20.05" customHeight="1" x14ac:dyDescent="0.25">
      <c r="A61" s="1203"/>
      <c r="B61" s="874" t="s">
        <v>997</v>
      </c>
      <c r="C61" s="874" t="s">
        <v>1817</v>
      </c>
      <c r="D61" s="578">
        <v>78761435</v>
      </c>
      <c r="E61" s="870" t="s">
        <v>493</v>
      </c>
      <c r="F61" s="868">
        <v>43655</v>
      </c>
      <c r="G61" s="868">
        <v>43677</v>
      </c>
      <c r="H61" s="869" t="s">
        <v>33</v>
      </c>
      <c r="I61" s="869">
        <v>12</v>
      </c>
      <c r="J61" s="869" t="s">
        <v>4</v>
      </c>
      <c r="K61" s="12" t="s">
        <v>46</v>
      </c>
      <c r="L61" s="870">
        <v>3042090457</v>
      </c>
      <c r="M61" s="300" t="s">
        <v>1818</v>
      </c>
      <c r="N61" s="18"/>
      <c r="O61" s="18"/>
    </row>
    <row r="62" spans="1:15" ht="20.05" customHeight="1" x14ac:dyDescent="0.25">
      <c r="A62" s="1203"/>
      <c r="B62" s="874" t="s">
        <v>229</v>
      </c>
      <c r="C62" s="874" t="s">
        <v>230</v>
      </c>
      <c r="D62" s="578">
        <v>1545837</v>
      </c>
      <c r="E62" s="870" t="s">
        <v>616</v>
      </c>
      <c r="F62" s="868">
        <v>43651</v>
      </c>
      <c r="G62" s="868">
        <v>43676</v>
      </c>
      <c r="H62" s="869" t="s">
        <v>33</v>
      </c>
      <c r="I62" s="869">
        <v>12</v>
      </c>
      <c r="J62" s="869" t="s">
        <v>215</v>
      </c>
      <c r="K62" s="12" t="s">
        <v>129</v>
      </c>
      <c r="L62" s="870">
        <v>3006314857</v>
      </c>
      <c r="M62" s="870" t="s">
        <v>231</v>
      </c>
      <c r="N62" s="18"/>
      <c r="O62" s="18"/>
    </row>
    <row r="63" spans="1:15" ht="20.05" customHeight="1" x14ac:dyDescent="0.25">
      <c r="A63" s="1203"/>
      <c r="B63" s="719" t="s">
        <v>454</v>
      </c>
      <c r="C63" s="719" t="s">
        <v>455</v>
      </c>
      <c r="D63" s="720">
        <v>26043116</v>
      </c>
      <c r="E63" s="871" t="s">
        <v>491</v>
      </c>
      <c r="F63" s="536">
        <v>43592</v>
      </c>
      <c r="G63" s="536">
        <v>43615</v>
      </c>
      <c r="H63" s="368" t="s">
        <v>33</v>
      </c>
      <c r="I63" s="368"/>
      <c r="J63" s="368" t="s">
        <v>4</v>
      </c>
      <c r="K63" s="12" t="s">
        <v>46</v>
      </c>
      <c r="L63" s="871">
        <v>3012214454</v>
      </c>
      <c r="M63" s="871" t="s">
        <v>456</v>
      </c>
      <c r="N63" s="1178" t="s">
        <v>1877</v>
      </c>
      <c r="O63" s="1178"/>
    </row>
    <row r="64" spans="1:15" ht="20.05" customHeight="1" x14ac:dyDescent="0.25">
      <c r="A64" s="1203"/>
      <c r="B64" s="874" t="s">
        <v>787</v>
      </c>
      <c r="C64" s="874" t="s">
        <v>788</v>
      </c>
      <c r="D64" s="578">
        <v>26066173</v>
      </c>
      <c r="E64" s="870" t="s">
        <v>587</v>
      </c>
      <c r="F64" s="868">
        <v>43655</v>
      </c>
      <c r="G64" s="868">
        <v>43676</v>
      </c>
      <c r="H64" s="869" t="s">
        <v>33</v>
      </c>
      <c r="I64" s="869">
        <v>12</v>
      </c>
      <c r="J64" s="869" t="s">
        <v>4</v>
      </c>
      <c r="K64" s="12" t="s">
        <v>48</v>
      </c>
      <c r="L64" s="71" t="s">
        <v>789</v>
      </c>
      <c r="M64" s="870" t="s">
        <v>790</v>
      </c>
      <c r="N64" s="18"/>
      <c r="O64" s="18"/>
    </row>
    <row r="65" spans="1:15" ht="20.05" customHeight="1" x14ac:dyDescent="0.25">
      <c r="A65" s="1203"/>
      <c r="B65" s="1164" t="s">
        <v>53</v>
      </c>
      <c r="C65" s="1164" t="s">
        <v>54</v>
      </c>
      <c r="D65" s="1159">
        <v>22839023</v>
      </c>
      <c r="E65" s="1150" t="s">
        <v>498</v>
      </c>
      <c r="F65" s="868">
        <v>43655</v>
      </c>
      <c r="G65" s="868">
        <v>43676</v>
      </c>
      <c r="H65" s="700" t="s">
        <v>686</v>
      </c>
      <c r="I65" s="700">
        <v>20</v>
      </c>
      <c r="J65" s="700" t="s">
        <v>215</v>
      </c>
      <c r="K65" s="12" t="s">
        <v>129</v>
      </c>
      <c r="L65" s="870">
        <v>3007858514</v>
      </c>
      <c r="M65" s="870" t="s">
        <v>234</v>
      </c>
      <c r="N65" s="1176"/>
      <c r="O65" s="18"/>
    </row>
    <row r="66" spans="1:15" ht="20.05" customHeight="1" x14ac:dyDescent="0.25">
      <c r="A66" s="1203"/>
      <c r="B66" s="1164"/>
      <c r="C66" s="1164"/>
      <c r="D66" s="1159"/>
      <c r="E66" s="1150"/>
      <c r="F66" s="868">
        <v>43651</v>
      </c>
      <c r="G66" s="868">
        <v>43676</v>
      </c>
      <c r="H66" s="869" t="s">
        <v>33</v>
      </c>
      <c r="I66" s="869">
        <v>12</v>
      </c>
      <c r="J66" s="869" t="s">
        <v>4</v>
      </c>
      <c r="K66" s="12" t="s">
        <v>46</v>
      </c>
      <c r="L66" s="870">
        <v>3007858514</v>
      </c>
      <c r="M66" s="870" t="s">
        <v>266</v>
      </c>
      <c r="N66" s="1176"/>
      <c r="O66" s="18"/>
    </row>
    <row r="67" spans="1:15" ht="20.05" customHeight="1" x14ac:dyDescent="0.25">
      <c r="A67" s="1203"/>
      <c r="B67" s="1164" t="s">
        <v>55</v>
      </c>
      <c r="C67" s="1164" t="s">
        <v>56</v>
      </c>
      <c r="D67" s="1159">
        <v>26043629</v>
      </c>
      <c r="E67" s="1135" t="s">
        <v>499</v>
      </c>
      <c r="F67" s="868">
        <v>43655</v>
      </c>
      <c r="G67" s="868">
        <v>43676</v>
      </c>
      <c r="H67" s="869" t="s">
        <v>686</v>
      </c>
      <c r="I67" s="869">
        <v>12</v>
      </c>
      <c r="J67" s="869" t="s">
        <v>8</v>
      </c>
      <c r="K67" s="12" t="s">
        <v>68</v>
      </c>
      <c r="L67" s="1135">
        <v>3008054183</v>
      </c>
      <c r="M67" s="1135" t="s">
        <v>239</v>
      </c>
      <c r="N67" s="18"/>
      <c r="O67" s="18"/>
    </row>
    <row r="68" spans="1:15" ht="20.05" customHeight="1" x14ac:dyDescent="0.25">
      <c r="A68" s="1203"/>
      <c r="B68" s="1164"/>
      <c r="C68" s="1164"/>
      <c r="D68" s="1159"/>
      <c r="E68" s="1135"/>
      <c r="F68" s="868">
        <v>43651</v>
      </c>
      <c r="G68" s="868">
        <v>43676</v>
      </c>
      <c r="H68" s="869" t="s">
        <v>33</v>
      </c>
      <c r="I68" s="869">
        <v>12</v>
      </c>
      <c r="J68" s="869" t="s">
        <v>4</v>
      </c>
      <c r="K68" s="12" t="s">
        <v>46</v>
      </c>
      <c r="L68" s="1135"/>
      <c r="M68" s="1135"/>
      <c r="N68" s="18"/>
      <c r="O68" s="18"/>
    </row>
    <row r="69" spans="1:15" ht="20.05" customHeight="1" x14ac:dyDescent="0.25">
      <c r="A69" s="1203"/>
      <c r="B69" s="1164" t="s">
        <v>2406</v>
      </c>
      <c r="C69" s="1164" t="s">
        <v>2407</v>
      </c>
      <c r="D69" s="1159">
        <v>30574859</v>
      </c>
      <c r="E69" s="1135" t="s">
        <v>530</v>
      </c>
      <c r="F69" s="868">
        <v>43671</v>
      </c>
      <c r="G69" s="868">
        <v>43702</v>
      </c>
      <c r="H69" s="869" t="s">
        <v>686</v>
      </c>
      <c r="I69" s="869">
        <v>16</v>
      </c>
      <c r="J69" s="869" t="s">
        <v>4</v>
      </c>
      <c r="K69" s="12" t="s">
        <v>46</v>
      </c>
      <c r="L69" s="1135">
        <v>3219639307</v>
      </c>
      <c r="M69" s="1135" t="s">
        <v>2408</v>
      </c>
      <c r="N69" s="1139" t="s">
        <v>560</v>
      </c>
      <c r="O69" s="929"/>
    </row>
    <row r="70" spans="1:15" ht="20.05" customHeight="1" x14ac:dyDescent="0.25">
      <c r="A70" s="1203"/>
      <c r="B70" s="1164"/>
      <c r="C70" s="1164"/>
      <c r="D70" s="1159"/>
      <c r="E70" s="1135"/>
      <c r="F70" s="972">
        <v>43671</v>
      </c>
      <c r="G70" s="868">
        <v>43702</v>
      </c>
      <c r="H70" s="869" t="s">
        <v>33</v>
      </c>
      <c r="I70" s="869">
        <v>12</v>
      </c>
      <c r="J70" s="869" t="s">
        <v>5</v>
      </c>
      <c r="K70" s="12" t="s">
        <v>46</v>
      </c>
      <c r="L70" s="1135"/>
      <c r="M70" s="1135"/>
      <c r="N70" s="1139"/>
      <c r="O70" s="18"/>
    </row>
    <row r="71" spans="1:15" ht="20.05" customHeight="1" x14ac:dyDescent="0.25">
      <c r="A71" s="1203"/>
      <c r="B71" s="1164" t="s">
        <v>57</v>
      </c>
      <c r="C71" s="1164" t="s">
        <v>58</v>
      </c>
      <c r="D71" s="1159">
        <v>22859615</v>
      </c>
      <c r="E71" s="1135" t="s">
        <v>493</v>
      </c>
      <c r="F71" s="868">
        <v>43651</v>
      </c>
      <c r="G71" s="868">
        <v>43676</v>
      </c>
      <c r="H71" s="869" t="s">
        <v>33</v>
      </c>
      <c r="I71" s="869">
        <v>12</v>
      </c>
      <c r="J71" s="869" t="s">
        <v>4</v>
      </c>
      <c r="K71" s="12" t="s">
        <v>46</v>
      </c>
      <c r="L71" s="1135">
        <v>3146017015</v>
      </c>
      <c r="M71" s="1135" t="s">
        <v>267</v>
      </c>
      <c r="N71" s="1139" t="s">
        <v>560</v>
      </c>
      <c r="O71" s="929"/>
    </row>
    <row r="72" spans="1:15" ht="20.05" customHeight="1" x14ac:dyDescent="0.25">
      <c r="A72" s="1203"/>
      <c r="B72" s="1164"/>
      <c r="C72" s="1164"/>
      <c r="D72" s="1159"/>
      <c r="E72" s="1135"/>
      <c r="F72" s="868">
        <v>43651</v>
      </c>
      <c r="G72" s="868">
        <v>43677</v>
      </c>
      <c r="H72" s="869" t="s">
        <v>686</v>
      </c>
      <c r="I72" s="869">
        <v>20</v>
      </c>
      <c r="J72" s="869" t="s">
        <v>215</v>
      </c>
      <c r="K72" s="12" t="s">
        <v>129</v>
      </c>
      <c r="L72" s="1135"/>
      <c r="M72" s="1135"/>
      <c r="N72" s="1139"/>
      <c r="O72" s="18"/>
    </row>
    <row r="73" spans="1:15" ht="20.05" customHeight="1" x14ac:dyDescent="0.25">
      <c r="A73" s="1203"/>
      <c r="B73" s="1164" t="s">
        <v>61</v>
      </c>
      <c r="C73" s="1164" t="s">
        <v>62</v>
      </c>
      <c r="D73" s="578"/>
      <c r="E73" s="1135" t="s">
        <v>490</v>
      </c>
      <c r="F73" s="868">
        <v>43651</v>
      </c>
      <c r="G73" s="868">
        <v>43677</v>
      </c>
      <c r="H73" s="869" t="s">
        <v>33</v>
      </c>
      <c r="I73" s="869">
        <v>12</v>
      </c>
      <c r="J73" s="869" t="s">
        <v>4</v>
      </c>
      <c r="K73" s="12" t="s">
        <v>46</v>
      </c>
      <c r="L73" s="1135">
        <v>3002101210</v>
      </c>
      <c r="M73" s="1135" t="s">
        <v>226</v>
      </c>
      <c r="N73" s="18"/>
      <c r="O73" s="18"/>
    </row>
    <row r="74" spans="1:15" ht="20.05" customHeight="1" x14ac:dyDescent="0.25">
      <c r="A74" s="1203"/>
      <c r="B74" s="1164"/>
      <c r="C74" s="1164"/>
      <c r="D74" s="578">
        <v>6639070</v>
      </c>
      <c r="E74" s="1135"/>
      <c r="F74" s="1128">
        <v>43655</v>
      </c>
      <c r="G74" s="1128">
        <v>43676</v>
      </c>
      <c r="H74" s="1131" t="s">
        <v>686</v>
      </c>
      <c r="I74" s="869">
        <v>20</v>
      </c>
      <c r="J74" s="869" t="s">
        <v>215</v>
      </c>
      <c r="K74" s="12" t="s">
        <v>129</v>
      </c>
      <c r="L74" s="1135"/>
      <c r="M74" s="1135"/>
      <c r="N74" s="18"/>
      <c r="O74" s="18"/>
    </row>
    <row r="75" spans="1:15" ht="20.05" customHeight="1" x14ac:dyDescent="0.25">
      <c r="A75" s="1203"/>
      <c r="B75" s="1164"/>
      <c r="C75" s="1164"/>
      <c r="D75" s="578"/>
      <c r="E75" s="1135"/>
      <c r="F75" s="1128"/>
      <c r="G75" s="1128"/>
      <c r="H75" s="1131"/>
      <c r="I75" s="869">
        <v>12</v>
      </c>
      <c r="J75" s="869" t="s">
        <v>8</v>
      </c>
      <c r="K75" s="12" t="s">
        <v>68</v>
      </c>
      <c r="L75" s="1135"/>
      <c r="M75" s="1135"/>
      <c r="N75" s="18"/>
      <c r="O75" s="18"/>
    </row>
    <row r="76" spans="1:15" ht="20.05" customHeight="1" x14ac:dyDescent="0.25">
      <c r="A76" s="1203"/>
      <c r="B76" s="874" t="s">
        <v>2166</v>
      </c>
      <c r="C76" s="874" t="s">
        <v>2167</v>
      </c>
      <c r="D76" s="578">
        <v>15045809</v>
      </c>
      <c r="E76" s="870" t="s">
        <v>2168</v>
      </c>
      <c r="F76" s="329">
        <v>43621</v>
      </c>
      <c r="G76" s="329">
        <v>43615</v>
      </c>
      <c r="H76" s="699" t="s">
        <v>686</v>
      </c>
      <c r="I76" s="699"/>
      <c r="J76" s="699" t="s">
        <v>4</v>
      </c>
      <c r="K76" s="12" t="s">
        <v>46</v>
      </c>
      <c r="L76" s="870">
        <v>3007926452</v>
      </c>
      <c r="M76" s="870" t="s">
        <v>2169</v>
      </c>
      <c r="N76" s="18"/>
      <c r="O76" s="18"/>
    </row>
    <row r="77" spans="1:15" ht="20.05" customHeight="1" x14ac:dyDescent="0.25">
      <c r="A77" s="1203"/>
      <c r="B77" s="1164" t="s">
        <v>595</v>
      </c>
      <c r="C77" s="1164" t="s">
        <v>596</v>
      </c>
      <c r="D77" s="1159">
        <v>6638667</v>
      </c>
      <c r="E77" s="1171" t="s">
        <v>597</v>
      </c>
      <c r="F77" s="868">
        <v>43655</v>
      </c>
      <c r="G77" s="868">
        <v>43677</v>
      </c>
      <c r="H77" s="869" t="s">
        <v>686</v>
      </c>
      <c r="I77" s="869">
        <v>12</v>
      </c>
      <c r="J77" s="869" t="s">
        <v>4</v>
      </c>
      <c r="K77" s="12" t="s">
        <v>129</v>
      </c>
      <c r="L77" s="870">
        <v>3187147033</v>
      </c>
      <c r="M77" s="870" t="s">
        <v>831</v>
      </c>
      <c r="N77" s="1140" t="s">
        <v>2240</v>
      </c>
      <c r="O77" s="1140"/>
    </row>
    <row r="78" spans="1:15" ht="20.05" customHeight="1" x14ac:dyDescent="0.25">
      <c r="A78" s="1203"/>
      <c r="B78" s="1164"/>
      <c r="C78" s="1164"/>
      <c r="D78" s="1159"/>
      <c r="E78" s="1171"/>
      <c r="F78" s="868">
        <v>43651</v>
      </c>
      <c r="G78" s="868">
        <v>43677</v>
      </c>
      <c r="H78" s="869" t="s">
        <v>33</v>
      </c>
      <c r="I78" s="869">
        <v>12</v>
      </c>
      <c r="J78" s="869" t="s">
        <v>4</v>
      </c>
      <c r="K78" s="12" t="s">
        <v>46</v>
      </c>
      <c r="L78" s="870">
        <v>3187147033</v>
      </c>
      <c r="M78" s="870" t="s">
        <v>598</v>
      </c>
      <c r="N78" s="18"/>
      <c r="O78" s="18"/>
    </row>
    <row r="79" spans="1:15" ht="25.15" customHeight="1" x14ac:dyDescent="0.25">
      <c r="A79" s="1203"/>
      <c r="B79" s="874" t="s">
        <v>1974</v>
      </c>
      <c r="C79" s="874" t="s">
        <v>1975</v>
      </c>
      <c r="D79" s="578">
        <v>73142881</v>
      </c>
      <c r="E79" s="71" t="s">
        <v>1976</v>
      </c>
      <c r="F79" s="868">
        <v>43655</v>
      </c>
      <c r="G79" s="868">
        <v>43677</v>
      </c>
      <c r="H79" s="869" t="s">
        <v>33</v>
      </c>
      <c r="I79" s="869">
        <v>12</v>
      </c>
      <c r="J79" s="869" t="s">
        <v>4</v>
      </c>
      <c r="K79" s="12" t="s">
        <v>46</v>
      </c>
      <c r="L79" s="870">
        <v>3135260066</v>
      </c>
      <c r="M79" s="870" t="s">
        <v>1977</v>
      </c>
      <c r="N79" s="18"/>
      <c r="O79" s="18"/>
    </row>
    <row r="80" spans="1:15" ht="20.05" customHeight="1" x14ac:dyDescent="0.25">
      <c r="A80" s="1203"/>
      <c r="B80" s="874" t="s">
        <v>1275</v>
      </c>
      <c r="C80" s="874" t="s">
        <v>47</v>
      </c>
      <c r="D80" s="578">
        <v>1069472211</v>
      </c>
      <c r="E80" s="71" t="s">
        <v>1276</v>
      </c>
      <c r="F80" s="868">
        <v>43651</v>
      </c>
      <c r="G80" s="868">
        <v>43676</v>
      </c>
      <c r="H80" s="869" t="s">
        <v>33</v>
      </c>
      <c r="I80" s="869">
        <v>12</v>
      </c>
      <c r="J80" s="869" t="s">
        <v>4</v>
      </c>
      <c r="K80" s="12" t="s">
        <v>48</v>
      </c>
      <c r="L80" s="870">
        <v>3017606406</v>
      </c>
      <c r="M80" s="870" t="s">
        <v>1277</v>
      </c>
      <c r="N80" s="18"/>
      <c r="O80" s="18"/>
    </row>
    <row r="81" spans="1:15" ht="20.05" customHeight="1" x14ac:dyDescent="0.25">
      <c r="A81" s="1203"/>
      <c r="B81" s="874" t="s">
        <v>1887</v>
      </c>
      <c r="C81" s="874" t="s">
        <v>1888</v>
      </c>
      <c r="D81" s="578">
        <v>1043297373</v>
      </c>
      <c r="E81" s="71" t="s">
        <v>676</v>
      </c>
      <c r="F81" s="868">
        <v>43651</v>
      </c>
      <c r="G81" s="868">
        <v>43676</v>
      </c>
      <c r="H81" s="869" t="s">
        <v>33</v>
      </c>
      <c r="I81" s="869">
        <v>12</v>
      </c>
      <c r="J81" s="869" t="s">
        <v>4</v>
      </c>
      <c r="K81" s="12" t="s">
        <v>48</v>
      </c>
      <c r="L81" s="870">
        <v>3014328347</v>
      </c>
      <c r="M81" s="870" t="s">
        <v>1889</v>
      </c>
      <c r="N81" s="18"/>
      <c r="O81" s="18"/>
    </row>
    <row r="82" spans="1:15" ht="20.05" customHeight="1" x14ac:dyDescent="0.25">
      <c r="A82" s="1203"/>
      <c r="B82" s="874" t="s">
        <v>723</v>
      </c>
      <c r="C82" s="874" t="s">
        <v>724</v>
      </c>
      <c r="D82" s="578">
        <v>15036413</v>
      </c>
      <c r="E82" s="71" t="s">
        <v>515</v>
      </c>
      <c r="F82" s="536">
        <v>43592</v>
      </c>
      <c r="G82" s="536">
        <v>43615</v>
      </c>
      <c r="H82" s="715" t="s">
        <v>33</v>
      </c>
      <c r="I82" s="715"/>
      <c r="J82" s="715" t="s">
        <v>4</v>
      </c>
      <c r="K82" s="12" t="s">
        <v>46</v>
      </c>
      <c r="L82" s="870">
        <v>3126107679</v>
      </c>
      <c r="M82" s="870" t="s">
        <v>725</v>
      </c>
      <c r="N82" s="18"/>
      <c r="O82" s="18"/>
    </row>
    <row r="83" spans="1:15" ht="20.05" customHeight="1" x14ac:dyDescent="0.25">
      <c r="A83" s="1203"/>
      <c r="B83" s="874" t="s">
        <v>1260</v>
      </c>
      <c r="C83" s="874" t="s">
        <v>1261</v>
      </c>
      <c r="D83" s="578">
        <v>32730039</v>
      </c>
      <c r="E83" s="71" t="s">
        <v>1262</v>
      </c>
      <c r="F83" s="868">
        <v>43651</v>
      </c>
      <c r="G83" s="868">
        <v>43676</v>
      </c>
      <c r="H83" s="869" t="s">
        <v>33</v>
      </c>
      <c r="I83" s="869">
        <v>12</v>
      </c>
      <c r="J83" s="869" t="s">
        <v>4</v>
      </c>
      <c r="K83" s="12" t="s">
        <v>46</v>
      </c>
      <c r="L83" s="870">
        <v>3116830390</v>
      </c>
      <c r="M83" s="71" t="s">
        <v>1263</v>
      </c>
      <c r="N83" s="171"/>
      <c r="O83" s="171"/>
    </row>
    <row r="84" spans="1:15" s="905" customFormat="1" ht="24.45" customHeight="1" x14ac:dyDescent="0.25">
      <c r="A84" s="1203"/>
      <c r="B84" s="907" t="s">
        <v>1943</v>
      </c>
      <c r="C84" s="907" t="s">
        <v>1944</v>
      </c>
      <c r="D84" s="906">
        <v>25890380</v>
      </c>
      <c r="E84" s="904"/>
      <c r="F84" s="903">
        <v>43651</v>
      </c>
      <c r="G84" s="903">
        <v>43676</v>
      </c>
      <c r="H84" s="902" t="s">
        <v>33</v>
      </c>
      <c r="I84" s="902"/>
      <c r="J84" s="902" t="s">
        <v>4</v>
      </c>
      <c r="K84" s="902" t="s">
        <v>46</v>
      </c>
      <c r="L84" s="902">
        <v>3043441203</v>
      </c>
      <c r="M84" s="904" t="s">
        <v>1945</v>
      </c>
      <c r="N84" s="1141" t="s">
        <v>2618</v>
      </c>
      <c r="O84" s="1141"/>
    </row>
    <row r="85" spans="1:15" ht="20.05" customHeight="1" x14ac:dyDescent="0.25">
      <c r="A85" s="1203"/>
      <c r="B85" s="874" t="s">
        <v>827</v>
      </c>
      <c r="C85" s="874" t="s">
        <v>828</v>
      </c>
      <c r="D85" s="578">
        <v>1564765</v>
      </c>
      <c r="E85" s="71" t="s">
        <v>829</v>
      </c>
      <c r="F85" s="868">
        <v>43651</v>
      </c>
      <c r="G85" s="868">
        <v>43676</v>
      </c>
      <c r="H85" s="869" t="s">
        <v>33</v>
      </c>
      <c r="I85" s="869">
        <v>12</v>
      </c>
      <c r="J85" s="869" t="s">
        <v>4</v>
      </c>
      <c r="K85" s="12" t="s">
        <v>46</v>
      </c>
      <c r="L85" s="870">
        <v>3168398130</v>
      </c>
      <c r="M85" s="870" t="s">
        <v>830</v>
      </c>
      <c r="N85" s="18"/>
      <c r="O85" s="18"/>
    </row>
    <row r="86" spans="1:15" ht="20.05" customHeight="1" x14ac:dyDescent="0.25">
      <c r="A86" s="1203"/>
      <c r="B86" s="874" t="s">
        <v>679</v>
      </c>
      <c r="C86" s="874" t="s">
        <v>680</v>
      </c>
      <c r="D86" s="578">
        <v>3870651</v>
      </c>
      <c r="E86" s="71" t="s">
        <v>587</v>
      </c>
      <c r="F86" s="536"/>
      <c r="G86" s="536"/>
      <c r="K86" s="12" t="s">
        <v>46</v>
      </c>
      <c r="L86" s="870">
        <v>3107083190</v>
      </c>
      <c r="M86" s="870" t="s">
        <v>681</v>
      </c>
      <c r="N86" s="18"/>
      <c r="O86" s="18"/>
    </row>
    <row r="87" spans="1:15" ht="20.05" customHeight="1" x14ac:dyDescent="0.25">
      <c r="A87" s="1203"/>
      <c r="B87" s="874" t="s">
        <v>585</v>
      </c>
      <c r="C87" s="874" t="s">
        <v>586</v>
      </c>
      <c r="D87" s="578">
        <v>26041064</v>
      </c>
      <c r="E87" s="870" t="s">
        <v>587</v>
      </c>
      <c r="F87" s="868">
        <v>43651</v>
      </c>
      <c r="G87" s="868">
        <v>43676</v>
      </c>
      <c r="H87" s="869" t="s">
        <v>33</v>
      </c>
      <c r="I87" s="869">
        <v>12</v>
      </c>
      <c r="J87" s="869" t="s">
        <v>4</v>
      </c>
      <c r="K87" s="12" t="s">
        <v>48</v>
      </c>
      <c r="L87" s="870">
        <v>3103611868</v>
      </c>
      <c r="M87" s="870" t="s">
        <v>588</v>
      </c>
      <c r="N87" s="18"/>
      <c r="O87" s="18"/>
    </row>
    <row r="88" spans="1:15" ht="20.05" customHeight="1" x14ac:dyDescent="0.25">
      <c r="A88" s="1203"/>
      <c r="B88" s="874" t="s">
        <v>1240</v>
      </c>
      <c r="C88" s="874" t="s">
        <v>1241</v>
      </c>
      <c r="D88" s="578">
        <v>1565386</v>
      </c>
      <c r="E88" s="870" t="s">
        <v>481</v>
      </c>
      <c r="F88" s="868">
        <v>43658</v>
      </c>
      <c r="G88" s="868">
        <v>43676</v>
      </c>
      <c r="H88" s="869" t="s">
        <v>33</v>
      </c>
      <c r="I88" s="869">
        <v>12</v>
      </c>
      <c r="J88" s="869" t="s">
        <v>4</v>
      </c>
      <c r="K88" s="12" t="s">
        <v>46</v>
      </c>
      <c r="L88" s="870">
        <v>3052921710</v>
      </c>
      <c r="M88" s="870" t="s">
        <v>1242</v>
      </c>
      <c r="N88" s="18"/>
      <c r="O88" s="18"/>
    </row>
    <row r="89" spans="1:15" ht="20.05" customHeight="1" x14ac:dyDescent="0.25">
      <c r="A89" s="1203"/>
      <c r="B89" s="1164" t="s">
        <v>63</v>
      </c>
      <c r="C89" s="1164" t="s">
        <v>64</v>
      </c>
      <c r="D89" s="578"/>
      <c r="E89" s="1135" t="s">
        <v>530</v>
      </c>
      <c r="F89" s="868">
        <v>43651</v>
      </c>
      <c r="G89" s="868">
        <v>43676</v>
      </c>
      <c r="H89" s="869" t="s">
        <v>33</v>
      </c>
      <c r="I89" s="869">
        <v>12</v>
      </c>
      <c r="J89" s="869" t="s">
        <v>4</v>
      </c>
      <c r="K89" s="12" t="s">
        <v>46</v>
      </c>
      <c r="L89" s="1135">
        <v>3012411824</v>
      </c>
      <c r="M89" s="1135" t="s">
        <v>620</v>
      </c>
      <c r="N89" s="1134"/>
      <c r="O89" s="18"/>
    </row>
    <row r="90" spans="1:15" ht="20.05" customHeight="1" x14ac:dyDescent="0.25">
      <c r="A90" s="1203"/>
      <c r="B90" s="1164"/>
      <c r="C90" s="1164"/>
      <c r="D90" s="578"/>
      <c r="E90" s="1135"/>
      <c r="F90" s="1128">
        <v>43655</v>
      </c>
      <c r="G90" s="1128">
        <v>43676</v>
      </c>
      <c r="H90" s="1131" t="s">
        <v>686</v>
      </c>
      <c r="I90" s="869">
        <v>20</v>
      </c>
      <c r="J90" s="869" t="s">
        <v>215</v>
      </c>
      <c r="K90" s="12" t="s">
        <v>129</v>
      </c>
      <c r="L90" s="1135"/>
      <c r="M90" s="1135"/>
      <c r="N90" s="1134"/>
      <c r="O90" s="18"/>
    </row>
    <row r="91" spans="1:15" ht="20.05" customHeight="1" x14ac:dyDescent="0.25">
      <c r="A91" s="1203"/>
      <c r="B91" s="1164"/>
      <c r="C91" s="1164"/>
      <c r="D91" s="578">
        <v>26045596</v>
      </c>
      <c r="E91" s="1135"/>
      <c r="F91" s="1128"/>
      <c r="G91" s="1128"/>
      <c r="H91" s="1131"/>
      <c r="I91" s="869">
        <v>16</v>
      </c>
      <c r="J91" s="869" t="s">
        <v>8</v>
      </c>
      <c r="K91" s="12" t="s">
        <v>68</v>
      </c>
      <c r="L91" s="1135"/>
      <c r="M91" s="1135"/>
      <c r="N91" s="1134"/>
      <c r="O91" s="18"/>
    </row>
    <row r="92" spans="1:15" ht="20.05" customHeight="1" x14ac:dyDescent="0.25">
      <c r="A92" s="1203"/>
      <c r="B92" s="874" t="s">
        <v>451</v>
      </c>
      <c r="C92" s="874" t="s">
        <v>452</v>
      </c>
      <c r="D92" s="578">
        <v>26044308</v>
      </c>
      <c r="E92" s="870" t="s">
        <v>486</v>
      </c>
      <c r="F92" s="868">
        <v>43651</v>
      </c>
      <c r="G92" s="868">
        <v>43676</v>
      </c>
      <c r="H92" s="869" t="s">
        <v>33</v>
      </c>
      <c r="I92" s="869">
        <v>12</v>
      </c>
      <c r="J92" s="869" t="s">
        <v>4</v>
      </c>
      <c r="K92" s="12" t="s">
        <v>46</v>
      </c>
      <c r="L92" s="870">
        <v>3123045347</v>
      </c>
      <c r="M92" s="870" t="s">
        <v>453</v>
      </c>
      <c r="N92" s="18"/>
      <c r="O92" s="18"/>
    </row>
    <row r="93" spans="1:15" ht="20.05" customHeight="1" x14ac:dyDescent="0.25">
      <c r="A93" s="1203"/>
      <c r="B93" s="874" t="s">
        <v>66</v>
      </c>
      <c r="C93" s="874" t="s">
        <v>67</v>
      </c>
      <c r="D93" s="922">
        <v>1003504175</v>
      </c>
      <c r="E93" s="870" t="s">
        <v>618</v>
      </c>
      <c r="F93" s="868">
        <v>43651</v>
      </c>
      <c r="G93" s="868">
        <v>43676</v>
      </c>
      <c r="H93" s="869" t="s">
        <v>33</v>
      </c>
      <c r="I93" s="869">
        <v>12</v>
      </c>
      <c r="J93" s="869" t="s">
        <v>8</v>
      </c>
      <c r="K93" s="12" t="s">
        <v>68</v>
      </c>
      <c r="L93" s="870">
        <v>3107361726</v>
      </c>
      <c r="M93" s="870" t="s">
        <v>275</v>
      </c>
      <c r="N93" s="18"/>
      <c r="O93" s="18"/>
    </row>
    <row r="94" spans="1:15" ht="20.05" customHeight="1" x14ac:dyDescent="0.25">
      <c r="A94" s="1203"/>
      <c r="B94" s="1164" t="s">
        <v>203</v>
      </c>
      <c r="C94" s="1164" t="s">
        <v>204</v>
      </c>
      <c r="D94" s="578"/>
      <c r="E94" s="1135" t="s">
        <v>493</v>
      </c>
      <c r="F94" s="868">
        <v>43651</v>
      </c>
      <c r="G94" s="868">
        <v>43676</v>
      </c>
      <c r="H94" s="869" t="s">
        <v>33</v>
      </c>
      <c r="I94" s="869">
        <v>12</v>
      </c>
      <c r="J94" s="869" t="s">
        <v>215</v>
      </c>
      <c r="K94" s="12" t="s">
        <v>129</v>
      </c>
      <c r="L94" s="1135">
        <v>3017673247</v>
      </c>
      <c r="M94" s="1135" t="s">
        <v>268</v>
      </c>
      <c r="N94" s="18"/>
      <c r="O94" s="18"/>
    </row>
    <row r="95" spans="1:15" ht="20.05" customHeight="1" x14ac:dyDescent="0.25">
      <c r="A95" s="1203"/>
      <c r="B95" s="1164"/>
      <c r="C95" s="1164"/>
      <c r="D95" s="578">
        <v>15035104</v>
      </c>
      <c r="E95" s="1135"/>
      <c r="F95" s="1128">
        <v>43655</v>
      </c>
      <c r="G95" s="1128">
        <v>43676</v>
      </c>
      <c r="H95" s="1131" t="s">
        <v>686</v>
      </c>
      <c r="I95" s="869">
        <v>12</v>
      </c>
      <c r="J95" s="869" t="s">
        <v>8</v>
      </c>
      <c r="K95" s="12" t="s">
        <v>68</v>
      </c>
      <c r="L95" s="1135"/>
      <c r="M95" s="1135"/>
      <c r="N95" s="18"/>
      <c r="O95" s="18"/>
    </row>
    <row r="96" spans="1:15" ht="20.05" customHeight="1" x14ac:dyDescent="0.25">
      <c r="A96" s="1203"/>
      <c r="B96" s="1164"/>
      <c r="C96" s="1164"/>
      <c r="D96" s="578"/>
      <c r="E96" s="1135"/>
      <c r="F96" s="1128"/>
      <c r="G96" s="1128"/>
      <c r="H96" s="1131"/>
      <c r="I96" s="869">
        <v>12</v>
      </c>
      <c r="J96" s="869" t="s">
        <v>215</v>
      </c>
      <c r="K96" s="12" t="s">
        <v>129</v>
      </c>
      <c r="L96" s="1135"/>
      <c r="M96" s="1135"/>
      <c r="N96" s="18"/>
      <c r="O96" s="18"/>
    </row>
    <row r="97" spans="1:15" ht="20.05" customHeight="1" x14ac:dyDescent="0.25">
      <c r="A97" s="1203"/>
      <c r="B97" s="1135" t="s">
        <v>69</v>
      </c>
      <c r="C97" s="1135" t="s">
        <v>334</v>
      </c>
      <c r="D97" s="1159">
        <v>28183374</v>
      </c>
      <c r="E97" s="1134" t="s">
        <v>500</v>
      </c>
      <c r="F97" s="868">
        <v>43655</v>
      </c>
      <c r="G97" s="868">
        <v>43676</v>
      </c>
      <c r="H97" s="869" t="s">
        <v>686</v>
      </c>
      <c r="I97" s="869">
        <v>12</v>
      </c>
      <c r="J97" s="869" t="s">
        <v>215</v>
      </c>
      <c r="K97" s="12" t="s">
        <v>129</v>
      </c>
      <c r="L97" s="1135">
        <v>3012874416</v>
      </c>
      <c r="M97" s="1135" t="s">
        <v>1886</v>
      </c>
      <c r="N97" s="18"/>
      <c r="O97" s="18"/>
    </row>
    <row r="98" spans="1:15" ht="20.05" customHeight="1" x14ac:dyDescent="0.25">
      <c r="A98" s="1203"/>
      <c r="B98" s="1135"/>
      <c r="C98" s="1135"/>
      <c r="D98" s="1159"/>
      <c r="E98" s="1134"/>
      <c r="F98" s="868">
        <v>43651</v>
      </c>
      <c r="G98" s="868">
        <v>43676</v>
      </c>
      <c r="H98" s="869" t="s">
        <v>33</v>
      </c>
      <c r="I98" s="869">
        <v>12</v>
      </c>
      <c r="J98" s="869" t="s">
        <v>4</v>
      </c>
      <c r="K98" s="12" t="s">
        <v>46</v>
      </c>
      <c r="L98" s="1135"/>
      <c r="M98" s="1135"/>
      <c r="N98" s="18"/>
      <c r="O98" s="18"/>
    </row>
    <row r="99" spans="1:15" ht="20.05" customHeight="1" x14ac:dyDescent="0.25">
      <c r="A99" s="1203"/>
      <c r="B99" s="1168" t="s">
        <v>70</v>
      </c>
      <c r="C99" s="1168" t="s">
        <v>71</v>
      </c>
      <c r="D99" s="720"/>
      <c r="E99" s="1133" t="s">
        <v>820</v>
      </c>
      <c r="F99" s="868">
        <v>43655</v>
      </c>
      <c r="G99" s="868">
        <v>43677</v>
      </c>
      <c r="H99" s="869" t="s">
        <v>33</v>
      </c>
      <c r="I99" s="869">
        <v>12</v>
      </c>
      <c r="J99" s="869" t="s">
        <v>4</v>
      </c>
      <c r="K99" s="12" t="s">
        <v>48</v>
      </c>
      <c r="L99" s="1133">
        <v>3017000093</v>
      </c>
      <c r="M99" s="1133" t="s">
        <v>270</v>
      </c>
      <c r="N99" s="1137" t="s">
        <v>2087</v>
      </c>
      <c r="O99" s="909"/>
    </row>
    <row r="100" spans="1:15" ht="20.05" customHeight="1" x14ac:dyDescent="0.25">
      <c r="A100" s="1203"/>
      <c r="B100" s="1168"/>
      <c r="C100" s="1168"/>
      <c r="D100" s="720"/>
      <c r="E100" s="1133"/>
      <c r="F100" s="1128">
        <v>43655</v>
      </c>
      <c r="G100" s="1128">
        <v>43676</v>
      </c>
      <c r="H100" s="1131" t="s">
        <v>686</v>
      </c>
      <c r="I100" s="869">
        <v>20</v>
      </c>
      <c r="J100" s="869" t="s">
        <v>215</v>
      </c>
      <c r="K100" s="12" t="s">
        <v>129</v>
      </c>
      <c r="L100" s="1133"/>
      <c r="M100" s="1133"/>
      <c r="N100" s="1137"/>
      <c r="O100" s="909"/>
    </row>
    <row r="101" spans="1:15" ht="20.05" customHeight="1" x14ac:dyDescent="0.25">
      <c r="A101" s="1203"/>
      <c r="B101" s="1168"/>
      <c r="C101" s="1168"/>
      <c r="D101" s="720">
        <v>15042891</v>
      </c>
      <c r="E101" s="1133"/>
      <c r="F101" s="1128"/>
      <c r="G101" s="1128"/>
      <c r="H101" s="1131"/>
      <c r="I101" s="869">
        <v>16</v>
      </c>
      <c r="J101" s="869" t="s">
        <v>8</v>
      </c>
      <c r="K101" s="12" t="s">
        <v>68</v>
      </c>
      <c r="L101" s="1133"/>
      <c r="M101" s="1133"/>
      <c r="N101" s="1137"/>
      <c r="O101" s="909"/>
    </row>
    <row r="102" spans="1:15" ht="24.45" customHeight="1" x14ac:dyDescent="0.25">
      <c r="A102" s="1204"/>
      <c r="B102" s="874" t="s">
        <v>205</v>
      </c>
      <c r="C102" s="931" t="s">
        <v>206</v>
      </c>
      <c r="D102" s="578">
        <v>53514</v>
      </c>
      <c r="E102" s="870" t="s">
        <v>524</v>
      </c>
      <c r="F102" s="868">
        <v>43651</v>
      </c>
      <c r="G102" s="868">
        <v>43676</v>
      </c>
      <c r="H102" s="869" t="s">
        <v>33</v>
      </c>
      <c r="I102" s="869">
        <v>12</v>
      </c>
      <c r="J102" s="869" t="s">
        <v>215</v>
      </c>
      <c r="K102" s="12" t="s">
        <v>129</v>
      </c>
      <c r="L102" s="870">
        <v>3162225917</v>
      </c>
      <c r="M102" s="870" t="s">
        <v>273</v>
      </c>
      <c r="N102" s="18"/>
      <c r="O102" s="18"/>
    </row>
    <row r="103" spans="1:15" ht="20.05" customHeight="1" x14ac:dyDescent="0.25">
      <c r="A103" s="1167" t="s">
        <v>24</v>
      </c>
      <c r="B103" s="894" t="s">
        <v>127</v>
      </c>
      <c r="C103" s="894" t="s">
        <v>128</v>
      </c>
      <c r="D103" s="101">
        <v>6618729</v>
      </c>
      <c r="E103" s="893" t="s">
        <v>486</v>
      </c>
      <c r="F103" s="329">
        <v>43621</v>
      </c>
      <c r="G103" s="329">
        <v>43646</v>
      </c>
      <c r="H103" s="699" t="s">
        <v>686</v>
      </c>
      <c r="I103" s="699"/>
      <c r="J103" s="699" t="s">
        <v>215</v>
      </c>
      <c r="K103" s="12" t="s">
        <v>129</v>
      </c>
      <c r="L103" s="893">
        <v>3215473774</v>
      </c>
      <c r="M103" s="893" t="s">
        <v>249</v>
      </c>
      <c r="N103" s="15"/>
      <c r="O103" s="15"/>
    </row>
    <row r="104" spans="1:15" ht="20.05" customHeight="1" x14ac:dyDescent="0.25">
      <c r="A104" s="1167"/>
      <c r="B104" s="894" t="s">
        <v>289</v>
      </c>
      <c r="C104" s="894" t="s">
        <v>1868</v>
      </c>
      <c r="D104" s="932">
        <v>25910937</v>
      </c>
      <c r="E104" s="893" t="s">
        <v>486</v>
      </c>
      <c r="F104" s="868">
        <v>43651</v>
      </c>
      <c r="G104" s="868">
        <v>43676</v>
      </c>
      <c r="H104" s="869" t="s">
        <v>33</v>
      </c>
      <c r="I104" s="869">
        <v>12</v>
      </c>
      <c r="J104" s="869" t="s">
        <v>4</v>
      </c>
      <c r="K104" s="12" t="s">
        <v>126</v>
      </c>
      <c r="L104" s="893">
        <v>3014889526</v>
      </c>
      <c r="M104" s="893" t="s">
        <v>290</v>
      </c>
      <c r="N104" s="15"/>
      <c r="O104" s="15"/>
    </row>
    <row r="105" spans="1:15" ht="20.05" customHeight="1" x14ac:dyDescent="0.25">
      <c r="A105" s="1167"/>
      <c r="B105" s="1155" t="s">
        <v>208</v>
      </c>
      <c r="C105" s="1155" t="s">
        <v>545</v>
      </c>
      <c r="D105" s="1157">
        <v>25910625</v>
      </c>
      <c r="E105" s="1149" t="s">
        <v>1036</v>
      </c>
      <c r="F105" s="868">
        <v>43655</v>
      </c>
      <c r="G105" s="868">
        <v>43676</v>
      </c>
      <c r="H105" s="869" t="s">
        <v>686</v>
      </c>
      <c r="I105" s="869">
        <v>12</v>
      </c>
      <c r="J105" s="869" t="s">
        <v>215</v>
      </c>
      <c r="K105" s="12" t="s">
        <v>129</v>
      </c>
      <c r="L105" s="1149">
        <v>3177537668</v>
      </c>
      <c r="M105" s="1149" t="s">
        <v>288</v>
      </c>
      <c r="N105" s="15"/>
      <c r="O105" s="15"/>
    </row>
    <row r="106" spans="1:15" ht="20.05" customHeight="1" x14ac:dyDescent="0.25">
      <c r="A106" s="1167"/>
      <c r="B106" s="1155"/>
      <c r="C106" s="1155"/>
      <c r="D106" s="1157"/>
      <c r="E106" s="1149"/>
      <c r="F106" s="868">
        <v>43651</v>
      </c>
      <c r="G106" s="868">
        <v>43676</v>
      </c>
      <c r="H106" s="869" t="s">
        <v>33</v>
      </c>
      <c r="I106" s="869">
        <v>12</v>
      </c>
      <c r="J106" s="869" t="s">
        <v>4</v>
      </c>
      <c r="K106" s="12" t="s">
        <v>126</v>
      </c>
      <c r="L106" s="1149"/>
      <c r="M106" s="1149"/>
      <c r="N106" s="15"/>
      <c r="O106" s="15"/>
    </row>
    <row r="107" spans="1:15" ht="20.05" customHeight="1" x14ac:dyDescent="0.25">
      <c r="A107" s="1166" t="s">
        <v>21</v>
      </c>
      <c r="B107" s="1164" t="s">
        <v>45</v>
      </c>
      <c r="C107" s="1164" t="s">
        <v>72</v>
      </c>
      <c r="D107" s="578"/>
      <c r="E107" s="1135" t="s">
        <v>486</v>
      </c>
      <c r="F107" s="1128">
        <v>43655</v>
      </c>
      <c r="G107" s="1128">
        <v>43676</v>
      </c>
      <c r="H107" s="1131" t="s">
        <v>686</v>
      </c>
      <c r="I107" s="869">
        <v>12</v>
      </c>
      <c r="J107" s="869" t="s">
        <v>215</v>
      </c>
      <c r="K107" s="12" t="s">
        <v>336</v>
      </c>
      <c r="L107" s="1135">
        <v>3005070309</v>
      </c>
      <c r="M107" s="1135" t="s">
        <v>244</v>
      </c>
      <c r="N107" s="18"/>
      <c r="O107" s="18"/>
    </row>
    <row r="108" spans="1:15" ht="20.05" customHeight="1" x14ac:dyDescent="0.25">
      <c r="A108" s="1166"/>
      <c r="B108" s="1164"/>
      <c r="C108" s="1164"/>
      <c r="D108" s="578">
        <v>15020332</v>
      </c>
      <c r="E108" s="1135"/>
      <c r="F108" s="1128"/>
      <c r="G108" s="1128"/>
      <c r="H108" s="1131"/>
      <c r="I108" s="869">
        <v>12</v>
      </c>
      <c r="J108" s="869" t="s">
        <v>8</v>
      </c>
      <c r="K108" s="12" t="s">
        <v>221</v>
      </c>
      <c r="L108" s="1135"/>
      <c r="M108" s="1135"/>
      <c r="N108" s="18"/>
      <c r="O108" s="18"/>
    </row>
    <row r="109" spans="1:15" ht="18" customHeight="1" x14ac:dyDescent="0.25">
      <c r="A109" s="1166"/>
      <c r="B109" s="1164"/>
      <c r="C109" s="1164"/>
      <c r="D109" s="578"/>
      <c r="E109" s="1135"/>
      <c r="F109" s="868">
        <v>43651</v>
      </c>
      <c r="G109" s="868">
        <v>43676</v>
      </c>
      <c r="H109" s="869" t="s">
        <v>33</v>
      </c>
      <c r="I109" s="869">
        <v>12</v>
      </c>
      <c r="J109" s="869" t="s">
        <v>4</v>
      </c>
      <c r="K109" s="12" t="s">
        <v>335</v>
      </c>
      <c r="L109" s="1135"/>
      <c r="M109" s="1135"/>
      <c r="N109" s="18"/>
      <c r="O109" s="18"/>
    </row>
    <row r="110" spans="1:15" ht="20.05" customHeight="1" x14ac:dyDescent="0.25">
      <c r="A110" s="1166"/>
      <c r="B110" s="1164" t="s">
        <v>73</v>
      </c>
      <c r="C110" s="1164" t="s">
        <v>74</v>
      </c>
      <c r="D110" s="1159">
        <v>6878955</v>
      </c>
      <c r="E110" s="1150" t="s">
        <v>615</v>
      </c>
      <c r="F110" s="868">
        <v>43651</v>
      </c>
      <c r="G110" s="868">
        <v>43676</v>
      </c>
      <c r="H110" s="869" t="s">
        <v>33</v>
      </c>
      <c r="I110" s="869">
        <v>12</v>
      </c>
      <c r="J110" s="869" t="s">
        <v>4</v>
      </c>
      <c r="K110" s="12" t="s">
        <v>2384</v>
      </c>
      <c r="L110" s="1135">
        <v>3163811202</v>
      </c>
      <c r="M110" s="1135" t="s">
        <v>223</v>
      </c>
      <c r="N110" s="250"/>
      <c r="O110" s="18"/>
    </row>
    <row r="111" spans="1:15" ht="20.05" customHeight="1" x14ac:dyDescent="0.25">
      <c r="A111" s="1166"/>
      <c r="B111" s="1164"/>
      <c r="C111" s="1164"/>
      <c r="D111" s="1159"/>
      <c r="E111" s="1150"/>
      <c r="F111" s="1128">
        <v>43655</v>
      </c>
      <c r="G111" s="1128">
        <v>43676</v>
      </c>
      <c r="H111" s="1131" t="s">
        <v>686</v>
      </c>
      <c r="I111" s="869">
        <v>20</v>
      </c>
      <c r="J111" s="869" t="s">
        <v>215</v>
      </c>
      <c r="K111" s="12" t="s">
        <v>380</v>
      </c>
      <c r="L111" s="1135"/>
      <c r="M111" s="1135"/>
      <c r="N111" s="250"/>
      <c r="O111" s="18"/>
    </row>
    <row r="112" spans="1:15" ht="20.05" customHeight="1" x14ac:dyDescent="0.25">
      <c r="A112" s="1166"/>
      <c r="B112" s="1164"/>
      <c r="C112" s="1164"/>
      <c r="D112" s="1159"/>
      <c r="E112" s="1150"/>
      <c r="F112" s="1128"/>
      <c r="G112" s="1128"/>
      <c r="H112" s="1131"/>
      <c r="I112" s="869">
        <v>8</v>
      </c>
      <c r="J112" s="869" t="s">
        <v>8</v>
      </c>
      <c r="K112" s="12" t="s">
        <v>221</v>
      </c>
      <c r="L112" s="1135"/>
      <c r="M112" s="1135"/>
      <c r="N112" s="250"/>
      <c r="O112" s="18"/>
    </row>
    <row r="113" spans="1:15" ht="20.05" customHeight="1" x14ac:dyDescent="0.25">
      <c r="A113" s="1166"/>
      <c r="B113" s="874" t="s">
        <v>2174</v>
      </c>
      <c r="C113" s="874" t="s">
        <v>2173</v>
      </c>
      <c r="D113" s="578">
        <v>25955848</v>
      </c>
      <c r="E113" s="28" t="s">
        <v>481</v>
      </c>
      <c r="F113" s="868">
        <v>43655</v>
      </c>
      <c r="G113" s="868">
        <v>43677</v>
      </c>
      <c r="H113" s="869" t="s">
        <v>33</v>
      </c>
      <c r="I113" s="869">
        <v>12</v>
      </c>
      <c r="J113" s="869" t="s">
        <v>4</v>
      </c>
      <c r="K113" s="12" t="s">
        <v>335</v>
      </c>
      <c r="L113" s="870">
        <v>3014029253</v>
      </c>
      <c r="M113" s="870" t="s">
        <v>2175</v>
      </c>
      <c r="N113" s="250"/>
      <c r="O113" s="18"/>
    </row>
    <row r="114" spans="1:15" ht="20.05" customHeight="1" x14ac:dyDescent="0.25">
      <c r="A114" s="1166"/>
      <c r="B114" s="874" t="s">
        <v>1789</v>
      </c>
      <c r="C114" s="874" t="s">
        <v>1790</v>
      </c>
      <c r="D114" s="578">
        <v>1010032265</v>
      </c>
      <c r="E114" s="28"/>
      <c r="F114" s="868">
        <v>43655</v>
      </c>
      <c r="G114" s="868">
        <v>43677</v>
      </c>
      <c r="H114" s="869" t="s">
        <v>33</v>
      </c>
      <c r="I114" s="869">
        <v>12</v>
      </c>
      <c r="J114" s="869" t="s">
        <v>4</v>
      </c>
      <c r="K114" s="327" t="s">
        <v>540</v>
      </c>
      <c r="L114" s="870">
        <v>3137090877</v>
      </c>
      <c r="M114" s="870" t="s">
        <v>2323</v>
      </c>
      <c r="N114" s="250"/>
      <c r="O114" s="18"/>
    </row>
    <row r="115" spans="1:15" s="887" customFormat="1" ht="20.05" customHeight="1" x14ac:dyDescent="0.25">
      <c r="A115" s="1166"/>
      <c r="B115" s="873" t="s">
        <v>2199</v>
      </c>
      <c r="C115" s="873" t="s">
        <v>2200</v>
      </c>
      <c r="D115" s="885">
        <v>25949989</v>
      </c>
      <c r="E115" s="883" t="s">
        <v>493</v>
      </c>
      <c r="F115" s="884">
        <v>43655</v>
      </c>
      <c r="G115" s="884">
        <v>43676</v>
      </c>
      <c r="H115" s="882" t="s">
        <v>33</v>
      </c>
      <c r="I115" s="882"/>
      <c r="J115" s="882" t="s">
        <v>4</v>
      </c>
      <c r="K115" s="964" t="s">
        <v>335</v>
      </c>
      <c r="L115" s="886">
        <v>3012653743</v>
      </c>
      <c r="M115" s="883" t="s">
        <v>2201</v>
      </c>
      <c r="N115" s="1144" t="s">
        <v>2418</v>
      </c>
      <c r="O115" s="1144"/>
    </row>
    <row r="116" spans="1:15" ht="20.05" customHeight="1" x14ac:dyDescent="0.25">
      <c r="A116" s="1166"/>
      <c r="B116" s="1135" t="s">
        <v>2404</v>
      </c>
      <c r="C116" s="1135" t="s">
        <v>2405</v>
      </c>
      <c r="D116" s="1159">
        <v>73207537</v>
      </c>
      <c r="E116" s="1134" t="s">
        <v>530</v>
      </c>
      <c r="F116" s="1128">
        <v>43655</v>
      </c>
      <c r="G116" s="1128">
        <v>43676</v>
      </c>
      <c r="H116" s="1131" t="s">
        <v>686</v>
      </c>
      <c r="I116" s="869">
        <v>60</v>
      </c>
      <c r="J116" s="869" t="s">
        <v>5</v>
      </c>
      <c r="K116" s="327" t="s">
        <v>540</v>
      </c>
      <c r="L116" s="1150" t="s">
        <v>2415</v>
      </c>
      <c r="M116" s="1134" t="s">
        <v>2414</v>
      </c>
      <c r="N116" s="250"/>
      <c r="O116" s="18"/>
    </row>
    <row r="117" spans="1:15" ht="20.05" customHeight="1" x14ac:dyDescent="0.25">
      <c r="A117" s="1166"/>
      <c r="B117" s="1135"/>
      <c r="C117" s="1135"/>
      <c r="D117" s="1159"/>
      <c r="E117" s="1134"/>
      <c r="F117" s="1128"/>
      <c r="G117" s="1128"/>
      <c r="H117" s="1131"/>
      <c r="I117" s="869">
        <v>16</v>
      </c>
      <c r="J117" s="869" t="s">
        <v>4</v>
      </c>
      <c r="K117" s="327" t="s">
        <v>540</v>
      </c>
      <c r="L117" s="1150"/>
      <c r="M117" s="1134"/>
      <c r="N117" s="250"/>
      <c r="O117" s="18"/>
    </row>
    <row r="118" spans="1:15" ht="20.05" customHeight="1" x14ac:dyDescent="0.25">
      <c r="A118" s="1166"/>
      <c r="B118" s="1135"/>
      <c r="C118" s="1135"/>
      <c r="D118" s="1159"/>
      <c r="E118" s="1134"/>
      <c r="F118" s="1128"/>
      <c r="G118" s="1128"/>
      <c r="H118" s="869" t="s">
        <v>33</v>
      </c>
      <c r="I118" s="869">
        <v>12</v>
      </c>
      <c r="J118" s="869" t="s">
        <v>4</v>
      </c>
      <c r="K118" s="327" t="s">
        <v>540</v>
      </c>
      <c r="L118" s="1150"/>
      <c r="M118" s="1134"/>
      <c r="N118" s="250"/>
      <c r="O118" s="18"/>
    </row>
    <row r="119" spans="1:15" ht="25.85" customHeight="1" x14ac:dyDescent="0.25">
      <c r="A119" s="1166"/>
      <c r="B119" s="709" t="s">
        <v>1834</v>
      </c>
      <c r="C119" s="709" t="s">
        <v>1835</v>
      </c>
      <c r="D119" s="578">
        <v>1063169704</v>
      </c>
      <c r="E119" s="300"/>
      <c r="F119" s="868">
        <v>43655</v>
      </c>
      <c r="G119" s="868">
        <v>43677</v>
      </c>
      <c r="H119" s="869" t="s">
        <v>33</v>
      </c>
      <c r="I119" s="869">
        <v>12</v>
      </c>
      <c r="J119" s="869" t="s">
        <v>4</v>
      </c>
      <c r="K119" s="12" t="s">
        <v>335</v>
      </c>
      <c r="L119" s="28" t="s">
        <v>1936</v>
      </c>
      <c r="M119" s="300" t="s">
        <v>2324</v>
      </c>
      <c r="N119" s="250"/>
      <c r="O119" s="18"/>
    </row>
    <row r="120" spans="1:15" ht="20.05" customHeight="1" x14ac:dyDescent="0.25">
      <c r="A120" s="1166"/>
      <c r="B120" s="709" t="s">
        <v>1844</v>
      </c>
      <c r="C120" s="709" t="s">
        <v>1926</v>
      </c>
      <c r="D120" s="578">
        <v>6588196</v>
      </c>
      <c r="E120" s="300" t="s">
        <v>480</v>
      </c>
      <c r="F120" s="868">
        <v>43655</v>
      </c>
      <c r="G120" s="868">
        <v>43677</v>
      </c>
      <c r="H120" s="1071" t="s">
        <v>1016</v>
      </c>
      <c r="I120" s="869">
        <v>40</v>
      </c>
      <c r="J120" s="869" t="s">
        <v>1845</v>
      </c>
      <c r="K120" s="327" t="s">
        <v>540</v>
      </c>
      <c r="L120" s="28" t="s">
        <v>1846</v>
      </c>
      <c r="M120" s="300" t="s">
        <v>2337</v>
      </c>
      <c r="N120" s="250"/>
      <c r="O120" s="18"/>
    </row>
    <row r="121" spans="1:15" ht="20.05" customHeight="1" x14ac:dyDescent="0.25">
      <c r="A121" s="1166"/>
      <c r="B121" s="709" t="s">
        <v>1849</v>
      </c>
      <c r="C121" s="709" t="s">
        <v>1850</v>
      </c>
      <c r="D121" s="578">
        <v>6586475</v>
      </c>
      <c r="E121" s="300" t="s">
        <v>558</v>
      </c>
      <c r="F121" s="868">
        <v>43651</v>
      </c>
      <c r="G121" s="868">
        <v>43677</v>
      </c>
      <c r="H121" s="869" t="s">
        <v>33</v>
      </c>
      <c r="I121" s="869">
        <v>12</v>
      </c>
      <c r="J121" s="869" t="s">
        <v>4</v>
      </c>
      <c r="K121" s="327" t="s">
        <v>540</v>
      </c>
      <c r="L121" s="28">
        <v>3157541723</v>
      </c>
      <c r="M121" s="300" t="s">
        <v>1851</v>
      </c>
      <c r="N121" s="250"/>
      <c r="O121" s="18"/>
    </row>
    <row r="122" spans="1:15" ht="20.05" customHeight="1" x14ac:dyDescent="0.25">
      <c r="A122" s="1166"/>
      <c r="B122" s="874" t="s">
        <v>75</v>
      </c>
      <c r="C122" s="874" t="s">
        <v>76</v>
      </c>
      <c r="D122" s="578">
        <v>15028127</v>
      </c>
      <c r="E122" s="870" t="s">
        <v>415</v>
      </c>
      <c r="F122" s="868">
        <v>43651</v>
      </c>
      <c r="G122" s="868">
        <v>43676</v>
      </c>
      <c r="H122" s="869" t="s">
        <v>33</v>
      </c>
      <c r="I122" s="869">
        <v>12</v>
      </c>
      <c r="J122" s="869" t="s">
        <v>4</v>
      </c>
      <c r="K122" s="12" t="s">
        <v>335</v>
      </c>
      <c r="L122" s="870">
        <v>3205946501</v>
      </c>
      <c r="M122" s="870" t="s">
        <v>277</v>
      </c>
      <c r="N122" s="18"/>
      <c r="O122" s="18"/>
    </row>
    <row r="123" spans="1:15" ht="20.05" customHeight="1" x14ac:dyDescent="0.25">
      <c r="A123" s="1166"/>
      <c r="B123" s="874" t="s">
        <v>1913</v>
      </c>
      <c r="C123" s="874" t="s">
        <v>1914</v>
      </c>
      <c r="D123" s="578">
        <v>1199399</v>
      </c>
      <c r="E123" s="870" t="s">
        <v>486</v>
      </c>
      <c r="F123" s="868">
        <v>43655</v>
      </c>
      <c r="G123" s="868">
        <v>43677</v>
      </c>
      <c r="H123" s="869" t="s">
        <v>33</v>
      </c>
      <c r="I123" s="869">
        <v>12</v>
      </c>
      <c r="J123" s="869" t="s">
        <v>4</v>
      </c>
      <c r="K123" s="327" t="s">
        <v>540</v>
      </c>
      <c r="L123" s="870" t="s">
        <v>1927</v>
      </c>
      <c r="M123" s="870" t="s">
        <v>1915</v>
      </c>
      <c r="N123" s="18"/>
      <c r="O123" s="18"/>
    </row>
    <row r="124" spans="1:15" ht="20.05" customHeight="1" x14ac:dyDescent="0.25">
      <c r="A124" s="1166"/>
      <c r="B124" s="874" t="s">
        <v>1900</v>
      </c>
      <c r="C124" s="874" t="s">
        <v>1901</v>
      </c>
      <c r="D124" s="578">
        <v>1133775519</v>
      </c>
      <c r="E124" s="870" t="s">
        <v>742</v>
      </c>
      <c r="F124" s="868">
        <v>43655</v>
      </c>
      <c r="G124" s="868">
        <v>43677</v>
      </c>
      <c r="H124" s="869" t="s">
        <v>33</v>
      </c>
      <c r="I124" s="869">
        <v>12</v>
      </c>
      <c r="J124" s="869" t="s">
        <v>4</v>
      </c>
      <c r="K124" s="327" t="s">
        <v>540</v>
      </c>
      <c r="L124" s="870">
        <v>305541044</v>
      </c>
      <c r="M124" s="870" t="s">
        <v>1937</v>
      </c>
      <c r="N124" s="1145" t="s">
        <v>2333</v>
      </c>
      <c r="O124" s="1145"/>
    </row>
    <row r="125" spans="1:15" ht="20.05" customHeight="1" x14ac:dyDescent="0.25">
      <c r="A125" s="1166"/>
      <c r="B125" s="874" t="s">
        <v>2001</v>
      </c>
      <c r="C125" s="874" t="s">
        <v>2002</v>
      </c>
      <c r="D125" s="578">
        <v>25950230</v>
      </c>
      <c r="E125" s="870" t="s">
        <v>2003</v>
      </c>
      <c r="F125" s="868">
        <v>43655</v>
      </c>
      <c r="G125" s="868">
        <v>43676</v>
      </c>
      <c r="H125" s="869" t="s">
        <v>33</v>
      </c>
      <c r="I125" s="869">
        <v>12</v>
      </c>
      <c r="J125" s="869" t="s">
        <v>4</v>
      </c>
      <c r="K125" s="12" t="s">
        <v>335</v>
      </c>
      <c r="L125" s="870" t="s">
        <v>2004</v>
      </c>
      <c r="M125" s="71" t="s">
        <v>2005</v>
      </c>
      <c r="N125" s="18"/>
      <c r="O125" s="18"/>
    </row>
    <row r="126" spans="1:15" ht="20.05" customHeight="1" x14ac:dyDescent="0.25">
      <c r="A126" s="1166"/>
      <c r="B126" s="874" t="s">
        <v>1953</v>
      </c>
      <c r="C126" s="874" t="s">
        <v>1954</v>
      </c>
      <c r="D126" s="578">
        <v>25972119</v>
      </c>
      <c r="E126" s="71" t="s">
        <v>494</v>
      </c>
      <c r="F126" s="868">
        <v>43655</v>
      </c>
      <c r="G126" s="868">
        <v>43676</v>
      </c>
      <c r="H126" s="869" t="s">
        <v>33</v>
      </c>
      <c r="I126" s="869">
        <v>12</v>
      </c>
      <c r="J126" s="869" t="s">
        <v>4</v>
      </c>
      <c r="K126" s="327" t="s">
        <v>540</v>
      </c>
      <c r="L126" s="71">
        <v>3117002410</v>
      </c>
      <c r="M126" s="71" t="s">
        <v>1955</v>
      </c>
      <c r="N126" s="18"/>
      <c r="O126" s="18"/>
    </row>
    <row r="127" spans="1:15" ht="20.05" customHeight="1" x14ac:dyDescent="0.25">
      <c r="A127" s="1166"/>
      <c r="B127" s="874" t="s">
        <v>823</v>
      </c>
      <c r="C127" s="874" t="s">
        <v>824</v>
      </c>
      <c r="D127" s="578">
        <v>25951326</v>
      </c>
      <c r="E127" s="71" t="s">
        <v>825</v>
      </c>
      <c r="F127" s="868">
        <v>43651</v>
      </c>
      <c r="G127" s="868">
        <v>43676</v>
      </c>
      <c r="H127" s="869" t="s">
        <v>33</v>
      </c>
      <c r="I127" s="869">
        <v>12</v>
      </c>
      <c r="J127" s="869" t="s">
        <v>4</v>
      </c>
      <c r="K127" s="12" t="s">
        <v>335</v>
      </c>
      <c r="L127" s="71">
        <v>3205557237</v>
      </c>
      <c r="M127" s="71" t="s">
        <v>826</v>
      </c>
      <c r="N127" s="18"/>
      <c r="O127" s="18"/>
    </row>
    <row r="128" spans="1:15" ht="20.05" customHeight="1" x14ac:dyDescent="0.25">
      <c r="A128" s="1166"/>
      <c r="B128" s="874" t="s">
        <v>744</v>
      </c>
      <c r="C128" s="874" t="s">
        <v>575</v>
      </c>
      <c r="D128" s="578">
        <v>35045140</v>
      </c>
      <c r="E128" s="71" t="s">
        <v>530</v>
      </c>
      <c r="F128" s="868">
        <v>43651</v>
      </c>
      <c r="G128" s="868">
        <v>43676</v>
      </c>
      <c r="H128" s="869" t="s">
        <v>33</v>
      </c>
      <c r="I128" s="869">
        <v>12</v>
      </c>
      <c r="J128" s="869" t="s">
        <v>4</v>
      </c>
      <c r="K128" s="327" t="s">
        <v>540</v>
      </c>
      <c r="L128" s="71">
        <v>3215043705</v>
      </c>
      <c r="M128" s="870" t="s">
        <v>279</v>
      </c>
      <c r="N128" s="18"/>
      <c r="O128" s="18"/>
    </row>
    <row r="129" spans="1:15" ht="20.05" customHeight="1" x14ac:dyDescent="0.25">
      <c r="A129" s="1166"/>
      <c r="B129" s="874" t="s">
        <v>1703</v>
      </c>
      <c r="C129" s="874" t="s">
        <v>1704</v>
      </c>
      <c r="D129" s="578">
        <v>25954103</v>
      </c>
      <c r="E129" s="71" t="s">
        <v>481</v>
      </c>
      <c r="F129" s="868">
        <v>43655</v>
      </c>
      <c r="G129" s="868">
        <v>43676</v>
      </c>
      <c r="H129" s="869" t="s">
        <v>33</v>
      </c>
      <c r="I129" s="869">
        <v>12</v>
      </c>
      <c r="J129" s="869" t="s">
        <v>215</v>
      </c>
      <c r="K129" s="128" t="s">
        <v>336</v>
      </c>
      <c r="L129" s="71" t="s">
        <v>1705</v>
      </c>
      <c r="M129" s="870" t="s">
        <v>2457</v>
      </c>
      <c r="N129" s="18"/>
      <c r="O129" s="18"/>
    </row>
    <row r="130" spans="1:15" ht="20.05" customHeight="1" x14ac:dyDescent="0.25">
      <c r="A130" s="1166"/>
      <c r="B130" s="874" t="s">
        <v>160</v>
      </c>
      <c r="C130" s="874" t="s">
        <v>697</v>
      </c>
      <c r="D130" s="578">
        <v>11035547</v>
      </c>
      <c r="E130" s="28" t="s">
        <v>494</v>
      </c>
      <c r="F130" s="868">
        <v>43651</v>
      </c>
      <c r="G130" s="868">
        <v>43676</v>
      </c>
      <c r="H130" s="869" t="s">
        <v>33</v>
      </c>
      <c r="I130" s="869">
        <v>12</v>
      </c>
      <c r="J130" s="869" t="s">
        <v>4</v>
      </c>
      <c r="K130" s="12" t="s">
        <v>1584</v>
      </c>
      <c r="L130" s="71" t="s">
        <v>696</v>
      </c>
      <c r="M130" s="28" t="s">
        <v>695</v>
      </c>
      <c r="N130" s="18"/>
      <c r="O130" s="18"/>
    </row>
    <row r="131" spans="1:15" ht="20.05" customHeight="1" x14ac:dyDescent="0.25">
      <c r="A131" s="1166"/>
      <c r="B131" s="1135" t="s">
        <v>1645</v>
      </c>
      <c r="C131" s="1135" t="s">
        <v>1646</v>
      </c>
      <c r="D131" s="1159">
        <v>11039060</v>
      </c>
      <c r="E131" s="1150" t="s">
        <v>486</v>
      </c>
      <c r="F131" s="1129">
        <v>43651</v>
      </c>
      <c r="G131" s="1129">
        <v>43676</v>
      </c>
      <c r="H131" s="1130" t="s">
        <v>33</v>
      </c>
      <c r="I131" s="869">
        <v>4</v>
      </c>
      <c r="J131" s="869" t="s">
        <v>215</v>
      </c>
      <c r="K131" s="12" t="s">
        <v>336</v>
      </c>
      <c r="L131" s="1171">
        <v>3145948771</v>
      </c>
      <c r="M131" s="1150" t="s">
        <v>1647</v>
      </c>
      <c r="N131" s="18"/>
      <c r="O131" s="18"/>
    </row>
    <row r="132" spans="1:15" ht="20.05" customHeight="1" x14ac:dyDescent="0.25">
      <c r="A132" s="1166"/>
      <c r="B132" s="1135"/>
      <c r="C132" s="1135"/>
      <c r="D132" s="1159"/>
      <c r="E132" s="1150"/>
      <c r="F132" s="1129"/>
      <c r="G132" s="1129"/>
      <c r="H132" s="1130"/>
      <c r="I132" s="869">
        <v>4</v>
      </c>
      <c r="J132" s="869" t="s">
        <v>8</v>
      </c>
      <c r="K132" s="12" t="s">
        <v>221</v>
      </c>
      <c r="L132" s="1171"/>
      <c r="M132" s="1150"/>
      <c r="N132" s="18"/>
      <c r="O132" s="18"/>
    </row>
    <row r="133" spans="1:15" ht="20.05" customHeight="1" x14ac:dyDescent="0.25">
      <c r="A133" s="1166"/>
      <c r="B133" s="1135"/>
      <c r="C133" s="1135"/>
      <c r="D133" s="1159"/>
      <c r="E133" s="1150"/>
      <c r="F133" s="1129"/>
      <c r="G133" s="1129"/>
      <c r="H133" s="1130"/>
      <c r="I133" s="869">
        <v>4</v>
      </c>
      <c r="J133" s="869" t="s">
        <v>4</v>
      </c>
      <c r="K133" s="327" t="s">
        <v>540</v>
      </c>
      <c r="L133" s="1171"/>
      <c r="M133" s="1150"/>
      <c r="N133" s="18"/>
      <c r="O133" s="18"/>
    </row>
    <row r="134" spans="1:15" ht="20.05" customHeight="1" x14ac:dyDescent="0.25">
      <c r="A134" s="1166"/>
      <c r="B134" s="874" t="s">
        <v>840</v>
      </c>
      <c r="C134" s="874" t="s">
        <v>841</v>
      </c>
      <c r="D134" s="578">
        <v>25953567</v>
      </c>
      <c r="E134" s="28" t="s">
        <v>494</v>
      </c>
      <c r="F134" s="535"/>
      <c r="G134" s="535"/>
      <c r="H134" s="935" t="s">
        <v>33</v>
      </c>
      <c r="I134" s="715"/>
      <c r="J134" s="715" t="s">
        <v>4</v>
      </c>
      <c r="K134" s="12" t="s">
        <v>335</v>
      </c>
      <c r="L134" s="28">
        <v>3135092858</v>
      </c>
      <c r="M134" s="28" t="s">
        <v>842</v>
      </c>
      <c r="N134" s="18"/>
      <c r="O134" s="18"/>
    </row>
    <row r="135" spans="1:15" ht="20.05" customHeight="1" x14ac:dyDescent="0.25">
      <c r="A135" s="1166"/>
      <c r="B135" s="874" t="s">
        <v>77</v>
      </c>
      <c r="C135" s="874" t="s">
        <v>78</v>
      </c>
      <c r="D135" s="578">
        <v>25949735</v>
      </c>
      <c r="E135" s="71" t="s">
        <v>494</v>
      </c>
      <c r="F135" s="868">
        <v>43651</v>
      </c>
      <c r="G135" s="868">
        <v>43676</v>
      </c>
      <c r="H135" s="869" t="s">
        <v>33</v>
      </c>
      <c r="I135" s="869">
        <v>12</v>
      </c>
      <c r="J135" s="869" t="s">
        <v>4</v>
      </c>
      <c r="K135" s="12" t="s">
        <v>335</v>
      </c>
      <c r="L135" s="870"/>
      <c r="M135" s="870" t="s">
        <v>276</v>
      </c>
      <c r="N135" s="18"/>
      <c r="O135" s="18"/>
    </row>
    <row r="136" spans="1:15" s="18" customFormat="1" ht="20.05" customHeight="1" x14ac:dyDescent="0.25">
      <c r="A136" s="1166"/>
      <c r="B136" s="871" t="s">
        <v>815</v>
      </c>
      <c r="C136" s="871" t="s">
        <v>816</v>
      </c>
      <c r="D136" s="720">
        <v>30654829</v>
      </c>
      <c r="E136" s="629" t="s">
        <v>817</v>
      </c>
      <c r="F136" s="868">
        <v>43658</v>
      </c>
      <c r="G136" s="868">
        <v>43676</v>
      </c>
      <c r="H136" s="869" t="s">
        <v>33</v>
      </c>
      <c r="I136" s="869">
        <v>12</v>
      </c>
      <c r="J136" s="869" t="s">
        <v>4</v>
      </c>
      <c r="K136" s="327" t="s">
        <v>540</v>
      </c>
      <c r="L136" s="870" t="s">
        <v>818</v>
      </c>
      <c r="M136" s="870" t="s">
        <v>819</v>
      </c>
      <c r="N136" s="1143" t="s">
        <v>2426</v>
      </c>
      <c r="O136" s="1143"/>
    </row>
    <row r="137" spans="1:15" s="1042" customFormat="1" ht="20.05" customHeight="1" x14ac:dyDescent="0.25">
      <c r="A137" s="1166"/>
      <c r="B137" s="1043" t="s">
        <v>79</v>
      </c>
      <c r="C137" s="1043" t="s">
        <v>80</v>
      </c>
      <c r="D137" s="1027">
        <v>26145424</v>
      </c>
      <c r="E137" s="1025" t="s">
        <v>1022</v>
      </c>
      <c r="F137" s="1040">
        <v>43651</v>
      </c>
      <c r="G137" s="1040">
        <v>43676</v>
      </c>
      <c r="H137" s="1024" t="s">
        <v>33</v>
      </c>
      <c r="I137" s="1024">
        <v>12</v>
      </c>
      <c r="J137" s="1024" t="s">
        <v>4</v>
      </c>
      <c r="K137" s="1024" t="s">
        <v>335</v>
      </c>
      <c r="L137" s="1024">
        <v>3106591541</v>
      </c>
      <c r="M137" s="1024" t="s">
        <v>1870</v>
      </c>
      <c r="N137" s="1146" t="s">
        <v>2759</v>
      </c>
      <c r="O137" s="1147"/>
    </row>
    <row r="138" spans="1:15" ht="20.05" customHeight="1" x14ac:dyDescent="0.25">
      <c r="A138" s="1166"/>
      <c r="B138" s="874" t="s">
        <v>81</v>
      </c>
      <c r="C138" s="874" t="s">
        <v>82</v>
      </c>
      <c r="D138" s="578">
        <v>1560258</v>
      </c>
      <c r="E138" s="870" t="s">
        <v>486</v>
      </c>
      <c r="F138" s="868">
        <v>43651</v>
      </c>
      <c r="G138" s="868">
        <v>43676</v>
      </c>
      <c r="H138" s="869" t="s">
        <v>33</v>
      </c>
      <c r="I138" s="869">
        <v>12</v>
      </c>
      <c r="J138" s="869" t="s">
        <v>4</v>
      </c>
      <c r="K138" s="327" t="s">
        <v>540</v>
      </c>
      <c r="L138" s="870">
        <v>3177443024</v>
      </c>
      <c r="M138" s="870" t="s">
        <v>278</v>
      </c>
      <c r="N138" s="18"/>
      <c r="O138" s="18"/>
    </row>
    <row r="139" spans="1:15" ht="20.05" customHeight="1" x14ac:dyDescent="0.25">
      <c r="A139" s="1161" t="s">
        <v>19</v>
      </c>
      <c r="B139" s="875" t="s">
        <v>112</v>
      </c>
      <c r="C139" s="875" t="s">
        <v>113</v>
      </c>
      <c r="D139" s="101">
        <v>2819126</v>
      </c>
      <c r="E139" s="867" t="s">
        <v>494</v>
      </c>
      <c r="F139" s="868">
        <v>43651</v>
      </c>
      <c r="G139" s="868">
        <v>43676</v>
      </c>
      <c r="H139" s="869" t="s">
        <v>33</v>
      </c>
      <c r="I139" s="869">
        <v>12</v>
      </c>
      <c r="J139" s="869" t="s">
        <v>4</v>
      </c>
      <c r="K139" s="12" t="s">
        <v>18</v>
      </c>
      <c r="L139" s="867">
        <v>3125323589</v>
      </c>
      <c r="M139" s="867" t="s">
        <v>285</v>
      </c>
      <c r="N139" s="15"/>
      <c r="O139" s="15"/>
    </row>
    <row r="140" spans="1:15" ht="20.05" customHeight="1" x14ac:dyDescent="0.25">
      <c r="A140" s="1161"/>
      <c r="B140" s="875" t="s">
        <v>1013</v>
      </c>
      <c r="C140" s="875" t="s">
        <v>1014</v>
      </c>
      <c r="D140" s="101">
        <v>26011429</v>
      </c>
      <c r="E140" s="867" t="s">
        <v>493</v>
      </c>
      <c r="F140" s="868">
        <v>43651</v>
      </c>
      <c r="G140" s="868">
        <v>43676</v>
      </c>
      <c r="H140" s="869" t="s">
        <v>33</v>
      </c>
      <c r="I140" s="869">
        <v>12</v>
      </c>
      <c r="J140" s="869" t="s">
        <v>4</v>
      </c>
      <c r="K140" s="12" t="s">
        <v>18</v>
      </c>
      <c r="L140" s="867" t="s">
        <v>1573</v>
      </c>
      <c r="M140" s="867" t="s">
        <v>1015</v>
      </c>
      <c r="N140" s="15"/>
      <c r="O140" s="15"/>
    </row>
    <row r="141" spans="1:15" ht="20.05" customHeight="1" x14ac:dyDescent="0.25">
      <c r="A141" s="1161"/>
      <c r="B141" s="875" t="s">
        <v>1883</v>
      </c>
      <c r="C141" s="875" t="s">
        <v>1884</v>
      </c>
      <c r="D141" s="101">
        <v>50880352</v>
      </c>
      <c r="E141" s="867" t="s">
        <v>584</v>
      </c>
      <c r="F141" s="868">
        <v>43651</v>
      </c>
      <c r="G141" s="868">
        <v>43676</v>
      </c>
      <c r="H141" s="869" t="s">
        <v>33</v>
      </c>
      <c r="I141" s="869">
        <v>12</v>
      </c>
      <c r="J141" s="869" t="s">
        <v>4</v>
      </c>
      <c r="K141" s="12" t="s">
        <v>18</v>
      </c>
      <c r="L141" s="928">
        <v>8107226</v>
      </c>
      <c r="M141" s="867" t="s">
        <v>1885</v>
      </c>
      <c r="N141" s="15"/>
      <c r="O141" s="15"/>
    </row>
    <row r="142" spans="1:15" ht="20.05" customHeight="1" x14ac:dyDescent="0.25">
      <c r="A142" s="1161"/>
      <c r="B142" s="875" t="s">
        <v>114</v>
      </c>
      <c r="C142" s="875" t="s">
        <v>115</v>
      </c>
      <c r="D142" s="101">
        <v>26011842</v>
      </c>
      <c r="E142" s="867" t="s">
        <v>503</v>
      </c>
      <c r="F142" s="868">
        <v>43651</v>
      </c>
      <c r="G142" s="868">
        <v>43676</v>
      </c>
      <c r="H142" s="869" t="s">
        <v>33</v>
      </c>
      <c r="I142" s="869">
        <v>12</v>
      </c>
      <c r="J142" s="869" t="s">
        <v>4</v>
      </c>
      <c r="K142" s="12" t="s">
        <v>18</v>
      </c>
      <c r="L142" s="867"/>
      <c r="M142" s="867" t="s">
        <v>287</v>
      </c>
      <c r="N142" s="15"/>
      <c r="O142" s="15"/>
    </row>
    <row r="143" spans="1:15" ht="20.05" customHeight="1" x14ac:dyDescent="0.25">
      <c r="A143" s="1161"/>
      <c r="B143" s="875" t="s">
        <v>116</v>
      </c>
      <c r="C143" s="875" t="s">
        <v>117</v>
      </c>
      <c r="D143" s="101">
        <v>50880723</v>
      </c>
      <c r="E143" s="867" t="s">
        <v>504</v>
      </c>
      <c r="F143" s="868">
        <v>43651</v>
      </c>
      <c r="G143" s="868">
        <v>43676</v>
      </c>
      <c r="H143" s="869" t="s">
        <v>33</v>
      </c>
      <c r="I143" s="869">
        <v>12</v>
      </c>
      <c r="J143" s="869" t="s">
        <v>4</v>
      </c>
      <c r="K143" s="12" t="s">
        <v>18</v>
      </c>
      <c r="L143" s="867">
        <v>3216053784</v>
      </c>
      <c r="M143" s="867" t="s">
        <v>286</v>
      </c>
      <c r="N143" s="15"/>
      <c r="O143" s="15"/>
    </row>
    <row r="144" spans="1:15" ht="20.05" customHeight="1" x14ac:dyDescent="0.25">
      <c r="A144" s="1156" t="s">
        <v>2510</v>
      </c>
      <c r="B144" s="1135" t="s">
        <v>2511</v>
      </c>
      <c r="C144" s="1135" t="s">
        <v>2512</v>
      </c>
      <c r="D144" s="1159">
        <v>1069470560</v>
      </c>
      <c r="E144" s="1135" t="s">
        <v>2513</v>
      </c>
      <c r="F144" s="1128">
        <v>43662</v>
      </c>
      <c r="G144" s="1128">
        <v>43676</v>
      </c>
      <c r="H144" s="1142" t="s">
        <v>1016</v>
      </c>
      <c r="I144" s="869">
        <v>20</v>
      </c>
      <c r="J144" s="869" t="s">
        <v>4</v>
      </c>
      <c r="K144" s="12" t="s">
        <v>619</v>
      </c>
      <c r="L144" s="1135">
        <v>3114332792</v>
      </c>
      <c r="M144" s="1135" t="s">
        <v>2514</v>
      </c>
      <c r="N144" s="18"/>
      <c r="O144" s="18"/>
    </row>
    <row r="145" spans="1:15" ht="17" customHeight="1" x14ac:dyDescent="0.25">
      <c r="A145" s="1156"/>
      <c r="B145" s="1135"/>
      <c r="C145" s="1135"/>
      <c r="D145" s="1159"/>
      <c r="E145" s="1135"/>
      <c r="F145" s="1128"/>
      <c r="G145" s="1128"/>
      <c r="H145" s="1142"/>
      <c r="I145" s="869">
        <v>20</v>
      </c>
      <c r="J145" s="869" t="s">
        <v>5</v>
      </c>
      <c r="K145" s="12" t="s">
        <v>619</v>
      </c>
      <c r="L145" s="1135"/>
      <c r="M145" s="1135"/>
      <c r="N145" s="18"/>
      <c r="O145" s="18"/>
    </row>
    <row r="146" spans="1:15" ht="20.05" customHeight="1" x14ac:dyDescent="0.25">
      <c r="A146" s="1161" t="s">
        <v>2030</v>
      </c>
      <c r="B146" s="875" t="s">
        <v>2031</v>
      </c>
      <c r="C146" s="875" t="s">
        <v>2032</v>
      </c>
      <c r="D146" s="101">
        <v>1138074390</v>
      </c>
      <c r="E146" s="867" t="s">
        <v>676</v>
      </c>
      <c r="F146" s="536">
        <v>43606</v>
      </c>
      <c r="G146" s="536">
        <v>43615</v>
      </c>
      <c r="H146" s="715" t="s">
        <v>33</v>
      </c>
      <c r="I146" s="715"/>
      <c r="J146" s="715" t="s">
        <v>4</v>
      </c>
      <c r="K146" s="12" t="s">
        <v>18</v>
      </c>
      <c r="L146" s="867" t="s">
        <v>2033</v>
      </c>
      <c r="M146" s="14" t="s">
        <v>2034</v>
      </c>
      <c r="N146" s="15"/>
      <c r="O146" s="15"/>
    </row>
    <row r="147" spans="1:15" ht="20.05" customHeight="1" x14ac:dyDescent="0.25">
      <c r="A147" s="1161"/>
      <c r="B147" s="875" t="s">
        <v>470</v>
      </c>
      <c r="C147" s="875" t="s">
        <v>2526</v>
      </c>
      <c r="D147" s="101">
        <v>1561863</v>
      </c>
      <c r="E147" s="867" t="s">
        <v>587</v>
      </c>
      <c r="F147" s="868">
        <v>43662</v>
      </c>
      <c r="G147" s="868">
        <v>43676</v>
      </c>
      <c r="H147" s="869" t="s">
        <v>33</v>
      </c>
      <c r="I147" s="869">
        <v>12</v>
      </c>
      <c r="J147" s="869" t="s">
        <v>4</v>
      </c>
      <c r="K147" s="12" t="s">
        <v>18</v>
      </c>
      <c r="L147" s="867">
        <v>3042115748</v>
      </c>
      <c r="M147" s="14" t="s">
        <v>2527</v>
      </c>
      <c r="N147" s="15"/>
      <c r="O147" s="15"/>
    </row>
    <row r="148" spans="1:15" ht="20.05" customHeight="1" x14ac:dyDescent="0.25">
      <c r="A148" s="1156" t="s">
        <v>118</v>
      </c>
      <c r="B148" s="874" t="s">
        <v>119</v>
      </c>
      <c r="C148" s="874" t="s">
        <v>120</v>
      </c>
      <c r="D148" s="578">
        <v>26108583</v>
      </c>
      <c r="E148" s="870" t="s">
        <v>486</v>
      </c>
      <c r="F148" s="868">
        <v>43651</v>
      </c>
      <c r="G148" s="868">
        <v>43676</v>
      </c>
      <c r="H148" s="869" t="s">
        <v>33</v>
      </c>
      <c r="I148" s="869">
        <v>12</v>
      </c>
      <c r="J148" s="869" t="s">
        <v>4</v>
      </c>
      <c r="K148" s="12" t="s">
        <v>335</v>
      </c>
      <c r="L148" s="870">
        <v>3015242924</v>
      </c>
      <c r="M148" s="870" t="s">
        <v>292</v>
      </c>
      <c r="N148" s="709"/>
      <c r="O148" s="18"/>
    </row>
    <row r="149" spans="1:15" ht="20.05" customHeight="1" x14ac:dyDescent="0.25">
      <c r="A149" s="1156"/>
      <c r="B149" s="874" t="s">
        <v>757</v>
      </c>
      <c r="C149" s="874" t="s">
        <v>758</v>
      </c>
      <c r="D149" s="578">
        <v>1072526426</v>
      </c>
      <c r="E149" s="870" t="s">
        <v>759</v>
      </c>
      <c r="F149" s="868">
        <v>43651</v>
      </c>
      <c r="G149" s="868">
        <v>43676</v>
      </c>
      <c r="H149" s="869" t="s">
        <v>33</v>
      </c>
      <c r="I149" s="869">
        <v>12</v>
      </c>
      <c r="J149" s="869" t="s">
        <v>4</v>
      </c>
      <c r="K149" s="12" t="s">
        <v>335</v>
      </c>
      <c r="L149" s="870">
        <v>3116831546</v>
      </c>
      <c r="M149" s="870" t="s">
        <v>760</v>
      </c>
      <c r="N149" s="709"/>
      <c r="O149" s="18"/>
    </row>
    <row r="150" spans="1:15" ht="20.05" customHeight="1" x14ac:dyDescent="0.25">
      <c r="A150" s="1156"/>
      <c r="B150" s="874" t="s">
        <v>1592</v>
      </c>
      <c r="C150" s="874" t="s">
        <v>1593</v>
      </c>
      <c r="D150" s="578">
        <v>26109281</v>
      </c>
      <c r="E150" s="300" t="s">
        <v>584</v>
      </c>
      <c r="F150" s="868">
        <v>43655</v>
      </c>
      <c r="G150" s="868">
        <v>43676</v>
      </c>
      <c r="H150" s="869" t="s">
        <v>33</v>
      </c>
      <c r="I150" s="869">
        <v>12</v>
      </c>
      <c r="J150" s="869" t="s">
        <v>4</v>
      </c>
      <c r="K150" s="12" t="s">
        <v>335</v>
      </c>
      <c r="L150" s="870">
        <v>3126433760</v>
      </c>
      <c r="M150" s="870" t="s">
        <v>1594</v>
      </c>
      <c r="N150" s="709"/>
      <c r="O150" s="18"/>
    </row>
    <row r="151" spans="1:15" ht="20.05" customHeight="1" x14ac:dyDescent="0.25">
      <c r="A151" s="1156"/>
      <c r="B151" s="1151" t="s">
        <v>2737</v>
      </c>
      <c r="C151" s="1151" t="s">
        <v>2738</v>
      </c>
      <c r="D151" s="1194">
        <v>2812859</v>
      </c>
      <c r="E151" s="1196" t="s">
        <v>493</v>
      </c>
      <c r="F151" s="1199">
        <v>43671</v>
      </c>
      <c r="G151" s="1199">
        <v>43707</v>
      </c>
      <c r="H151" s="987" t="s">
        <v>33</v>
      </c>
      <c r="I151" s="987">
        <v>12</v>
      </c>
      <c r="J151" s="987" t="s">
        <v>4</v>
      </c>
      <c r="K151" s="993" t="s">
        <v>335</v>
      </c>
      <c r="L151" s="1151" t="s">
        <v>2739</v>
      </c>
      <c r="M151" s="1151" t="s">
        <v>2740</v>
      </c>
      <c r="N151" s="709"/>
      <c r="O151" s="988"/>
    </row>
    <row r="152" spans="1:15" ht="20.05" customHeight="1" x14ac:dyDescent="0.25">
      <c r="A152" s="1156"/>
      <c r="B152" s="1152"/>
      <c r="C152" s="1152"/>
      <c r="D152" s="1195"/>
      <c r="E152" s="1197"/>
      <c r="F152" s="1200"/>
      <c r="G152" s="1200"/>
      <c r="H152" s="987" t="s">
        <v>686</v>
      </c>
      <c r="I152" s="987">
        <v>18</v>
      </c>
      <c r="J152" s="987" t="s">
        <v>4</v>
      </c>
      <c r="K152" s="993" t="s">
        <v>335</v>
      </c>
      <c r="L152" s="1152"/>
      <c r="M152" s="1152"/>
      <c r="N152" s="709"/>
      <c r="O152" s="988"/>
    </row>
    <row r="153" spans="1:15" ht="20.05" customHeight="1" x14ac:dyDescent="0.25">
      <c r="A153" s="1156"/>
      <c r="B153" s="874" t="s">
        <v>1371</v>
      </c>
      <c r="C153" s="874" t="s">
        <v>1370</v>
      </c>
      <c r="D153" s="578">
        <v>26108220</v>
      </c>
      <c r="E153" s="870" t="s">
        <v>486</v>
      </c>
      <c r="F153" s="868">
        <v>43651</v>
      </c>
      <c r="G153" s="868">
        <v>43676</v>
      </c>
      <c r="H153" s="869" t="s">
        <v>33</v>
      </c>
      <c r="I153" s="869">
        <v>12</v>
      </c>
      <c r="J153" s="869" t="s">
        <v>4</v>
      </c>
      <c r="K153" s="12" t="s">
        <v>335</v>
      </c>
      <c r="L153" s="870">
        <v>3225137732</v>
      </c>
      <c r="M153" s="870" t="s">
        <v>1372</v>
      </c>
      <c r="N153" s="709"/>
      <c r="O153" s="18"/>
    </row>
    <row r="154" spans="1:15" ht="20.05" customHeight="1" x14ac:dyDescent="0.25">
      <c r="A154" s="1156"/>
      <c r="B154" s="874" t="s">
        <v>728</v>
      </c>
      <c r="C154" s="874" t="s">
        <v>729</v>
      </c>
      <c r="D154" s="578">
        <v>3338698</v>
      </c>
      <c r="E154" s="870" t="s">
        <v>558</v>
      </c>
      <c r="F154" s="536">
        <v>43592</v>
      </c>
      <c r="G154" s="536">
        <v>43615</v>
      </c>
      <c r="H154" s="715" t="s">
        <v>33</v>
      </c>
      <c r="I154" s="715"/>
      <c r="J154" s="715" t="s">
        <v>4</v>
      </c>
      <c r="K154" s="12" t="s">
        <v>335</v>
      </c>
      <c r="L154" s="870">
        <v>3216580645</v>
      </c>
      <c r="M154" s="870" t="s">
        <v>730</v>
      </c>
      <c r="N154" s="709"/>
      <c r="O154" s="18"/>
    </row>
    <row r="155" spans="1:15" ht="20.05" customHeight="1" x14ac:dyDescent="0.25">
      <c r="A155" s="1156"/>
      <c r="B155" s="874" t="s">
        <v>1636</v>
      </c>
      <c r="C155" s="874" t="s">
        <v>1637</v>
      </c>
      <c r="D155" s="578">
        <v>33159006</v>
      </c>
      <c r="E155" s="870" t="s">
        <v>530</v>
      </c>
      <c r="F155" s="79"/>
      <c r="G155" s="79"/>
      <c r="J155" s="12" t="s">
        <v>4</v>
      </c>
      <c r="K155" s="12" t="s">
        <v>335</v>
      </c>
      <c r="L155" s="870">
        <v>3166177377</v>
      </c>
      <c r="M155" s="870" t="s">
        <v>1638</v>
      </c>
      <c r="N155" s="709"/>
      <c r="O155" s="18"/>
    </row>
    <row r="156" spans="1:15" ht="20.05" customHeight="1" x14ac:dyDescent="0.25">
      <c r="A156" s="1156"/>
      <c r="B156" s="874" t="s">
        <v>665</v>
      </c>
      <c r="C156" s="874" t="s">
        <v>664</v>
      </c>
      <c r="D156" s="578">
        <v>9047829</v>
      </c>
      <c r="E156" s="71" t="s">
        <v>666</v>
      </c>
      <c r="F156" s="868">
        <v>43651</v>
      </c>
      <c r="G156" s="868">
        <v>43676</v>
      </c>
      <c r="H156" s="869" t="s">
        <v>33</v>
      </c>
      <c r="I156" s="869">
        <v>12</v>
      </c>
      <c r="J156" s="869" t="s">
        <v>4</v>
      </c>
      <c r="K156" s="12" t="s">
        <v>335</v>
      </c>
      <c r="L156" s="870">
        <v>3106766091</v>
      </c>
      <c r="M156" s="870" t="s">
        <v>667</v>
      </c>
      <c r="N156" s="709"/>
      <c r="O156" s="18"/>
    </row>
    <row r="157" spans="1:15" ht="20.05" customHeight="1" x14ac:dyDescent="0.25">
      <c r="A157" s="1156"/>
      <c r="B157" s="874" t="s">
        <v>1384</v>
      </c>
      <c r="C157" s="874" t="s">
        <v>121</v>
      </c>
      <c r="D157" s="578">
        <v>1067167552</v>
      </c>
      <c r="E157" s="71" t="s">
        <v>529</v>
      </c>
      <c r="F157" s="868">
        <v>43651</v>
      </c>
      <c r="G157" s="868">
        <v>43676</v>
      </c>
      <c r="H157" s="869" t="s">
        <v>33</v>
      </c>
      <c r="I157" s="869">
        <v>12</v>
      </c>
      <c r="J157" s="869" t="s">
        <v>4</v>
      </c>
      <c r="K157" s="12" t="s">
        <v>335</v>
      </c>
      <c r="L157" s="870">
        <v>3145213283</v>
      </c>
      <c r="M157" s="870" t="s">
        <v>293</v>
      </c>
      <c r="N157" s="709"/>
      <c r="O157" s="18"/>
    </row>
    <row r="158" spans="1:15" ht="20.05" customHeight="1" x14ac:dyDescent="0.25">
      <c r="A158" s="1163" t="s">
        <v>212</v>
      </c>
      <c r="B158" s="875" t="s">
        <v>561</v>
      </c>
      <c r="C158" s="875" t="s">
        <v>562</v>
      </c>
      <c r="D158" s="101">
        <v>25752454</v>
      </c>
      <c r="E158" s="877" t="s">
        <v>563</v>
      </c>
      <c r="F158" s="329">
        <v>43621</v>
      </c>
      <c r="G158" s="329">
        <v>43646</v>
      </c>
      <c r="H158" s="699" t="s">
        <v>33</v>
      </c>
      <c r="I158" s="699"/>
      <c r="J158" s="699" t="s">
        <v>4</v>
      </c>
      <c r="K158" s="12" t="s">
        <v>1292</v>
      </c>
      <c r="L158" s="867">
        <v>304653088</v>
      </c>
      <c r="M158" s="867" t="s">
        <v>564</v>
      </c>
      <c r="N158" s="15"/>
      <c r="O158" s="15"/>
    </row>
    <row r="159" spans="1:15" ht="20.05" customHeight="1" x14ac:dyDescent="0.25">
      <c r="A159" s="1163"/>
      <c r="B159" s="875" t="s">
        <v>1010</v>
      </c>
      <c r="C159" s="875" t="s">
        <v>1011</v>
      </c>
      <c r="D159" s="101">
        <v>26145618</v>
      </c>
      <c r="E159" s="877" t="s">
        <v>530</v>
      </c>
      <c r="F159" s="868">
        <v>43651</v>
      </c>
      <c r="G159" s="868">
        <v>43676</v>
      </c>
      <c r="H159" s="869" t="s">
        <v>33</v>
      </c>
      <c r="I159" s="869">
        <v>12</v>
      </c>
      <c r="J159" s="869" t="s">
        <v>4</v>
      </c>
      <c r="K159" s="12" t="s">
        <v>1292</v>
      </c>
      <c r="L159" s="867" t="s">
        <v>1017</v>
      </c>
      <c r="M159" s="867" t="s">
        <v>1012</v>
      </c>
      <c r="N159" s="15"/>
      <c r="O159" s="15"/>
    </row>
    <row r="160" spans="1:15" ht="20.05" customHeight="1" x14ac:dyDescent="0.25">
      <c r="A160" s="1163"/>
      <c r="B160" s="1155" t="s">
        <v>219</v>
      </c>
      <c r="C160" s="1155" t="s">
        <v>220</v>
      </c>
      <c r="D160" s="1157">
        <v>1063722374</v>
      </c>
      <c r="E160" s="1149" t="s">
        <v>494</v>
      </c>
      <c r="F160" s="710">
        <v>43651</v>
      </c>
      <c r="G160" s="710">
        <v>43676</v>
      </c>
      <c r="H160" s="700" t="s">
        <v>686</v>
      </c>
      <c r="I160" s="869">
        <v>20</v>
      </c>
      <c r="J160" s="869" t="s">
        <v>5</v>
      </c>
      <c r="K160" s="12" t="s">
        <v>1292</v>
      </c>
      <c r="L160" s="1149">
        <v>3225892504</v>
      </c>
      <c r="M160" s="1149" t="s">
        <v>544</v>
      </c>
      <c r="N160" s="15"/>
      <c r="O160" s="15"/>
    </row>
    <row r="161" spans="1:15" ht="20.05" customHeight="1" x14ac:dyDescent="0.25">
      <c r="A161" s="1163"/>
      <c r="B161" s="1155"/>
      <c r="C161" s="1155"/>
      <c r="D161" s="1157"/>
      <c r="E161" s="1149"/>
      <c r="F161" s="868">
        <v>43651</v>
      </c>
      <c r="G161" s="868">
        <v>43676</v>
      </c>
      <c r="H161" s="869" t="s">
        <v>33</v>
      </c>
      <c r="I161" s="869">
        <v>12</v>
      </c>
      <c r="J161" s="869" t="s">
        <v>215</v>
      </c>
      <c r="K161" s="12" t="s">
        <v>2458</v>
      </c>
      <c r="L161" s="1149"/>
      <c r="M161" s="1149"/>
      <c r="N161" s="15"/>
      <c r="O161" s="15"/>
    </row>
    <row r="162" spans="1:15" ht="26.5" customHeight="1" x14ac:dyDescent="0.25">
      <c r="A162" s="876" t="s">
        <v>363</v>
      </c>
      <c r="B162" s="874" t="s">
        <v>611</v>
      </c>
      <c r="C162" s="874" t="s">
        <v>612</v>
      </c>
      <c r="D162" s="578">
        <v>1070822936</v>
      </c>
      <c r="E162" s="870" t="s">
        <v>484</v>
      </c>
      <c r="F162" s="868">
        <v>43651</v>
      </c>
      <c r="G162" s="868">
        <v>43676</v>
      </c>
      <c r="H162" s="869" t="s">
        <v>33</v>
      </c>
      <c r="I162" s="869">
        <v>12</v>
      </c>
      <c r="J162" s="869" t="s">
        <v>4</v>
      </c>
      <c r="K162" s="12" t="s">
        <v>1292</v>
      </c>
      <c r="L162" s="870">
        <v>3113514404</v>
      </c>
      <c r="M162" s="870" t="s">
        <v>613</v>
      </c>
      <c r="N162" s="18"/>
      <c r="O162" s="18"/>
    </row>
    <row r="163" spans="1:15" ht="20.05" customHeight="1" x14ac:dyDescent="0.25">
      <c r="A163" s="936" t="s">
        <v>810</v>
      </c>
      <c r="B163" s="875" t="s">
        <v>811</v>
      </c>
      <c r="C163" s="875" t="s">
        <v>812</v>
      </c>
      <c r="D163" s="101">
        <v>1553915</v>
      </c>
      <c r="E163" s="867" t="s">
        <v>813</v>
      </c>
      <c r="F163" s="868">
        <v>43651</v>
      </c>
      <c r="G163" s="868">
        <v>43676</v>
      </c>
      <c r="H163" s="869" t="s">
        <v>33</v>
      </c>
      <c r="I163" s="869">
        <v>12</v>
      </c>
      <c r="J163" s="869" t="s">
        <v>4</v>
      </c>
      <c r="K163" s="12" t="s">
        <v>814</v>
      </c>
      <c r="L163" s="867">
        <v>3114143837</v>
      </c>
      <c r="M163" s="867" t="s">
        <v>810</v>
      </c>
      <c r="N163" s="937"/>
      <c r="O163" s="937"/>
    </row>
    <row r="164" spans="1:15" ht="20.05" customHeight="1" x14ac:dyDescent="0.25">
      <c r="A164" s="1156" t="s">
        <v>25</v>
      </c>
      <c r="B164" s="874" t="s">
        <v>103</v>
      </c>
      <c r="C164" s="874" t="s">
        <v>104</v>
      </c>
      <c r="D164" s="578">
        <v>5810619</v>
      </c>
      <c r="E164" s="28" t="s">
        <v>494</v>
      </c>
      <c r="F164" s="868">
        <v>43651</v>
      </c>
      <c r="G164" s="868">
        <v>43676</v>
      </c>
      <c r="H164" s="869" t="s">
        <v>33</v>
      </c>
      <c r="I164" s="869">
        <v>12</v>
      </c>
      <c r="J164" s="869" t="s">
        <v>4</v>
      </c>
      <c r="K164" s="12" t="s">
        <v>26</v>
      </c>
      <c r="L164" s="870">
        <v>3005184535</v>
      </c>
      <c r="M164" s="870" t="s">
        <v>294</v>
      </c>
      <c r="N164" s="18"/>
      <c r="O164" s="18"/>
    </row>
    <row r="165" spans="1:15" ht="20.05" customHeight="1" x14ac:dyDescent="0.25">
      <c r="A165" s="1156"/>
      <c r="B165" s="874" t="s">
        <v>2184</v>
      </c>
      <c r="C165" s="874" t="s">
        <v>2183</v>
      </c>
      <c r="D165" s="578">
        <v>1063274057</v>
      </c>
      <c r="E165" s="28" t="s">
        <v>542</v>
      </c>
      <c r="F165" s="582">
        <v>43621</v>
      </c>
      <c r="G165" s="582">
        <v>43646</v>
      </c>
      <c r="H165" s="583" t="s">
        <v>33</v>
      </c>
      <c r="I165" s="699"/>
      <c r="J165" s="699" t="s">
        <v>4</v>
      </c>
      <c r="K165" s="12" t="s">
        <v>26</v>
      </c>
      <c r="L165" s="870">
        <v>3216176104</v>
      </c>
      <c r="M165" s="870" t="s">
        <v>2185</v>
      </c>
      <c r="N165" s="18"/>
      <c r="O165" s="18"/>
    </row>
    <row r="166" spans="1:15" ht="20.05" customHeight="1" x14ac:dyDescent="0.25">
      <c r="A166" s="1156"/>
      <c r="B166" s="1133" t="s">
        <v>2399</v>
      </c>
      <c r="C166" s="1133" t="s">
        <v>2400</v>
      </c>
      <c r="D166" s="1169">
        <v>50805001</v>
      </c>
      <c r="E166" s="1170" t="s">
        <v>530</v>
      </c>
      <c r="F166" s="272">
        <v>43655</v>
      </c>
      <c r="G166" s="272">
        <v>43676</v>
      </c>
      <c r="H166" s="871" t="s">
        <v>33</v>
      </c>
      <c r="I166" s="871">
        <v>12</v>
      </c>
      <c r="J166" s="871" t="s">
        <v>4</v>
      </c>
      <c r="K166" s="871" t="s">
        <v>1869</v>
      </c>
      <c r="L166" s="1133" t="s">
        <v>2402</v>
      </c>
      <c r="M166" s="1133" t="s">
        <v>2403</v>
      </c>
      <c r="N166" s="1133" t="s">
        <v>2615</v>
      </c>
      <c r="O166" s="1133"/>
    </row>
    <row r="167" spans="1:15" ht="20.05" customHeight="1" x14ac:dyDescent="0.25">
      <c r="A167" s="1156"/>
      <c r="B167" s="1133"/>
      <c r="C167" s="1133"/>
      <c r="D167" s="1169"/>
      <c r="E167" s="1170"/>
      <c r="F167" s="1158">
        <v>43652</v>
      </c>
      <c r="G167" s="1158">
        <v>43676</v>
      </c>
      <c r="H167" s="1133" t="s">
        <v>686</v>
      </c>
      <c r="I167" s="871">
        <v>6</v>
      </c>
      <c r="J167" s="871" t="s">
        <v>4</v>
      </c>
      <c r="K167" s="871" t="s">
        <v>1869</v>
      </c>
      <c r="L167" s="1133"/>
      <c r="M167" s="1133"/>
      <c r="N167" s="1133"/>
      <c r="O167" s="1133"/>
    </row>
    <row r="168" spans="1:15" ht="20.05" customHeight="1" x14ac:dyDescent="0.25">
      <c r="A168" s="1156"/>
      <c r="B168" s="1133"/>
      <c r="C168" s="1133"/>
      <c r="D168" s="1169"/>
      <c r="E168" s="1170"/>
      <c r="F168" s="1158"/>
      <c r="G168" s="1158"/>
      <c r="H168" s="1133"/>
      <c r="I168" s="871">
        <v>6</v>
      </c>
      <c r="J168" s="871" t="s">
        <v>5</v>
      </c>
      <c r="K168" s="871" t="s">
        <v>1869</v>
      </c>
      <c r="L168" s="1133"/>
      <c r="M168" s="1133"/>
      <c r="N168" s="1133"/>
      <c r="O168" s="1133"/>
    </row>
    <row r="169" spans="1:15" s="186" customFormat="1" ht="20.05" customHeight="1" x14ac:dyDescent="0.25">
      <c r="A169" s="1156"/>
      <c r="B169" s="1162" t="s">
        <v>1310</v>
      </c>
      <c r="C169" s="1162" t="s">
        <v>1311</v>
      </c>
      <c r="D169" s="1205">
        <v>26209781</v>
      </c>
      <c r="E169" s="1138" t="s">
        <v>481</v>
      </c>
      <c r="F169" s="1198">
        <v>43651</v>
      </c>
      <c r="G169" s="1198">
        <v>43676</v>
      </c>
      <c r="H169" s="1141" t="s">
        <v>65</v>
      </c>
      <c r="I169" s="882"/>
      <c r="J169" s="882" t="s">
        <v>4</v>
      </c>
      <c r="K169" s="12" t="s">
        <v>1876</v>
      </c>
      <c r="L169" s="1141">
        <v>3145413418</v>
      </c>
      <c r="M169" s="1138" t="s">
        <v>1871</v>
      </c>
      <c r="N169" s="1138" t="s">
        <v>2590</v>
      </c>
      <c r="O169" s="1138"/>
    </row>
    <row r="170" spans="1:15" s="186" customFormat="1" ht="20.05" customHeight="1" x14ac:dyDescent="0.25">
      <c r="A170" s="1156"/>
      <c r="B170" s="1162"/>
      <c r="C170" s="1162"/>
      <c r="D170" s="1205"/>
      <c r="E170" s="1138"/>
      <c r="F170" s="1198"/>
      <c r="G170" s="1198"/>
      <c r="H170" s="1141"/>
      <c r="I170" s="882"/>
      <c r="J170" s="882" t="s">
        <v>5</v>
      </c>
      <c r="K170" s="12" t="s">
        <v>1876</v>
      </c>
      <c r="L170" s="1141"/>
      <c r="M170" s="1138"/>
      <c r="N170" s="1138"/>
      <c r="O170" s="1138"/>
    </row>
    <row r="171" spans="1:15" s="186" customFormat="1" ht="20.05" customHeight="1" x14ac:dyDescent="0.25">
      <c r="A171" s="1156"/>
      <c r="B171" s="1162"/>
      <c r="C171" s="1162"/>
      <c r="D171" s="1205"/>
      <c r="E171" s="1138"/>
      <c r="F171" s="1198"/>
      <c r="G171" s="1198"/>
      <c r="H171" s="1141"/>
      <c r="I171" s="882"/>
      <c r="J171" s="882" t="s">
        <v>215</v>
      </c>
      <c r="K171" s="12" t="s">
        <v>1875</v>
      </c>
      <c r="L171" s="1141"/>
      <c r="M171" s="1138"/>
      <c r="N171" s="1138"/>
      <c r="O171" s="1138"/>
    </row>
    <row r="172" spans="1:15" ht="20.05" customHeight="1" x14ac:dyDescent="0.25">
      <c r="A172" s="1156"/>
      <c r="B172" s="874" t="s">
        <v>2181</v>
      </c>
      <c r="C172" s="874" t="s">
        <v>2180</v>
      </c>
      <c r="D172" s="578">
        <v>26209167</v>
      </c>
      <c r="E172" s="28" t="s">
        <v>499</v>
      </c>
      <c r="F172" s="710">
        <v>43621</v>
      </c>
      <c r="G172" s="710">
        <v>43646</v>
      </c>
      <c r="H172" s="700" t="s">
        <v>33</v>
      </c>
      <c r="I172" s="869">
        <v>12</v>
      </c>
      <c r="J172" s="869" t="s">
        <v>4</v>
      </c>
      <c r="K172" s="12" t="s">
        <v>1875</v>
      </c>
      <c r="L172" s="870">
        <v>3104435326</v>
      </c>
      <c r="M172" s="870" t="s">
        <v>2182</v>
      </c>
      <c r="N172" s="1145" t="s">
        <v>2333</v>
      </c>
      <c r="O172" s="1145"/>
    </row>
    <row r="173" spans="1:15" ht="20.05" customHeight="1" x14ac:dyDescent="0.25">
      <c r="A173" s="1156"/>
      <c r="B173" s="874" t="s">
        <v>2181</v>
      </c>
      <c r="C173" s="874" t="s">
        <v>2180</v>
      </c>
      <c r="D173" s="578">
        <v>26209167</v>
      </c>
      <c r="E173" s="28" t="s">
        <v>499</v>
      </c>
      <c r="F173" s="868">
        <v>43655</v>
      </c>
      <c r="G173" s="868">
        <v>43676</v>
      </c>
      <c r="H173" s="869" t="s">
        <v>33</v>
      </c>
      <c r="I173" s="869">
        <v>12</v>
      </c>
      <c r="J173" s="869" t="s">
        <v>4</v>
      </c>
      <c r="K173" s="12" t="s">
        <v>26</v>
      </c>
      <c r="L173" s="870">
        <v>3104435326</v>
      </c>
      <c r="M173" s="870" t="s">
        <v>2182</v>
      </c>
      <c r="N173" s="66"/>
      <c r="O173" s="66"/>
    </row>
    <row r="174" spans="1:15" ht="20.05" customHeight="1" x14ac:dyDescent="0.25">
      <c r="A174" s="1156"/>
      <c r="B174" s="874" t="s">
        <v>754</v>
      </c>
      <c r="C174" s="874" t="s">
        <v>755</v>
      </c>
      <c r="D174" s="578">
        <v>78768442</v>
      </c>
      <c r="E174" s="28" t="s">
        <v>542</v>
      </c>
      <c r="F174" s="79"/>
      <c r="G174" s="79"/>
      <c r="K174" s="12" t="s">
        <v>26</v>
      </c>
      <c r="L174" s="870">
        <v>3205021157</v>
      </c>
      <c r="M174" s="870" t="s">
        <v>756</v>
      </c>
      <c r="N174" s="18"/>
      <c r="O174" s="18"/>
    </row>
    <row r="175" spans="1:15" ht="19.7" customHeight="1" x14ac:dyDescent="0.25">
      <c r="A175" s="1161" t="s">
        <v>105</v>
      </c>
      <c r="B175" s="875" t="s">
        <v>106</v>
      </c>
      <c r="C175" s="875" t="s">
        <v>107</v>
      </c>
      <c r="D175" s="101">
        <v>26248006</v>
      </c>
      <c r="E175" s="867" t="s">
        <v>490</v>
      </c>
      <c r="F175" s="868">
        <v>43651</v>
      </c>
      <c r="G175" s="868">
        <v>43676</v>
      </c>
      <c r="H175" s="869" t="s">
        <v>33</v>
      </c>
      <c r="I175" s="869">
        <v>12</v>
      </c>
      <c r="J175" s="869" t="s">
        <v>4</v>
      </c>
      <c r="K175" s="12" t="s">
        <v>1869</v>
      </c>
      <c r="L175" s="867">
        <v>3118363308</v>
      </c>
      <c r="M175" s="867" t="s">
        <v>291</v>
      </c>
      <c r="N175" s="15"/>
      <c r="O175" s="15"/>
    </row>
    <row r="176" spans="1:15" ht="19.7" customHeight="1" x14ac:dyDescent="0.25">
      <c r="A176" s="1161"/>
      <c r="B176" s="875" t="s">
        <v>2559</v>
      </c>
      <c r="C176" s="875" t="s">
        <v>2560</v>
      </c>
      <c r="D176" s="101">
        <v>26232372</v>
      </c>
      <c r="E176" s="867" t="s">
        <v>490</v>
      </c>
      <c r="F176" s="868">
        <v>43664</v>
      </c>
      <c r="G176" s="868">
        <v>43676</v>
      </c>
      <c r="H176" s="869" t="s">
        <v>33</v>
      </c>
      <c r="I176" s="869">
        <v>12</v>
      </c>
      <c r="J176" s="869" t="s">
        <v>4</v>
      </c>
      <c r="K176" s="12" t="s">
        <v>1869</v>
      </c>
      <c r="L176" s="867">
        <v>3013595323</v>
      </c>
      <c r="M176" s="867" t="s">
        <v>2561</v>
      </c>
      <c r="N176" s="15"/>
      <c r="O176" s="15"/>
    </row>
    <row r="177" spans="1:15" ht="18.7" customHeight="1" x14ac:dyDescent="0.25">
      <c r="A177" s="1161"/>
      <c r="B177" s="875" t="s">
        <v>674</v>
      </c>
      <c r="C177" s="875" t="s">
        <v>675</v>
      </c>
      <c r="D177" s="101">
        <v>1068807131</v>
      </c>
      <c r="E177" s="867" t="s">
        <v>676</v>
      </c>
      <c r="F177" s="868">
        <v>43651</v>
      </c>
      <c r="G177" s="868">
        <v>43676</v>
      </c>
      <c r="H177" s="869" t="s">
        <v>33</v>
      </c>
      <c r="I177" s="869">
        <v>12</v>
      </c>
      <c r="J177" s="869" t="s">
        <v>4</v>
      </c>
      <c r="K177" s="12" t="s">
        <v>1869</v>
      </c>
      <c r="L177" s="14" t="s">
        <v>677</v>
      </c>
      <c r="M177" s="867" t="s">
        <v>678</v>
      </c>
      <c r="N177" s="15"/>
      <c r="O177" s="15"/>
    </row>
    <row r="178" spans="1:15" ht="22.6" customHeight="1" x14ac:dyDescent="0.25">
      <c r="A178" s="1156" t="s">
        <v>15</v>
      </c>
      <c r="B178" s="874" t="s">
        <v>565</v>
      </c>
      <c r="C178" s="874" t="s">
        <v>566</v>
      </c>
      <c r="D178" s="578">
        <v>25985090</v>
      </c>
      <c r="E178" s="256" t="s">
        <v>493</v>
      </c>
      <c r="F178" s="868">
        <v>43651</v>
      </c>
      <c r="G178" s="868">
        <v>43676</v>
      </c>
      <c r="H178" s="869" t="s">
        <v>33</v>
      </c>
      <c r="I178" s="869">
        <v>12</v>
      </c>
      <c r="J178" s="869" t="s">
        <v>4</v>
      </c>
      <c r="K178" s="128" t="s">
        <v>16</v>
      </c>
      <c r="L178" s="256">
        <v>3186910386</v>
      </c>
      <c r="M178" s="256" t="s">
        <v>567</v>
      </c>
      <c r="N178" s="18"/>
      <c r="O178" s="18"/>
    </row>
    <row r="179" spans="1:15" ht="22.6" customHeight="1" x14ac:dyDescent="0.25">
      <c r="A179" s="1156"/>
      <c r="B179" s="874" t="s">
        <v>1597</v>
      </c>
      <c r="C179" s="874" t="s">
        <v>1598</v>
      </c>
      <c r="D179" s="578">
        <v>1063274211</v>
      </c>
      <c r="E179" s="256" t="s">
        <v>484</v>
      </c>
      <c r="F179" s="868">
        <v>43655</v>
      </c>
      <c r="G179" s="868">
        <v>43676</v>
      </c>
      <c r="H179" s="869" t="s">
        <v>33</v>
      </c>
      <c r="I179" s="869">
        <v>12</v>
      </c>
      <c r="J179" s="869" t="s">
        <v>4</v>
      </c>
      <c r="K179" s="128" t="s">
        <v>16</v>
      </c>
      <c r="L179" s="256">
        <v>3116125075</v>
      </c>
      <c r="M179" s="300" t="s">
        <v>1599</v>
      </c>
      <c r="N179" s="18"/>
      <c r="O179" s="18"/>
    </row>
    <row r="180" spans="1:15" ht="22.6" customHeight="1" x14ac:dyDescent="0.25">
      <c r="A180" s="1156"/>
      <c r="B180" s="874" t="s">
        <v>1642</v>
      </c>
      <c r="C180" s="874" t="s">
        <v>1643</v>
      </c>
      <c r="D180" s="578">
        <v>1063285529</v>
      </c>
      <c r="E180" s="256" t="s">
        <v>742</v>
      </c>
      <c r="F180" s="868">
        <v>43655</v>
      </c>
      <c r="G180" s="868">
        <v>43676</v>
      </c>
      <c r="H180" s="869" t="s">
        <v>33</v>
      </c>
      <c r="I180" s="869">
        <v>12</v>
      </c>
      <c r="J180" s="869" t="s">
        <v>4</v>
      </c>
      <c r="K180" s="128" t="s">
        <v>16</v>
      </c>
      <c r="L180" s="256" t="s">
        <v>1644</v>
      </c>
      <c r="M180" s="300"/>
      <c r="N180" s="18"/>
      <c r="O180" s="18"/>
    </row>
    <row r="181" spans="1:15" ht="23.3" customHeight="1" x14ac:dyDescent="0.25">
      <c r="A181" s="872" t="s">
        <v>768</v>
      </c>
      <c r="B181" s="875" t="s">
        <v>702</v>
      </c>
      <c r="C181" s="875" t="s">
        <v>703</v>
      </c>
      <c r="D181" s="101">
        <v>25806852</v>
      </c>
      <c r="E181" s="14" t="s">
        <v>704</v>
      </c>
      <c r="F181" s="868">
        <v>43651</v>
      </c>
      <c r="G181" s="868">
        <v>43676</v>
      </c>
      <c r="H181" s="869" t="s">
        <v>33</v>
      </c>
      <c r="I181" s="869">
        <v>12</v>
      </c>
      <c r="J181" s="869" t="s">
        <v>4</v>
      </c>
      <c r="K181" s="12" t="s">
        <v>769</v>
      </c>
      <c r="L181" s="867" t="s">
        <v>705</v>
      </c>
      <c r="M181" s="867" t="s">
        <v>706</v>
      </c>
      <c r="N181" s="938"/>
      <c r="O181" s="938"/>
    </row>
    <row r="182" spans="1:15" ht="23.3" customHeight="1" x14ac:dyDescent="0.25">
      <c r="A182" s="1156" t="s">
        <v>449</v>
      </c>
      <c r="B182" s="874" t="s">
        <v>1786</v>
      </c>
      <c r="C182" s="874" t="s">
        <v>1785</v>
      </c>
      <c r="D182" s="578">
        <v>1067938228</v>
      </c>
      <c r="E182" s="28"/>
      <c r="F182" s="868">
        <v>43655</v>
      </c>
      <c r="G182" s="868">
        <v>43677</v>
      </c>
      <c r="H182" s="869" t="s">
        <v>33</v>
      </c>
      <c r="I182" s="869">
        <v>12</v>
      </c>
      <c r="J182" s="869" t="s">
        <v>4</v>
      </c>
      <c r="K182" s="12" t="s">
        <v>450</v>
      </c>
      <c r="L182" s="870">
        <v>3218494909</v>
      </c>
      <c r="M182" s="870" t="s">
        <v>1787</v>
      </c>
      <c r="N182" s="171"/>
      <c r="O182" s="171"/>
    </row>
    <row r="183" spans="1:15" ht="23.3" customHeight="1" x14ac:dyDescent="0.25">
      <c r="A183" s="1156"/>
      <c r="B183" s="874" t="s">
        <v>2365</v>
      </c>
      <c r="C183" s="874" t="s">
        <v>2366</v>
      </c>
      <c r="D183" s="578">
        <v>1067910836</v>
      </c>
      <c r="E183" s="28" t="s">
        <v>2367</v>
      </c>
      <c r="F183" s="868">
        <v>43651</v>
      </c>
      <c r="G183" s="868">
        <v>43677</v>
      </c>
      <c r="H183" s="869" t="s">
        <v>33</v>
      </c>
      <c r="I183" s="869">
        <v>12</v>
      </c>
      <c r="J183" s="869" t="s">
        <v>4</v>
      </c>
      <c r="K183" s="12" t="s">
        <v>450</v>
      </c>
      <c r="L183" s="870">
        <v>3106921015</v>
      </c>
      <c r="M183" s="870" t="s">
        <v>2368</v>
      </c>
      <c r="N183" s="171"/>
      <c r="O183" s="171"/>
    </row>
    <row r="184" spans="1:15" ht="23.3" customHeight="1" x14ac:dyDescent="0.25">
      <c r="A184" s="1156"/>
      <c r="B184" s="719" t="s">
        <v>1810</v>
      </c>
      <c r="C184" s="719" t="s">
        <v>1811</v>
      </c>
      <c r="D184" s="720">
        <v>1063290339</v>
      </c>
      <c r="E184" s="459"/>
      <c r="F184" s="868">
        <v>43655</v>
      </c>
      <c r="G184" s="868">
        <v>43676</v>
      </c>
      <c r="H184" s="869" t="s">
        <v>33</v>
      </c>
      <c r="I184" s="869">
        <v>12</v>
      </c>
      <c r="J184" s="869" t="s">
        <v>4</v>
      </c>
      <c r="K184" s="12" t="s">
        <v>450</v>
      </c>
      <c r="L184" s="871">
        <v>3007419328</v>
      </c>
      <c r="M184" s="871" t="s">
        <v>1812</v>
      </c>
      <c r="N184" s="274" t="s">
        <v>1978</v>
      </c>
      <c r="O184" s="274"/>
    </row>
    <row r="185" spans="1:15" ht="23.3" customHeight="1" x14ac:dyDescent="0.25">
      <c r="A185" s="1156"/>
      <c r="B185" s="719" t="s">
        <v>1830</v>
      </c>
      <c r="C185" s="719" t="s">
        <v>1811</v>
      </c>
      <c r="D185" s="720">
        <v>1007798485</v>
      </c>
      <c r="E185" s="459" t="s">
        <v>1808</v>
      </c>
      <c r="F185" s="868">
        <v>43655</v>
      </c>
      <c r="G185" s="868">
        <v>43676</v>
      </c>
      <c r="H185" s="869" t="s">
        <v>33</v>
      </c>
      <c r="I185" s="869">
        <v>12</v>
      </c>
      <c r="J185" s="869" t="s">
        <v>4</v>
      </c>
      <c r="K185" s="12" t="s">
        <v>450</v>
      </c>
      <c r="L185" s="871">
        <v>3007419328</v>
      </c>
      <c r="M185" s="871" t="s">
        <v>1812</v>
      </c>
      <c r="N185" s="274"/>
      <c r="O185" s="274"/>
    </row>
    <row r="186" spans="1:15" s="313" customFormat="1" ht="20.05" customHeight="1" x14ac:dyDescent="0.25">
      <c r="A186" s="1156"/>
      <c r="B186" s="709" t="s">
        <v>2281</v>
      </c>
      <c r="C186" s="709" t="s">
        <v>2282</v>
      </c>
      <c r="D186" s="578">
        <v>1138088278</v>
      </c>
      <c r="E186" s="870" t="s">
        <v>484</v>
      </c>
      <c r="F186" s="881">
        <v>43642</v>
      </c>
      <c r="G186" s="881">
        <v>43676</v>
      </c>
      <c r="H186" s="934" t="s">
        <v>33</v>
      </c>
      <c r="I186" s="869">
        <v>12</v>
      </c>
      <c r="J186" s="869" t="s">
        <v>4</v>
      </c>
      <c r="K186" s="12" t="s">
        <v>450</v>
      </c>
      <c r="L186" s="879">
        <v>3126159713</v>
      </c>
      <c r="M186" s="880" t="s">
        <v>2283</v>
      </c>
      <c r="N186" s="878"/>
      <c r="O186" s="41"/>
    </row>
    <row r="187" spans="1:15" s="313" customFormat="1" ht="20.05" customHeight="1" x14ac:dyDescent="0.25">
      <c r="A187" s="1156"/>
      <c r="B187" s="709" t="s">
        <v>2429</v>
      </c>
      <c r="C187" s="709" t="s">
        <v>2430</v>
      </c>
      <c r="D187" s="578">
        <v>25813438</v>
      </c>
      <c r="E187" s="870" t="s">
        <v>493</v>
      </c>
      <c r="F187" s="881">
        <v>43658</v>
      </c>
      <c r="G187" s="881">
        <v>43677</v>
      </c>
      <c r="H187" s="934" t="s">
        <v>33</v>
      </c>
      <c r="I187" s="869">
        <v>12</v>
      </c>
      <c r="J187" s="869" t="s">
        <v>4</v>
      </c>
      <c r="K187" s="12" t="s">
        <v>450</v>
      </c>
      <c r="L187" s="879" t="s">
        <v>2431</v>
      </c>
      <c r="M187" s="880" t="s">
        <v>2432</v>
      </c>
      <c r="N187" s="878"/>
      <c r="O187" s="41"/>
    </row>
    <row r="188" spans="1:15" ht="23.3" customHeight="1" x14ac:dyDescent="0.25">
      <c r="A188" s="1156"/>
      <c r="B188" s="874" t="s">
        <v>1893</v>
      </c>
      <c r="C188" s="874" t="s">
        <v>1894</v>
      </c>
      <c r="D188" s="578">
        <v>78706974</v>
      </c>
      <c r="E188" s="28"/>
      <c r="F188" s="392"/>
      <c r="G188" s="392"/>
      <c r="H188" s="715" t="s">
        <v>33</v>
      </c>
      <c r="I188" s="715"/>
      <c r="J188" s="715" t="s">
        <v>4</v>
      </c>
      <c r="K188" s="12" t="s">
        <v>450</v>
      </c>
      <c r="L188" s="870" t="s">
        <v>1895</v>
      </c>
      <c r="M188" s="870" t="s">
        <v>1896</v>
      </c>
      <c r="N188" s="171"/>
      <c r="O188" s="171"/>
    </row>
    <row r="189" spans="1:15" ht="23.3" customHeight="1" x14ac:dyDescent="0.25">
      <c r="A189" s="1156"/>
      <c r="B189" s="719" t="s">
        <v>1836</v>
      </c>
      <c r="C189" s="719" t="s">
        <v>1837</v>
      </c>
      <c r="D189" s="720">
        <v>1143955146</v>
      </c>
      <c r="E189" s="459"/>
      <c r="F189" s="536">
        <v>43587</v>
      </c>
      <c r="G189" s="536">
        <v>43615</v>
      </c>
      <c r="H189" s="871" t="s">
        <v>33</v>
      </c>
      <c r="I189" s="871"/>
      <c r="J189" s="871" t="s">
        <v>4</v>
      </c>
      <c r="K189" s="12" t="s">
        <v>450</v>
      </c>
      <c r="L189" s="871">
        <v>313542009</v>
      </c>
      <c r="M189" s="871" t="s">
        <v>1838</v>
      </c>
      <c r="N189" s="274" t="s">
        <v>1978</v>
      </c>
      <c r="O189" s="274"/>
    </row>
    <row r="190" spans="1:15" ht="23.3" customHeight="1" x14ac:dyDescent="0.25">
      <c r="A190" s="1156"/>
      <c r="B190" s="719" t="s">
        <v>1813</v>
      </c>
      <c r="C190" s="719" t="s">
        <v>1792</v>
      </c>
      <c r="D190" s="720">
        <v>1064898806</v>
      </c>
      <c r="E190" s="459"/>
      <c r="F190" s="868">
        <v>43655</v>
      </c>
      <c r="G190" s="868">
        <v>43676</v>
      </c>
      <c r="H190" s="869" t="s">
        <v>33</v>
      </c>
      <c r="I190" s="869">
        <v>12</v>
      </c>
      <c r="J190" s="869" t="s">
        <v>4</v>
      </c>
      <c r="K190" s="12" t="s">
        <v>450</v>
      </c>
      <c r="L190" s="871"/>
      <c r="M190" s="871"/>
      <c r="N190" s="274" t="s">
        <v>1978</v>
      </c>
      <c r="O190" s="274"/>
    </row>
    <row r="191" spans="1:15" ht="23.3" customHeight="1" x14ac:dyDescent="0.25">
      <c r="A191" s="1156"/>
      <c r="B191" s="719" t="s">
        <v>1791</v>
      </c>
      <c r="C191" s="719" t="s">
        <v>1792</v>
      </c>
      <c r="D191" s="720">
        <v>1066605669</v>
      </c>
      <c r="E191" s="459"/>
      <c r="F191" s="868">
        <v>43655</v>
      </c>
      <c r="G191" s="868">
        <v>43676</v>
      </c>
      <c r="H191" s="869" t="s">
        <v>33</v>
      </c>
      <c r="I191" s="869">
        <v>12</v>
      </c>
      <c r="J191" s="869" t="s">
        <v>4</v>
      </c>
      <c r="K191" s="12" t="s">
        <v>450</v>
      </c>
      <c r="L191" s="871"/>
      <c r="M191" s="871"/>
      <c r="N191" s="274"/>
      <c r="O191" s="274"/>
    </row>
    <row r="192" spans="1:15" ht="23.3" customHeight="1" x14ac:dyDescent="0.25">
      <c r="A192" s="1156"/>
      <c r="B192" s="874" t="s">
        <v>1639</v>
      </c>
      <c r="C192" s="874" t="s">
        <v>1640</v>
      </c>
      <c r="D192" s="578">
        <v>1038141470</v>
      </c>
      <c r="E192" s="28" t="s">
        <v>676</v>
      </c>
      <c r="F192" s="868">
        <v>43655</v>
      </c>
      <c r="G192" s="868">
        <v>43677</v>
      </c>
      <c r="H192" s="869" t="s">
        <v>33</v>
      </c>
      <c r="I192" s="869">
        <v>12</v>
      </c>
      <c r="J192" s="869" t="s">
        <v>4</v>
      </c>
      <c r="K192" s="12" t="s">
        <v>450</v>
      </c>
      <c r="L192" s="870">
        <v>3122945291</v>
      </c>
      <c r="M192" s="870" t="s">
        <v>1641</v>
      </c>
      <c r="N192" s="171"/>
      <c r="O192" s="171"/>
    </row>
    <row r="193" spans="1:15" ht="20.05" customHeight="1" x14ac:dyDescent="0.25">
      <c r="A193" s="1165" t="s">
        <v>20</v>
      </c>
      <c r="B193" s="1155" t="s">
        <v>122</v>
      </c>
      <c r="C193" s="1155" t="s">
        <v>123</v>
      </c>
      <c r="D193" s="1157">
        <v>6622875</v>
      </c>
      <c r="E193" s="1201" t="s">
        <v>511</v>
      </c>
      <c r="F193" s="868">
        <v>43651</v>
      </c>
      <c r="G193" s="868">
        <v>43676</v>
      </c>
      <c r="H193" s="869" t="s">
        <v>33</v>
      </c>
      <c r="I193" s="869">
        <v>12</v>
      </c>
      <c r="J193" s="869" t="s">
        <v>4</v>
      </c>
      <c r="K193" s="12" t="s">
        <v>2176</v>
      </c>
      <c r="L193" s="1149">
        <v>3014095228</v>
      </c>
      <c r="M193" s="1149" t="s">
        <v>246</v>
      </c>
      <c r="N193" s="15"/>
      <c r="O193" s="15"/>
    </row>
    <row r="194" spans="1:15" ht="20.05" customHeight="1" x14ac:dyDescent="0.25">
      <c r="A194" s="1165"/>
      <c r="B194" s="1155"/>
      <c r="C194" s="1155"/>
      <c r="D194" s="1157"/>
      <c r="E194" s="1201"/>
      <c r="F194" s="868">
        <v>43651</v>
      </c>
      <c r="G194" s="868">
        <v>43676</v>
      </c>
      <c r="H194" s="869" t="s">
        <v>686</v>
      </c>
      <c r="I194" s="869">
        <v>20</v>
      </c>
      <c r="J194" s="869" t="s">
        <v>215</v>
      </c>
      <c r="K194" s="12" t="s">
        <v>614</v>
      </c>
      <c r="L194" s="1149"/>
      <c r="M194" s="1149"/>
      <c r="N194" s="15"/>
      <c r="O194" s="15"/>
    </row>
    <row r="195" spans="1:15" ht="20.05" customHeight="1" x14ac:dyDescent="0.25">
      <c r="A195" s="1165"/>
      <c r="B195" s="875" t="s">
        <v>765</v>
      </c>
      <c r="C195" s="875" t="s">
        <v>766</v>
      </c>
      <c r="D195" s="101">
        <v>26041111</v>
      </c>
      <c r="E195" s="14" t="s">
        <v>493</v>
      </c>
      <c r="F195" s="868">
        <v>43651</v>
      </c>
      <c r="G195" s="868">
        <v>43676</v>
      </c>
      <c r="H195" s="869" t="s">
        <v>33</v>
      </c>
      <c r="I195" s="869">
        <v>12</v>
      </c>
      <c r="J195" s="869" t="s">
        <v>4</v>
      </c>
      <c r="K195" s="12" t="s">
        <v>2176</v>
      </c>
      <c r="L195" s="867">
        <v>3017562505</v>
      </c>
      <c r="M195" s="867" t="s">
        <v>767</v>
      </c>
      <c r="N195" s="15"/>
      <c r="O195" s="15"/>
    </row>
    <row r="196" spans="1:15" ht="25.85" customHeight="1" x14ac:dyDescent="0.25">
      <c r="A196" s="1165"/>
      <c r="B196" s="875" t="s">
        <v>983</v>
      </c>
      <c r="C196" s="875" t="s">
        <v>984</v>
      </c>
      <c r="D196" s="101">
        <v>2720884</v>
      </c>
      <c r="E196" s="14" t="s">
        <v>480</v>
      </c>
      <c r="F196" s="868">
        <v>43655</v>
      </c>
      <c r="G196" s="868">
        <v>43677</v>
      </c>
      <c r="H196" s="869" t="s">
        <v>33</v>
      </c>
      <c r="I196" s="869">
        <v>12</v>
      </c>
      <c r="J196" s="869" t="s">
        <v>4</v>
      </c>
      <c r="K196" s="12" t="s">
        <v>2176</v>
      </c>
      <c r="L196" s="867" t="s">
        <v>985</v>
      </c>
      <c r="M196" s="867" t="s">
        <v>986</v>
      </c>
      <c r="N196" s="15"/>
      <c r="O196" s="15"/>
    </row>
    <row r="197" spans="1:15" ht="20.05" customHeight="1" x14ac:dyDescent="0.25">
      <c r="A197" s="1165"/>
      <c r="B197" s="875" t="s">
        <v>1247</v>
      </c>
      <c r="C197" s="875" t="s">
        <v>1248</v>
      </c>
      <c r="D197" s="101">
        <v>26050493</v>
      </c>
      <c r="E197" s="14" t="s">
        <v>1249</v>
      </c>
      <c r="F197" s="868">
        <v>43658</v>
      </c>
      <c r="G197" s="868">
        <v>43676</v>
      </c>
      <c r="H197" s="869" t="s">
        <v>33</v>
      </c>
      <c r="I197" s="869">
        <v>12</v>
      </c>
      <c r="J197" s="869" t="s">
        <v>4</v>
      </c>
      <c r="K197" s="12" t="s">
        <v>2176</v>
      </c>
      <c r="L197" s="867">
        <v>3126441916</v>
      </c>
      <c r="M197" s="867" t="s">
        <v>1250</v>
      </c>
      <c r="N197" s="15"/>
      <c r="O197" s="15"/>
    </row>
    <row r="198" spans="1:15" ht="21.1" customHeight="1" x14ac:dyDescent="0.25">
      <c r="A198" s="1165"/>
      <c r="B198" s="875" t="s">
        <v>473</v>
      </c>
      <c r="C198" s="875" t="s">
        <v>474</v>
      </c>
      <c r="D198" s="101">
        <v>15662778</v>
      </c>
      <c r="E198" s="867" t="s">
        <v>486</v>
      </c>
      <c r="F198" s="868">
        <v>43651</v>
      </c>
      <c r="G198" s="868">
        <v>43676</v>
      </c>
      <c r="H198" s="869" t="s">
        <v>33</v>
      </c>
      <c r="I198" s="869">
        <v>12</v>
      </c>
      <c r="J198" s="869" t="s">
        <v>4</v>
      </c>
      <c r="K198" s="12" t="s">
        <v>2176</v>
      </c>
      <c r="L198" s="867">
        <v>3145875328</v>
      </c>
      <c r="M198" s="877" t="s">
        <v>475</v>
      </c>
      <c r="N198" s="15"/>
      <c r="O198" s="15"/>
    </row>
    <row r="199" spans="1:15" ht="21.1" customHeight="1" x14ac:dyDescent="0.25">
      <c r="A199" s="1165"/>
      <c r="B199" s="875" t="s">
        <v>331</v>
      </c>
      <c r="C199" s="875" t="s">
        <v>332</v>
      </c>
      <c r="D199" s="101">
        <v>26048532</v>
      </c>
      <c r="E199" s="14" t="s">
        <v>485</v>
      </c>
      <c r="F199" s="868">
        <v>43651</v>
      </c>
      <c r="G199" s="868">
        <v>43676</v>
      </c>
      <c r="H199" s="869" t="s">
        <v>33</v>
      </c>
      <c r="I199" s="869">
        <v>12</v>
      </c>
      <c r="J199" s="869" t="s">
        <v>4</v>
      </c>
      <c r="K199" s="12" t="s">
        <v>2176</v>
      </c>
      <c r="L199" s="867">
        <v>3126292364</v>
      </c>
      <c r="M199" s="867" t="s">
        <v>333</v>
      </c>
      <c r="N199" s="15"/>
      <c r="O199" s="15"/>
    </row>
    <row r="200" spans="1:15" ht="20.25" customHeight="1" x14ac:dyDescent="0.25">
      <c r="A200" s="1165"/>
      <c r="B200" s="1155" t="s">
        <v>280</v>
      </c>
      <c r="C200" s="1155" t="s">
        <v>281</v>
      </c>
      <c r="D200" s="1157">
        <v>22007132</v>
      </c>
      <c r="E200" s="1149" t="s">
        <v>512</v>
      </c>
      <c r="F200" s="868">
        <v>43651</v>
      </c>
      <c r="G200" s="868">
        <v>43676</v>
      </c>
      <c r="H200" s="869" t="s">
        <v>33</v>
      </c>
      <c r="I200" s="869">
        <v>12</v>
      </c>
      <c r="J200" s="869" t="s">
        <v>4</v>
      </c>
      <c r="K200" s="12" t="s">
        <v>2176</v>
      </c>
      <c r="L200" s="1149">
        <v>3126657933</v>
      </c>
      <c r="M200" s="1149" t="s">
        <v>282</v>
      </c>
      <c r="N200" s="678"/>
      <c r="O200" s="15"/>
    </row>
    <row r="201" spans="1:15" ht="20.25" customHeight="1" x14ac:dyDescent="0.25">
      <c r="A201" s="1165"/>
      <c r="B201" s="1155"/>
      <c r="C201" s="1155"/>
      <c r="D201" s="1157"/>
      <c r="E201" s="1149"/>
      <c r="F201" s="868">
        <v>43655</v>
      </c>
      <c r="G201" s="868">
        <v>43676</v>
      </c>
      <c r="H201" s="869" t="s">
        <v>686</v>
      </c>
      <c r="I201" s="869">
        <v>20</v>
      </c>
      <c r="J201" s="869" t="s">
        <v>215</v>
      </c>
      <c r="K201" s="12" t="s">
        <v>614</v>
      </c>
      <c r="L201" s="1149"/>
      <c r="M201" s="1149"/>
      <c r="N201" s="678"/>
      <c r="O201" s="15"/>
    </row>
    <row r="202" spans="1:15" ht="20.05" customHeight="1" x14ac:dyDescent="0.25">
      <c r="A202" s="1156" t="s">
        <v>383</v>
      </c>
      <c r="B202" s="1135" t="s">
        <v>466</v>
      </c>
      <c r="C202" s="1135" t="s">
        <v>467</v>
      </c>
      <c r="D202" s="1159">
        <v>45433315</v>
      </c>
      <c r="E202" s="1135" t="s">
        <v>530</v>
      </c>
      <c r="F202" s="868">
        <v>43651</v>
      </c>
      <c r="G202" s="868">
        <v>43676</v>
      </c>
      <c r="H202" s="869" t="s">
        <v>33</v>
      </c>
      <c r="I202" s="869">
        <v>12</v>
      </c>
      <c r="J202" s="869" t="s">
        <v>4</v>
      </c>
      <c r="K202" s="12" t="s">
        <v>469</v>
      </c>
      <c r="L202" s="1135">
        <v>3105039232</v>
      </c>
      <c r="M202" s="1135" t="s">
        <v>468</v>
      </c>
      <c r="N202" s="939"/>
      <c r="O202" s="18"/>
    </row>
    <row r="203" spans="1:15" ht="20.05" customHeight="1" x14ac:dyDescent="0.25">
      <c r="A203" s="1156"/>
      <c r="B203" s="1135"/>
      <c r="C203" s="1135"/>
      <c r="D203" s="1159"/>
      <c r="E203" s="1135"/>
      <c r="F203" s="1128">
        <v>43655</v>
      </c>
      <c r="G203" s="1128">
        <v>43676</v>
      </c>
      <c r="H203" s="1131" t="s">
        <v>686</v>
      </c>
      <c r="I203" s="869">
        <v>20</v>
      </c>
      <c r="J203" s="869" t="s">
        <v>215</v>
      </c>
      <c r="L203" s="1135"/>
      <c r="M203" s="1135"/>
      <c r="N203" s="939"/>
      <c r="O203" s="18"/>
    </row>
    <row r="204" spans="1:15" ht="20.05" customHeight="1" x14ac:dyDescent="0.25">
      <c r="A204" s="1156"/>
      <c r="B204" s="1135"/>
      <c r="C204" s="1135"/>
      <c r="D204" s="1159"/>
      <c r="E204" s="1135"/>
      <c r="F204" s="1128"/>
      <c r="G204" s="1128"/>
      <c r="H204" s="1131"/>
      <c r="I204" s="869">
        <v>8</v>
      </c>
      <c r="J204" s="869" t="s">
        <v>4</v>
      </c>
      <c r="K204" s="12" t="s">
        <v>469</v>
      </c>
      <c r="L204" s="1135"/>
      <c r="M204" s="1135"/>
      <c r="N204" s="939"/>
      <c r="O204" s="18"/>
    </row>
    <row r="205" spans="1:15" ht="23.1" customHeight="1" x14ac:dyDescent="0.25">
      <c r="A205" s="1156"/>
      <c r="B205" s="874" t="s">
        <v>108</v>
      </c>
      <c r="C205" s="874" t="s">
        <v>109</v>
      </c>
      <c r="D205" s="578">
        <v>30059542</v>
      </c>
      <c r="E205" s="28" t="s">
        <v>494</v>
      </c>
      <c r="F205" s="868">
        <v>43651</v>
      </c>
      <c r="G205" s="868">
        <v>43676</v>
      </c>
      <c r="H205" s="869" t="s">
        <v>33</v>
      </c>
      <c r="I205" s="869">
        <v>12</v>
      </c>
      <c r="J205" s="869" t="s">
        <v>4</v>
      </c>
      <c r="K205" s="12" t="s">
        <v>469</v>
      </c>
      <c r="L205" s="870">
        <v>3107179869</v>
      </c>
      <c r="M205" s="870" t="s">
        <v>1075</v>
      </c>
      <c r="N205" s="940"/>
      <c r="O205" s="18"/>
    </row>
    <row r="206" spans="1:15" ht="23.1" customHeight="1" x14ac:dyDescent="0.25">
      <c r="A206" s="1160" t="s">
        <v>110</v>
      </c>
      <c r="B206" s="1148" t="s">
        <v>2320</v>
      </c>
      <c r="C206" s="1148" t="s">
        <v>2321</v>
      </c>
      <c r="D206" s="1153">
        <v>1568080</v>
      </c>
      <c r="E206" s="1154" t="s">
        <v>493</v>
      </c>
      <c r="F206" s="868">
        <v>43644</v>
      </c>
      <c r="G206" s="868">
        <v>43676</v>
      </c>
      <c r="H206" s="869" t="s">
        <v>33</v>
      </c>
      <c r="I206" s="869">
        <v>12</v>
      </c>
      <c r="J206" s="869" t="s">
        <v>4</v>
      </c>
      <c r="K206" s="12" t="s">
        <v>111</v>
      </c>
      <c r="L206" s="1148">
        <v>3114211201</v>
      </c>
      <c r="M206" s="1148" t="s">
        <v>2322</v>
      </c>
      <c r="N206" s="663"/>
      <c r="O206" s="664"/>
    </row>
    <row r="207" spans="1:15" ht="23.1" customHeight="1" x14ac:dyDescent="0.25">
      <c r="A207" s="1160"/>
      <c r="B207" s="1148"/>
      <c r="C207" s="1148"/>
      <c r="D207" s="1153"/>
      <c r="E207" s="1154"/>
      <c r="F207" s="868">
        <v>43644</v>
      </c>
      <c r="G207" s="868">
        <v>43676</v>
      </c>
      <c r="H207" s="869" t="s">
        <v>686</v>
      </c>
      <c r="I207" s="869">
        <v>8</v>
      </c>
      <c r="J207" s="869" t="s">
        <v>4</v>
      </c>
      <c r="K207" s="12" t="s">
        <v>111</v>
      </c>
      <c r="L207" s="1148"/>
      <c r="M207" s="1148"/>
      <c r="N207" s="663"/>
      <c r="O207" s="664"/>
    </row>
  </sheetData>
  <autoFilter ref="A1:O207"/>
  <mergeCells count="277">
    <mergeCell ref="H203:H204"/>
    <mergeCell ref="D200:D201"/>
    <mergeCell ref="E193:E194"/>
    <mergeCell ref="A52:A102"/>
    <mergeCell ref="L131:L133"/>
    <mergeCell ref="L107:L109"/>
    <mergeCell ref="F111:F112"/>
    <mergeCell ref="E200:E201"/>
    <mergeCell ref="E110:E112"/>
    <mergeCell ref="B97:B98"/>
    <mergeCell ref="B131:B133"/>
    <mergeCell ref="B105:B106"/>
    <mergeCell ref="C110:C112"/>
    <mergeCell ref="C107:C109"/>
    <mergeCell ref="E107:E109"/>
    <mergeCell ref="C105:C106"/>
    <mergeCell ref="E99:E101"/>
    <mergeCell ref="L105:L106"/>
    <mergeCell ref="D193:D194"/>
    <mergeCell ref="B73:B75"/>
    <mergeCell ref="B77:B78"/>
    <mergeCell ref="D169:D171"/>
    <mergeCell ref="C94:C96"/>
    <mergeCell ref="D105:D106"/>
    <mergeCell ref="D110:D112"/>
    <mergeCell ref="D151:D152"/>
    <mergeCell ref="E151:E152"/>
    <mergeCell ref="D202:D204"/>
    <mergeCell ref="E202:E204"/>
    <mergeCell ref="F203:F204"/>
    <mergeCell ref="G203:G204"/>
    <mergeCell ref="C99:C101"/>
    <mergeCell ref="G100:G101"/>
    <mergeCell ref="F131:F133"/>
    <mergeCell ref="G107:G108"/>
    <mergeCell ref="E144:E145"/>
    <mergeCell ref="F144:F145"/>
    <mergeCell ref="G144:G145"/>
    <mergeCell ref="E160:E161"/>
    <mergeCell ref="G169:G171"/>
    <mergeCell ref="F169:F171"/>
    <mergeCell ref="E169:E171"/>
    <mergeCell ref="C200:C201"/>
    <mergeCell ref="F151:F152"/>
    <mergeCell ref="G151:G152"/>
    <mergeCell ref="E94:E96"/>
    <mergeCell ref="E105:E106"/>
    <mergeCell ref="G111:G112"/>
    <mergeCell ref="E97:E98"/>
    <mergeCell ref="E131:E133"/>
    <mergeCell ref="F100:F101"/>
    <mergeCell ref="F95:F96"/>
    <mergeCell ref="B151:B152"/>
    <mergeCell ref="G15:G17"/>
    <mergeCell ref="F15:F17"/>
    <mergeCell ref="E29:E30"/>
    <mergeCell ref="E55:E56"/>
    <mergeCell ref="B89:B91"/>
    <mergeCell ref="B71:B72"/>
    <mergeCell ref="B94:B96"/>
    <mergeCell ref="G131:G133"/>
    <mergeCell ref="D131:D133"/>
    <mergeCell ref="D97:D98"/>
    <mergeCell ref="D71:D72"/>
    <mergeCell ref="B14:B17"/>
    <mergeCell ref="C14:C17"/>
    <mergeCell ref="B21:B23"/>
    <mergeCell ref="D21:D23"/>
    <mergeCell ref="D65:D66"/>
    <mergeCell ref="C89:C91"/>
    <mergeCell ref="C144:C145"/>
    <mergeCell ref="D144:D145"/>
    <mergeCell ref="A2:A30"/>
    <mergeCell ref="E89:E91"/>
    <mergeCell ref="C65:C66"/>
    <mergeCell ref="C34:C36"/>
    <mergeCell ref="B26:B28"/>
    <mergeCell ref="E21:E23"/>
    <mergeCell ref="D14:D17"/>
    <mergeCell ref="E14:E17"/>
    <mergeCell ref="E26:E28"/>
    <mergeCell ref="D26:D28"/>
    <mergeCell ref="C71:C72"/>
    <mergeCell ref="C26:C28"/>
    <mergeCell ref="D55:D56"/>
    <mergeCell ref="E34:E36"/>
    <mergeCell ref="E47:E48"/>
    <mergeCell ref="E71:E72"/>
    <mergeCell ref="A31:A39"/>
    <mergeCell ref="B29:B30"/>
    <mergeCell ref="A49:A51"/>
    <mergeCell ref="A40:A48"/>
    <mergeCell ref="E73:E75"/>
    <mergeCell ref="H15:H17"/>
    <mergeCell ref="M69:M70"/>
    <mergeCell ref="L58:L59"/>
    <mergeCell ref="L47:L48"/>
    <mergeCell ref="L29:L30"/>
    <mergeCell ref="L34:L36"/>
    <mergeCell ref="M58:M59"/>
    <mergeCell ref="L44:L45"/>
    <mergeCell ref="M44:M45"/>
    <mergeCell ref="L69:L70"/>
    <mergeCell ref="M21:M23"/>
    <mergeCell ref="L21:L23"/>
    <mergeCell ref="B69:B70"/>
    <mergeCell ref="G22:G23"/>
    <mergeCell ref="F35:F36"/>
    <mergeCell ref="B34:B36"/>
    <mergeCell ref="B67:B68"/>
    <mergeCell ref="B55:B56"/>
    <mergeCell ref="C55:C56"/>
    <mergeCell ref="C29:C30"/>
    <mergeCell ref="C21:C23"/>
    <mergeCell ref="B65:B66"/>
    <mergeCell ref="C44:C45"/>
    <mergeCell ref="B47:B48"/>
    <mergeCell ref="B58:B59"/>
    <mergeCell ref="C58:C59"/>
    <mergeCell ref="B44:B45"/>
    <mergeCell ref="C69:C70"/>
    <mergeCell ref="D69:D70"/>
    <mergeCell ref="C67:C68"/>
    <mergeCell ref="C47:C48"/>
    <mergeCell ref="E69:E70"/>
    <mergeCell ref="D47:D48"/>
    <mergeCell ref="D44:D45"/>
    <mergeCell ref="E44:E45"/>
    <mergeCell ref="F22:F23"/>
    <mergeCell ref="N26:N28"/>
    <mergeCell ref="L26:L28"/>
    <mergeCell ref="M67:M68"/>
    <mergeCell ref="M26:M28"/>
    <mergeCell ref="M47:M48"/>
    <mergeCell ref="G35:G36"/>
    <mergeCell ref="H35:H36"/>
    <mergeCell ref="M29:M30"/>
    <mergeCell ref="M34:M36"/>
    <mergeCell ref="N65:N66"/>
    <mergeCell ref="N40:O40"/>
    <mergeCell ref="N46:O46"/>
    <mergeCell ref="N63:O63"/>
    <mergeCell ref="L67:L68"/>
    <mergeCell ref="H58:H59"/>
    <mergeCell ref="N69:N70"/>
    <mergeCell ref="D58:D59"/>
    <mergeCell ref="E58:E59"/>
    <mergeCell ref="E67:E68"/>
    <mergeCell ref="D67:D68"/>
    <mergeCell ref="E65:E66"/>
    <mergeCell ref="A193:A201"/>
    <mergeCell ref="A146:A147"/>
    <mergeCell ref="C97:C98"/>
    <mergeCell ref="C131:C133"/>
    <mergeCell ref="A107:A138"/>
    <mergeCell ref="A103:A106"/>
    <mergeCell ref="B99:B101"/>
    <mergeCell ref="B107:B109"/>
    <mergeCell ref="N172:O172"/>
    <mergeCell ref="D166:D168"/>
    <mergeCell ref="E166:E168"/>
    <mergeCell ref="F167:F168"/>
    <mergeCell ref="C73:C75"/>
    <mergeCell ref="E77:E78"/>
    <mergeCell ref="F74:F75"/>
    <mergeCell ref="C77:C78"/>
    <mergeCell ref="D77:D78"/>
    <mergeCell ref="H169:H171"/>
    <mergeCell ref="A202:A205"/>
    <mergeCell ref="A175:A177"/>
    <mergeCell ref="C169:C171"/>
    <mergeCell ref="B169:B171"/>
    <mergeCell ref="A158:A161"/>
    <mergeCell ref="B160:B161"/>
    <mergeCell ref="B110:B112"/>
    <mergeCell ref="A144:A145"/>
    <mergeCell ref="B144:B145"/>
    <mergeCell ref="A139:A143"/>
    <mergeCell ref="B193:B194"/>
    <mergeCell ref="C151:C152"/>
    <mergeCell ref="B202:B204"/>
    <mergeCell ref="C202:C204"/>
    <mergeCell ref="B166:B168"/>
    <mergeCell ref="D206:D207"/>
    <mergeCell ref="E206:E207"/>
    <mergeCell ref="L206:L207"/>
    <mergeCell ref="B200:B201"/>
    <mergeCell ref="C160:C161"/>
    <mergeCell ref="A164:A174"/>
    <mergeCell ref="D160:D161"/>
    <mergeCell ref="C193:C194"/>
    <mergeCell ref="B116:B118"/>
    <mergeCell ref="C116:C118"/>
    <mergeCell ref="G167:G168"/>
    <mergeCell ref="H167:H168"/>
    <mergeCell ref="D116:D118"/>
    <mergeCell ref="E116:E118"/>
    <mergeCell ref="F116:F118"/>
    <mergeCell ref="G116:G118"/>
    <mergeCell ref="H116:H117"/>
    <mergeCell ref="A178:A180"/>
    <mergeCell ref="A148:A157"/>
    <mergeCell ref="A182:A192"/>
    <mergeCell ref="A206:A207"/>
    <mergeCell ref="B206:B207"/>
    <mergeCell ref="C206:C207"/>
    <mergeCell ref="C166:C168"/>
    <mergeCell ref="M206:M207"/>
    <mergeCell ref="M97:M98"/>
    <mergeCell ref="M200:M201"/>
    <mergeCell ref="M160:M161"/>
    <mergeCell ref="M193:M194"/>
    <mergeCell ref="L200:L201"/>
    <mergeCell ref="M131:M133"/>
    <mergeCell ref="L166:L168"/>
    <mergeCell ref="M166:M168"/>
    <mergeCell ref="L116:L118"/>
    <mergeCell ref="M116:M118"/>
    <mergeCell ref="L110:L112"/>
    <mergeCell ref="M110:M112"/>
    <mergeCell ref="M99:M101"/>
    <mergeCell ref="M105:M106"/>
    <mergeCell ref="M202:M204"/>
    <mergeCell ref="L202:L204"/>
    <mergeCell ref="L193:L194"/>
    <mergeCell ref="L160:L161"/>
    <mergeCell ref="L169:L171"/>
    <mergeCell ref="L97:L98"/>
    <mergeCell ref="L151:L152"/>
    <mergeCell ref="M151:M152"/>
    <mergeCell ref="H100:H101"/>
    <mergeCell ref="N169:O171"/>
    <mergeCell ref="N71:N72"/>
    <mergeCell ref="N77:O77"/>
    <mergeCell ref="N84:O84"/>
    <mergeCell ref="G74:G75"/>
    <mergeCell ref="L144:L145"/>
    <mergeCell ref="M144:M145"/>
    <mergeCell ref="M169:M171"/>
    <mergeCell ref="H144:H145"/>
    <mergeCell ref="N136:O136"/>
    <mergeCell ref="N115:O115"/>
    <mergeCell ref="G90:G91"/>
    <mergeCell ref="N124:O124"/>
    <mergeCell ref="H107:H108"/>
    <mergeCell ref="M107:M109"/>
    <mergeCell ref="H90:H91"/>
    <mergeCell ref="H131:H133"/>
    <mergeCell ref="H111:H112"/>
    <mergeCell ref="L73:L75"/>
    <mergeCell ref="L89:L91"/>
    <mergeCell ref="N137:O137"/>
    <mergeCell ref="N166:O168"/>
    <mergeCell ref="N3:O3"/>
    <mergeCell ref="G58:G59"/>
    <mergeCell ref="G44:G45"/>
    <mergeCell ref="H44:H45"/>
    <mergeCell ref="I44:I45"/>
    <mergeCell ref="F90:F91"/>
    <mergeCell ref="F107:F108"/>
    <mergeCell ref="F44:F45"/>
    <mergeCell ref="F58:F59"/>
    <mergeCell ref="L99:L101"/>
    <mergeCell ref="G95:G96"/>
    <mergeCell ref="N89:N91"/>
    <mergeCell ref="L94:L96"/>
    <mergeCell ref="M94:M96"/>
    <mergeCell ref="L14:L17"/>
    <mergeCell ref="H95:H96"/>
    <mergeCell ref="M71:M72"/>
    <mergeCell ref="M73:M75"/>
    <mergeCell ref="H22:H23"/>
    <mergeCell ref="L71:L72"/>
    <mergeCell ref="H74:H75"/>
    <mergeCell ref="N99:N101"/>
    <mergeCell ref="M14:M17"/>
    <mergeCell ref="M89:M91"/>
  </mergeCells>
  <pageMargins left="0.23622047244094491" right="0.23622047244094491" top="0.74803149606299213" bottom="0.35433070866141736" header="0.31496062992125984" footer="0.31496062992125984"/>
  <pageSetup scale="65" fitToHeight="0" orientation="landscape"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7030A0"/>
    <pageSetUpPr fitToPage="1"/>
  </sheetPr>
  <dimension ref="A1:P198"/>
  <sheetViews>
    <sheetView tabSelected="1" zoomScaleNormal="100" workbookViewId="0">
      <pane ySplit="1" topLeftCell="A11" activePane="bottomLeft" state="frozen"/>
      <selection pane="bottomLeft" activeCell="K19" sqref="K19"/>
    </sheetView>
  </sheetViews>
  <sheetFormatPr baseColWidth="10" defaultColWidth="11.375" defaultRowHeight="20.05" customHeight="1" x14ac:dyDescent="0.25"/>
  <cols>
    <col min="1" max="1" width="5.875" style="313" customWidth="1"/>
    <col min="2" max="2" width="23.25" style="313" customWidth="1"/>
    <col min="3" max="3" width="23.625" style="313" customWidth="1"/>
    <col min="4" max="4" width="12.125" style="957" customWidth="1"/>
    <col min="5" max="5" width="17.25" style="933" customWidth="1"/>
    <col min="6" max="6" width="12.625" style="131" customWidth="1"/>
    <col min="7" max="7" width="12.375" style="131" customWidth="1"/>
    <col min="8" max="8" width="12.625" style="128" customWidth="1"/>
    <col min="9" max="9" width="6.25" style="933" customWidth="1"/>
    <col min="10" max="10" width="6.125" style="933" customWidth="1"/>
    <col min="11" max="11" width="16.375" style="661" customWidth="1"/>
    <col min="12" max="12" width="11.875" style="958" hidden="1" customWidth="1"/>
    <col min="13" max="13" width="25.375" style="933" hidden="1" customWidth="1"/>
    <col min="14" max="14" width="23.25" style="933" customWidth="1"/>
    <col min="15" max="15" width="23" style="313" customWidth="1"/>
    <col min="16" max="16384" width="11.375" style="313"/>
  </cols>
  <sheetData>
    <row r="1" spans="1:15" s="933" customFormat="1" ht="20.05" customHeight="1" x14ac:dyDescent="0.25">
      <c r="A1" s="39" t="s">
        <v>12</v>
      </c>
      <c r="B1" s="184" t="s">
        <v>27</v>
      </c>
      <c r="C1" s="184" t="s">
        <v>11</v>
      </c>
      <c r="D1" s="136" t="s">
        <v>879</v>
      </c>
      <c r="E1" s="39" t="s">
        <v>472</v>
      </c>
      <c r="F1" s="80" t="s">
        <v>1</v>
      </c>
      <c r="G1" s="80" t="s">
        <v>2</v>
      </c>
      <c r="H1" s="39" t="s">
        <v>28</v>
      </c>
      <c r="I1" s="39" t="s">
        <v>13</v>
      </c>
      <c r="J1" s="40" t="s">
        <v>224</v>
      </c>
      <c r="K1" s="659" t="s">
        <v>2297</v>
      </c>
      <c r="L1" s="40" t="s">
        <v>0</v>
      </c>
      <c r="M1" s="39" t="s">
        <v>222</v>
      </c>
      <c r="N1" s="39" t="s">
        <v>3</v>
      </c>
      <c r="O1" s="39" t="s">
        <v>532</v>
      </c>
    </row>
    <row r="2" spans="1:15" ht="20.05" customHeight="1" x14ac:dyDescent="0.25">
      <c r="A2" s="223" t="s">
        <v>14</v>
      </c>
      <c r="B2" s="41" t="s">
        <v>130</v>
      </c>
      <c r="C2" s="41" t="s">
        <v>131</v>
      </c>
      <c r="D2" s="137">
        <v>25757424</v>
      </c>
      <c r="E2" s="896" t="s">
        <v>481</v>
      </c>
      <c r="F2" s="891">
        <v>43651</v>
      </c>
      <c r="G2" s="891">
        <v>43676</v>
      </c>
      <c r="H2" s="892" t="s">
        <v>33</v>
      </c>
      <c r="I2" s="892">
        <v>12</v>
      </c>
      <c r="J2" s="892" t="s">
        <v>4</v>
      </c>
      <c r="K2" s="662" t="s">
        <v>1869</v>
      </c>
      <c r="L2" s="898" t="s">
        <v>324</v>
      </c>
      <c r="M2" s="896" t="s">
        <v>325</v>
      </c>
      <c r="N2" s="896"/>
      <c r="O2" s="41"/>
    </row>
    <row r="3" spans="1:15" ht="20.05" customHeight="1" x14ac:dyDescent="0.25">
      <c r="A3" s="223"/>
      <c r="B3" s="1212" t="s">
        <v>132</v>
      </c>
      <c r="C3" s="1212" t="s">
        <v>133</v>
      </c>
      <c r="D3" s="1209">
        <v>4835668</v>
      </c>
      <c r="E3" s="1206" t="s">
        <v>489</v>
      </c>
      <c r="F3" s="891">
        <v>43651</v>
      </c>
      <c r="G3" s="891">
        <v>43676</v>
      </c>
      <c r="H3" s="892" t="s">
        <v>33</v>
      </c>
      <c r="I3" s="892">
        <v>12</v>
      </c>
      <c r="J3" s="892" t="s">
        <v>4</v>
      </c>
      <c r="K3" s="662" t="s">
        <v>2301</v>
      </c>
      <c r="L3" s="1207">
        <v>3146272862</v>
      </c>
      <c r="M3" s="1206" t="s">
        <v>248</v>
      </c>
      <c r="N3" s="896"/>
      <c r="O3" s="41"/>
    </row>
    <row r="4" spans="1:15" ht="20.05" customHeight="1" x14ac:dyDescent="0.25">
      <c r="A4" s="223"/>
      <c r="B4" s="1212"/>
      <c r="C4" s="1212"/>
      <c r="D4" s="1209"/>
      <c r="E4" s="1206"/>
      <c r="F4" s="1129">
        <v>43655</v>
      </c>
      <c r="G4" s="1129">
        <v>43676</v>
      </c>
      <c r="H4" s="1208" t="s">
        <v>686</v>
      </c>
      <c r="I4" s="892">
        <v>8</v>
      </c>
      <c r="J4" s="892" t="s">
        <v>4</v>
      </c>
      <c r="K4" s="662" t="s">
        <v>2301</v>
      </c>
      <c r="L4" s="1207"/>
      <c r="M4" s="1206"/>
      <c r="N4" s="896"/>
      <c r="O4" s="41"/>
    </row>
    <row r="5" spans="1:15" ht="20.05" customHeight="1" x14ac:dyDescent="0.25">
      <c r="A5" s="223"/>
      <c r="B5" s="1212"/>
      <c r="C5" s="1212"/>
      <c r="D5" s="1209"/>
      <c r="E5" s="1206"/>
      <c r="F5" s="1129"/>
      <c r="G5" s="1129"/>
      <c r="H5" s="1208"/>
      <c r="I5" s="892">
        <v>20</v>
      </c>
      <c r="J5" s="892" t="s">
        <v>8</v>
      </c>
      <c r="K5" s="81"/>
      <c r="L5" s="1207"/>
      <c r="M5" s="1206"/>
      <c r="N5" s="896"/>
      <c r="O5" s="41"/>
    </row>
    <row r="6" spans="1:15" ht="20.05" customHeight="1" x14ac:dyDescent="0.25">
      <c r="A6" s="223"/>
      <c r="B6" s="901" t="s">
        <v>1856</v>
      </c>
      <c r="C6" s="901" t="s">
        <v>1857</v>
      </c>
      <c r="D6" s="138">
        <v>25765616</v>
      </c>
      <c r="E6" s="896" t="s">
        <v>1858</v>
      </c>
      <c r="F6" s="891">
        <v>43651</v>
      </c>
      <c r="G6" s="891">
        <v>43676</v>
      </c>
      <c r="H6" s="892" t="s">
        <v>33</v>
      </c>
      <c r="I6" s="892">
        <v>12</v>
      </c>
      <c r="J6" s="892" t="s">
        <v>4</v>
      </c>
      <c r="K6" s="662" t="s">
        <v>2466</v>
      </c>
      <c r="L6" s="898">
        <v>3164811137</v>
      </c>
      <c r="M6" s="896" t="s">
        <v>1859</v>
      </c>
      <c r="N6" s="896"/>
      <c r="O6" s="41"/>
    </row>
    <row r="7" spans="1:15" ht="20.05" customHeight="1" x14ac:dyDescent="0.25">
      <c r="A7" s="223"/>
      <c r="B7" s="901" t="s">
        <v>1788</v>
      </c>
      <c r="C7" s="901" t="s">
        <v>2202</v>
      </c>
      <c r="D7" s="138">
        <v>34976866</v>
      </c>
      <c r="E7" s="896" t="s">
        <v>493</v>
      </c>
      <c r="F7" s="891">
        <v>43655</v>
      </c>
      <c r="G7" s="891">
        <v>43677</v>
      </c>
      <c r="H7" s="892" t="s">
        <v>33</v>
      </c>
      <c r="I7" s="892">
        <v>12</v>
      </c>
      <c r="J7" s="892" t="s">
        <v>4</v>
      </c>
      <c r="K7" s="662" t="s">
        <v>2301</v>
      </c>
      <c r="L7" s="898">
        <v>3135341151</v>
      </c>
      <c r="M7" s="896" t="s">
        <v>2292</v>
      </c>
      <c r="N7" s="896"/>
      <c r="O7" s="41"/>
    </row>
    <row r="8" spans="1:15" ht="20.05" customHeight="1" x14ac:dyDescent="0.25">
      <c r="A8" s="223"/>
      <c r="B8" s="901" t="s">
        <v>1633</v>
      </c>
      <c r="C8" s="901" t="s">
        <v>1634</v>
      </c>
      <c r="D8" s="138">
        <v>25753785</v>
      </c>
      <c r="E8" s="896" t="s">
        <v>493</v>
      </c>
      <c r="F8" s="891">
        <v>43651</v>
      </c>
      <c r="G8" s="891">
        <v>43676</v>
      </c>
      <c r="H8" s="892" t="s">
        <v>33</v>
      </c>
      <c r="I8" s="892">
        <v>12</v>
      </c>
      <c r="J8" s="892" t="s">
        <v>4</v>
      </c>
      <c r="K8" s="662" t="s">
        <v>390</v>
      </c>
      <c r="L8" s="898">
        <v>3108239538</v>
      </c>
      <c r="M8" s="44" t="s">
        <v>1635</v>
      </c>
      <c r="N8" s="896" t="s">
        <v>822</v>
      </c>
      <c r="O8" s="41"/>
    </row>
    <row r="9" spans="1:15" s="186" customFormat="1" ht="20.05" customHeight="1" x14ac:dyDescent="0.25">
      <c r="A9" s="962"/>
      <c r="B9" s="946" t="s">
        <v>2207</v>
      </c>
      <c r="C9" s="946" t="s">
        <v>2208</v>
      </c>
      <c r="D9" s="945">
        <v>6572033</v>
      </c>
      <c r="E9" s="947" t="s">
        <v>494</v>
      </c>
      <c r="F9" s="950">
        <v>43655</v>
      </c>
      <c r="G9" s="950">
        <v>43676</v>
      </c>
      <c r="H9" s="947" t="s">
        <v>33</v>
      </c>
      <c r="I9" s="947">
        <v>12</v>
      </c>
      <c r="J9" s="947" t="s">
        <v>4</v>
      </c>
      <c r="K9" s="948" t="s">
        <v>2301</v>
      </c>
      <c r="L9" s="944">
        <v>3118055473</v>
      </c>
      <c r="M9" s="949" t="s">
        <v>2209</v>
      </c>
      <c r="N9" s="1221" t="s">
        <v>2625</v>
      </c>
      <c r="O9" s="1222"/>
    </row>
    <row r="10" spans="1:15" ht="20.05" customHeight="1" x14ac:dyDescent="0.25">
      <c r="A10" s="223"/>
      <c r="B10" s="901" t="s">
        <v>1793</v>
      </c>
      <c r="C10" s="901" t="s">
        <v>2521</v>
      </c>
      <c r="D10" s="138">
        <v>23102535</v>
      </c>
      <c r="E10" s="896" t="s">
        <v>1795</v>
      </c>
      <c r="F10" s="891">
        <v>43651</v>
      </c>
      <c r="G10" s="891">
        <v>43676</v>
      </c>
      <c r="H10" s="892" t="s">
        <v>33</v>
      </c>
      <c r="I10" s="892">
        <v>12</v>
      </c>
      <c r="J10" s="892" t="s">
        <v>4</v>
      </c>
      <c r="K10" s="662" t="s">
        <v>2313</v>
      </c>
      <c r="L10" s="898">
        <v>3043453770</v>
      </c>
      <c r="M10" s="44" t="s">
        <v>1794</v>
      </c>
      <c r="N10" s="896"/>
      <c r="O10" s="41"/>
    </row>
    <row r="11" spans="1:15" ht="20.05" customHeight="1" x14ac:dyDescent="0.25">
      <c r="A11" s="223"/>
      <c r="B11" s="901" t="s">
        <v>1797</v>
      </c>
      <c r="C11" s="901" t="s">
        <v>1796</v>
      </c>
      <c r="D11" s="138">
        <v>34795183</v>
      </c>
      <c r="E11" s="44" t="s">
        <v>1798</v>
      </c>
      <c r="F11" s="891">
        <v>43651</v>
      </c>
      <c r="G11" s="891">
        <v>43676</v>
      </c>
      <c r="H11" s="892" t="s">
        <v>33</v>
      </c>
      <c r="I11" s="892">
        <v>12</v>
      </c>
      <c r="J11" s="892" t="s">
        <v>4</v>
      </c>
      <c r="K11" s="662" t="s">
        <v>2305</v>
      </c>
      <c r="L11" s="43" t="s">
        <v>1882</v>
      </c>
      <c r="M11" s="44" t="s">
        <v>1881</v>
      </c>
      <c r="N11" s="896"/>
      <c r="O11" s="41"/>
    </row>
    <row r="12" spans="1:15" ht="20.05" customHeight="1" x14ac:dyDescent="0.25">
      <c r="A12" s="223"/>
      <c r="B12" s="901" t="s">
        <v>1799</v>
      </c>
      <c r="C12" s="901" t="s">
        <v>1800</v>
      </c>
      <c r="D12" s="138">
        <v>6572903</v>
      </c>
      <c r="E12" s="44" t="s">
        <v>1801</v>
      </c>
      <c r="F12" s="891">
        <v>43622</v>
      </c>
      <c r="G12" s="891">
        <v>43646</v>
      </c>
      <c r="H12" s="892" t="s">
        <v>33</v>
      </c>
      <c r="I12" s="892">
        <v>12</v>
      </c>
      <c r="J12" s="892" t="s">
        <v>4</v>
      </c>
      <c r="K12" s="662" t="s">
        <v>1869</v>
      </c>
      <c r="L12" s="898">
        <v>3107215354</v>
      </c>
      <c r="M12" s="44" t="s">
        <v>1802</v>
      </c>
      <c r="N12" s="1131" t="s">
        <v>2328</v>
      </c>
      <c r="O12" s="1131"/>
    </row>
    <row r="13" spans="1:15" ht="20.05" customHeight="1" x14ac:dyDescent="0.25">
      <c r="A13" s="223"/>
      <c r="B13" s="901" t="s">
        <v>1799</v>
      </c>
      <c r="C13" s="901" t="s">
        <v>1800</v>
      </c>
      <c r="D13" s="138">
        <v>6572903</v>
      </c>
      <c r="E13" s="44" t="s">
        <v>1801</v>
      </c>
      <c r="F13" s="891">
        <v>43651</v>
      </c>
      <c r="G13" s="891">
        <v>43676</v>
      </c>
      <c r="H13" s="892" t="s">
        <v>33</v>
      </c>
      <c r="I13" s="892">
        <v>12</v>
      </c>
      <c r="J13" s="892" t="s">
        <v>4</v>
      </c>
      <c r="K13" s="662" t="s">
        <v>1869</v>
      </c>
      <c r="L13" s="898">
        <v>3107215354</v>
      </c>
      <c r="M13" s="44" t="s">
        <v>1802</v>
      </c>
      <c r="N13" s="896"/>
      <c r="O13" s="41"/>
    </row>
    <row r="14" spans="1:15" ht="20.05" customHeight="1" x14ac:dyDescent="0.25">
      <c r="A14" s="223"/>
      <c r="B14" s="901" t="s">
        <v>1803</v>
      </c>
      <c r="C14" s="901" t="s">
        <v>1804</v>
      </c>
      <c r="D14" s="138">
        <v>26183087</v>
      </c>
      <c r="E14" s="44" t="s">
        <v>558</v>
      </c>
      <c r="F14" s="891">
        <v>43651</v>
      </c>
      <c r="G14" s="891">
        <v>43676</v>
      </c>
      <c r="H14" s="892" t="s">
        <v>33</v>
      </c>
      <c r="I14" s="892">
        <v>12</v>
      </c>
      <c r="J14" s="892" t="s">
        <v>4</v>
      </c>
      <c r="K14" s="662" t="s">
        <v>1869</v>
      </c>
      <c r="L14" s="898">
        <v>3012378203</v>
      </c>
      <c r="M14" s="44" t="s">
        <v>1805</v>
      </c>
      <c r="N14" s="896"/>
      <c r="O14" s="41"/>
    </row>
    <row r="15" spans="1:15" ht="20.05" customHeight="1" x14ac:dyDescent="0.25">
      <c r="A15" s="223"/>
      <c r="B15" s="901" t="s">
        <v>2611</v>
      </c>
      <c r="C15" s="901" t="s">
        <v>2612</v>
      </c>
      <c r="D15" s="138">
        <v>34960700</v>
      </c>
      <c r="E15" s="44" t="s">
        <v>2613</v>
      </c>
      <c r="F15" s="891">
        <v>43668</v>
      </c>
      <c r="G15" s="891">
        <v>43698</v>
      </c>
      <c r="H15" s="892" t="s">
        <v>686</v>
      </c>
      <c r="I15" s="892">
        <v>15</v>
      </c>
      <c r="J15" s="892" t="s">
        <v>4</v>
      </c>
      <c r="K15" s="662" t="s">
        <v>2313</v>
      </c>
      <c r="L15" s="898">
        <v>3008440569</v>
      </c>
      <c r="M15" s="44" t="s">
        <v>2614</v>
      </c>
      <c r="N15" s="896"/>
      <c r="O15" s="41"/>
    </row>
    <row r="16" spans="1:15" ht="20.05" customHeight="1" x14ac:dyDescent="0.25">
      <c r="A16" s="223"/>
      <c r="B16" s="901" t="s">
        <v>2017</v>
      </c>
      <c r="C16" s="901" t="s">
        <v>2018</v>
      </c>
      <c r="D16" s="138">
        <v>26788661</v>
      </c>
      <c r="E16" s="44" t="s">
        <v>493</v>
      </c>
      <c r="F16" s="891">
        <v>43655</v>
      </c>
      <c r="G16" s="891">
        <v>43677</v>
      </c>
      <c r="H16" s="892" t="s">
        <v>33</v>
      </c>
      <c r="I16" s="892">
        <v>12</v>
      </c>
      <c r="J16" s="892" t="s">
        <v>4</v>
      </c>
      <c r="K16" s="662" t="s">
        <v>822</v>
      </c>
      <c r="L16" s="898" t="s">
        <v>2020</v>
      </c>
      <c r="M16" s="44" t="s">
        <v>2019</v>
      </c>
      <c r="N16" s="1213" t="s">
        <v>2193</v>
      </c>
      <c r="O16" s="1213"/>
    </row>
    <row r="17" spans="1:16" ht="20.05" customHeight="1" x14ac:dyDescent="0.25">
      <c r="A17" s="223"/>
      <c r="B17" s="901" t="s">
        <v>1806</v>
      </c>
      <c r="C17" s="901" t="s">
        <v>1807</v>
      </c>
      <c r="D17" s="138">
        <v>1067842164</v>
      </c>
      <c r="E17" s="44" t="s">
        <v>1808</v>
      </c>
      <c r="F17" s="891">
        <v>43651</v>
      </c>
      <c r="G17" s="891">
        <v>43676</v>
      </c>
      <c r="H17" s="892" t="s">
        <v>33</v>
      </c>
      <c r="I17" s="892">
        <v>12</v>
      </c>
      <c r="J17" s="892" t="s">
        <v>4</v>
      </c>
      <c r="K17" s="662" t="s">
        <v>2310</v>
      </c>
      <c r="L17" s="898">
        <v>3114029652</v>
      </c>
      <c r="M17" s="44" t="s">
        <v>1809</v>
      </c>
      <c r="N17" s="896"/>
      <c r="O17" s="41"/>
    </row>
    <row r="18" spans="1:16" ht="20.05" customHeight="1" x14ac:dyDescent="0.25">
      <c r="A18" s="223"/>
      <c r="B18" s="1219" t="s">
        <v>1831</v>
      </c>
      <c r="C18" s="1219" t="s">
        <v>1832</v>
      </c>
      <c r="D18" s="1209">
        <v>1067842619</v>
      </c>
      <c r="E18" s="1214" t="s">
        <v>742</v>
      </c>
      <c r="F18" s="585">
        <v>43637</v>
      </c>
      <c r="G18" s="585">
        <v>43646</v>
      </c>
      <c r="H18" s="951" t="s">
        <v>686</v>
      </c>
      <c r="I18" s="923"/>
      <c r="J18" s="923" t="s">
        <v>5</v>
      </c>
      <c r="K18" s="81" t="s">
        <v>2298</v>
      </c>
      <c r="L18" s="898">
        <v>3117902992</v>
      </c>
      <c r="M18" s="44" t="s">
        <v>1833</v>
      </c>
      <c r="N18" s="896"/>
      <c r="O18" s="41"/>
    </row>
    <row r="19" spans="1:16" ht="20.05" customHeight="1" x14ac:dyDescent="0.25">
      <c r="A19" s="223"/>
      <c r="B19" s="1219"/>
      <c r="C19" s="1219"/>
      <c r="D19" s="1209"/>
      <c r="E19" s="1214"/>
      <c r="F19" s="891">
        <v>43655</v>
      </c>
      <c r="G19" s="891">
        <v>43677</v>
      </c>
      <c r="H19" s="892" t="s">
        <v>33</v>
      </c>
      <c r="I19" s="892">
        <v>12</v>
      </c>
      <c r="J19" s="892" t="s">
        <v>4</v>
      </c>
      <c r="K19" s="662" t="s">
        <v>2298</v>
      </c>
      <c r="L19" s="898">
        <v>3117902992</v>
      </c>
      <c r="M19" s="44" t="s">
        <v>1833</v>
      </c>
      <c r="N19" s="896"/>
      <c r="O19" s="41"/>
    </row>
    <row r="20" spans="1:16" ht="20.05" customHeight="1" x14ac:dyDescent="0.25">
      <c r="A20" s="223"/>
      <c r="B20" s="901" t="s">
        <v>1405</v>
      </c>
      <c r="C20" s="901" t="s">
        <v>1406</v>
      </c>
      <c r="D20" s="138">
        <v>6573461</v>
      </c>
      <c r="E20" s="896"/>
      <c r="F20" s="891">
        <v>43651</v>
      </c>
      <c r="G20" s="891">
        <v>43676</v>
      </c>
      <c r="H20" s="892" t="s">
        <v>33</v>
      </c>
      <c r="I20" s="892">
        <v>12</v>
      </c>
      <c r="J20" s="892" t="s">
        <v>4</v>
      </c>
      <c r="K20" s="662" t="s">
        <v>2313</v>
      </c>
      <c r="L20" s="898" t="s">
        <v>1408</v>
      </c>
      <c r="M20" s="896" t="s">
        <v>1407</v>
      </c>
      <c r="N20" s="44"/>
      <c r="O20" s="41"/>
    </row>
    <row r="21" spans="1:16" ht="20.05" customHeight="1" x14ac:dyDescent="0.25">
      <c r="A21" s="223"/>
      <c r="B21" s="901" t="s">
        <v>1399</v>
      </c>
      <c r="C21" s="901" t="s">
        <v>1400</v>
      </c>
      <c r="D21" s="138">
        <v>892551</v>
      </c>
      <c r="E21" s="896"/>
      <c r="F21" s="891">
        <v>43651</v>
      </c>
      <c r="G21" s="891">
        <v>43676</v>
      </c>
      <c r="H21" s="892" t="s">
        <v>33</v>
      </c>
      <c r="I21" s="892">
        <v>12</v>
      </c>
      <c r="J21" s="892" t="s">
        <v>4</v>
      </c>
      <c r="K21" s="662" t="s">
        <v>2298</v>
      </c>
      <c r="L21" s="898">
        <v>3156267655</v>
      </c>
      <c r="M21" s="896" t="s">
        <v>1401</v>
      </c>
      <c r="N21" s="44"/>
      <c r="O21" s="41"/>
    </row>
    <row r="22" spans="1:16" ht="20.05" customHeight="1" x14ac:dyDescent="0.25">
      <c r="A22" s="223"/>
      <c r="B22" s="901" t="s">
        <v>2012</v>
      </c>
      <c r="C22" s="901" t="s">
        <v>2013</v>
      </c>
      <c r="D22" s="138">
        <v>78588799</v>
      </c>
      <c r="E22" s="896" t="s">
        <v>481</v>
      </c>
      <c r="F22" s="132">
        <v>43603</v>
      </c>
      <c r="G22" s="132">
        <v>43646</v>
      </c>
      <c r="H22" s="133" t="s">
        <v>1016</v>
      </c>
      <c r="I22" s="715"/>
      <c r="J22" s="715" t="s">
        <v>5</v>
      </c>
      <c r="K22" s="660" t="s">
        <v>2298</v>
      </c>
      <c r="L22" s="898">
        <v>3105030983</v>
      </c>
      <c r="M22" s="896" t="s">
        <v>399</v>
      </c>
      <c r="N22" s="44"/>
      <c r="O22" s="41"/>
    </row>
    <row r="23" spans="1:16" ht="20.05" customHeight="1" x14ac:dyDescent="0.25">
      <c r="A23" s="223"/>
      <c r="B23" s="901" t="s">
        <v>1114</v>
      </c>
      <c r="C23" s="901" t="s">
        <v>1113</v>
      </c>
      <c r="D23" s="138">
        <v>25240501</v>
      </c>
      <c r="E23" s="896" t="s">
        <v>493</v>
      </c>
      <c r="F23" s="891">
        <v>43651</v>
      </c>
      <c r="G23" s="891">
        <v>43676</v>
      </c>
      <c r="H23" s="892" t="s">
        <v>33</v>
      </c>
      <c r="I23" s="892">
        <v>12</v>
      </c>
      <c r="J23" s="892" t="s">
        <v>4</v>
      </c>
      <c r="K23" s="662" t="s">
        <v>2298</v>
      </c>
      <c r="L23" s="898" t="s">
        <v>1120</v>
      </c>
      <c r="M23" s="896" t="s">
        <v>1119</v>
      </c>
      <c r="N23" s="896"/>
      <c r="O23" s="41"/>
    </row>
    <row r="24" spans="1:16" ht="20.05" customHeight="1" x14ac:dyDescent="0.25">
      <c r="A24" s="223"/>
      <c r="B24" s="901" t="s">
        <v>1606</v>
      </c>
      <c r="C24" s="901" t="s">
        <v>1607</v>
      </c>
      <c r="D24" s="138">
        <v>25751515</v>
      </c>
      <c r="E24" s="896" t="s">
        <v>490</v>
      </c>
      <c r="F24" s="891">
        <v>43655</v>
      </c>
      <c r="G24" s="891">
        <v>43677</v>
      </c>
      <c r="H24" s="892" t="s">
        <v>33</v>
      </c>
      <c r="I24" s="892">
        <v>12</v>
      </c>
      <c r="J24" s="892" t="s">
        <v>4</v>
      </c>
      <c r="K24" s="662" t="s">
        <v>2466</v>
      </c>
      <c r="L24" s="898" t="s">
        <v>1608</v>
      </c>
      <c r="M24" s="896" t="s">
        <v>1609</v>
      </c>
      <c r="N24" s="896"/>
      <c r="O24" s="41"/>
    </row>
    <row r="25" spans="1:16" ht="20.05" customHeight="1" x14ac:dyDescent="0.25">
      <c r="A25" s="223"/>
      <c r="B25" s="1065" t="s">
        <v>2787</v>
      </c>
      <c r="C25" s="1065" t="s">
        <v>2788</v>
      </c>
      <c r="D25" s="1064">
        <v>1546745</v>
      </c>
      <c r="E25" s="1062" t="s">
        <v>587</v>
      </c>
      <c r="F25" s="1060">
        <v>43672</v>
      </c>
      <c r="G25" s="1060">
        <v>43677</v>
      </c>
      <c r="H25" s="1061" t="s">
        <v>33</v>
      </c>
      <c r="I25" s="1061">
        <v>12</v>
      </c>
      <c r="J25" s="1061" t="s">
        <v>4</v>
      </c>
      <c r="K25" s="662" t="s">
        <v>2310</v>
      </c>
      <c r="L25" s="1063" t="s">
        <v>2789</v>
      </c>
      <c r="M25" s="1062" t="s">
        <v>2520</v>
      </c>
      <c r="N25" s="1215" t="s">
        <v>2790</v>
      </c>
      <c r="O25" s="1216"/>
    </row>
    <row r="26" spans="1:16" ht="20.05" customHeight="1" x14ac:dyDescent="0.25">
      <c r="A26" s="223"/>
      <c r="B26" s="901" t="s">
        <v>854</v>
      </c>
      <c r="C26" s="901" t="s">
        <v>1115</v>
      </c>
      <c r="D26" s="138">
        <v>25750895</v>
      </c>
      <c r="E26" s="896" t="s">
        <v>1116</v>
      </c>
      <c r="F26" s="891">
        <v>43651</v>
      </c>
      <c r="G26" s="891">
        <v>43676</v>
      </c>
      <c r="H26" s="892" t="s">
        <v>33</v>
      </c>
      <c r="I26" s="892">
        <v>12</v>
      </c>
      <c r="J26" s="892" t="s">
        <v>4</v>
      </c>
      <c r="K26" s="662" t="s">
        <v>2305</v>
      </c>
      <c r="L26" s="898" t="s">
        <v>1117</v>
      </c>
      <c r="M26" s="896" t="s">
        <v>1118</v>
      </c>
      <c r="N26" s="896"/>
      <c r="O26" s="41"/>
    </row>
    <row r="27" spans="1:16" ht="20.05" customHeight="1" x14ac:dyDescent="0.25">
      <c r="A27" s="223"/>
      <c r="B27" s="901" t="s">
        <v>1143</v>
      </c>
      <c r="C27" s="901" t="s">
        <v>1144</v>
      </c>
      <c r="D27" s="138">
        <v>34960830</v>
      </c>
      <c r="E27" s="896" t="s">
        <v>1145</v>
      </c>
      <c r="F27" s="891">
        <v>43651</v>
      </c>
      <c r="G27" s="891">
        <v>43676</v>
      </c>
      <c r="H27" s="892" t="s">
        <v>33</v>
      </c>
      <c r="I27" s="892">
        <v>12</v>
      </c>
      <c r="J27" s="892" t="s">
        <v>4</v>
      </c>
      <c r="K27" s="662" t="s">
        <v>1869</v>
      </c>
      <c r="L27" s="898">
        <v>3114259908</v>
      </c>
      <c r="M27" s="896" t="s">
        <v>1146</v>
      </c>
      <c r="N27" s="896"/>
      <c r="O27" s="41"/>
    </row>
    <row r="28" spans="1:16" ht="20.05" customHeight="1" x14ac:dyDescent="0.25">
      <c r="A28" s="223"/>
      <c r="B28" s="901" t="s">
        <v>1130</v>
      </c>
      <c r="C28" s="901" t="s">
        <v>1131</v>
      </c>
      <c r="D28" s="138">
        <v>25952311</v>
      </c>
      <c r="E28" s="896" t="s">
        <v>493</v>
      </c>
      <c r="F28" s="891">
        <v>43651</v>
      </c>
      <c r="G28" s="891">
        <v>43676</v>
      </c>
      <c r="H28" s="892" t="s">
        <v>33</v>
      </c>
      <c r="I28" s="892">
        <v>12</v>
      </c>
      <c r="J28" s="892" t="s">
        <v>4</v>
      </c>
      <c r="K28" s="662" t="s">
        <v>2305</v>
      </c>
      <c r="L28" s="898" t="s">
        <v>1132</v>
      </c>
      <c r="M28" s="43" t="s">
        <v>1167</v>
      </c>
      <c r="N28" s="896"/>
      <c r="O28" s="41"/>
      <c r="P28" s="952" t="s">
        <v>1271</v>
      </c>
    </row>
    <row r="29" spans="1:16" ht="20.05" customHeight="1" x14ac:dyDescent="0.25">
      <c r="A29" s="223"/>
      <c r="B29" s="901" t="s">
        <v>17</v>
      </c>
      <c r="C29" s="901" t="s">
        <v>134</v>
      </c>
      <c r="D29" s="138">
        <v>7374694</v>
      </c>
      <c r="E29" s="896" t="s">
        <v>489</v>
      </c>
      <c r="F29" s="891">
        <v>43655</v>
      </c>
      <c r="G29" s="891">
        <v>43676</v>
      </c>
      <c r="H29" s="892" t="s">
        <v>33</v>
      </c>
      <c r="I29" s="892">
        <v>12</v>
      </c>
      <c r="J29" s="892" t="s">
        <v>4</v>
      </c>
      <c r="K29" s="662" t="s">
        <v>2313</v>
      </c>
      <c r="L29" s="898" t="s">
        <v>315</v>
      </c>
      <c r="M29" s="896" t="s">
        <v>316</v>
      </c>
      <c r="N29" s="44"/>
      <c r="O29" s="41"/>
    </row>
    <row r="30" spans="1:16" ht="20.05" customHeight="1" x14ac:dyDescent="0.25">
      <c r="A30" s="223"/>
      <c r="B30" s="901" t="s">
        <v>1002</v>
      </c>
      <c r="C30" s="901" t="s">
        <v>1003</v>
      </c>
      <c r="D30" s="138">
        <v>1003027880</v>
      </c>
      <c r="E30" s="896" t="s">
        <v>1004</v>
      </c>
      <c r="F30" s="891">
        <v>43651</v>
      </c>
      <c r="G30" s="891">
        <v>43676</v>
      </c>
      <c r="H30" s="892" t="s">
        <v>33</v>
      </c>
      <c r="I30" s="892">
        <v>12</v>
      </c>
      <c r="J30" s="892" t="s">
        <v>4</v>
      </c>
      <c r="K30" s="662" t="s">
        <v>390</v>
      </c>
      <c r="L30" s="898" t="s">
        <v>2470</v>
      </c>
      <c r="M30" s="43" t="s">
        <v>1037</v>
      </c>
      <c r="N30" s="896"/>
      <c r="O30" s="41"/>
    </row>
    <row r="31" spans="1:16" ht="20.05" customHeight="1" x14ac:dyDescent="0.25">
      <c r="A31" s="223"/>
      <c r="B31" s="901" t="s">
        <v>2517</v>
      </c>
      <c r="C31" s="901" t="s">
        <v>2518</v>
      </c>
      <c r="D31" s="138">
        <v>10766358</v>
      </c>
      <c r="E31" s="896" t="s">
        <v>2519</v>
      </c>
      <c r="F31" s="891">
        <v>43662</v>
      </c>
      <c r="G31" s="891">
        <v>43676</v>
      </c>
      <c r="H31" s="892" t="s">
        <v>33</v>
      </c>
      <c r="I31" s="892">
        <v>12</v>
      </c>
      <c r="J31" s="892" t="s">
        <v>4</v>
      </c>
      <c r="K31" s="662" t="s">
        <v>2310</v>
      </c>
      <c r="L31" s="898">
        <v>3146909696</v>
      </c>
      <c r="M31" s="43" t="s">
        <v>2520</v>
      </c>
      <c r="N31" s="896"/>
      <c r="O31" s="41"/>
    </row>
    <row r="32" spans="1:16" ht="20.05" customHeight="1" x14ac:dyDescent="0.25">
      <c r="A32" s="223"/>
      <c r="B32" s="1212" t="s">
        <v>1031</v>
      </c>
      <c r="C32" s="1212" t="s">
        <v>1032</v>
      </c>
      <c r="D32" s="1209">
        <v>2798879</v>
      </c>
      <c r="E32" s="1206" t="s">
        <v>821</v>
      </c>
      <c r="F32" s="891">
        <v>43651</v>
      </c>
      <c r="G32" s="891">
        <v>43676</v>
      </c>
      <c r="H32" s="892" t="s">
        <v>33</v>
      </c>
      <c r="I32" s="892">
        <v>12</v>
      </c>
      <c r="J32" s="892" t="s">
        <v>4</v>
      </c>
      <c r="K32" s="662" t="s">
        <v>822</v>
      </c>
      <c r="L32" s="1207" t="s">
        <v>1033</v>
      </c>
      <c r="M32" s="1206" t="s">
        <v>1034</v>
      </c>
      <c r="N32" s="896"/>
      <c r="O32" s="41"/>
    </row>
    <row r="33" spans="1:15" ht="20.05" customHeight="1" x14ac:dyDescent="0.25">
      <c r="A33" s="223"/>
      <c r="B33" s="1212"/>
      <c r="C33" s="1212"/>
      <c r="D33" s="1209"/>
      <c r="E33" s="1206"/>
      <c r="L33" s="1207"/>
      <c r="M33" s="1206"/>
      <c r="N33" s="896"/>
      <c r="O33" s="41"/>
    </row>
    <row r="34" spans="1:15" ht="20.05" customHeight="1" x14ac:dyDescent="0.25">
      <c r="A34" s="223"/>
      <c r="B34" s="901" t="s">
        <v>999</v>
      </c>
      <c r="C34" s="901" t="s">
        <v>1000</v>
      </c>
      <c r="D34" s="138">
        <v>25753897</v>
      </c>
      <c r="E34" s="896" t="s">
        <v>481</v>
      </c>
      <c r="F34" s="891">
        <v>43651</v>
      </c>
      <c r="G34" s="891">
        <v>43676</v>
      </c>
      <c r="H34" s="892" t="s">
        <v>33</v>
      </c>
      <c r="I34" s="892">
        <v>12</v>
      </c>
      <c r="J34" s="892" t="s">
        <v>4</v>
      </c>
      <c r="K34" s="662" t="s">
        <v>1869</v>
      </c>
      <c r="L34" s="898">
        <v>3164989435</v>
      </c>
      <c r="M34" s="896" t="s">
        <v>1001</v>
      </c>
      <c r="N34" s="896"/>
      <c r="O34" s="41"/>
    </row>
    <row r="35" spans="1:15" ht="20.05" customHeight="1" x14ac:dyDescent="0.25">
      <c r="A35" s="223"/>
      <c r="B35" s="1206" t="s">
        <v>1361</v>
      </c>
      <c r="C35" s="1206" t="s">
        <v>1360</v>
      </c>
      <c r="D35" s="1209">
        <v>22155545</v>
      </c>
      <c r="E35" s="1206" t="s">
        <v>480</v>
      </c>
      <c r="F35" s="891">
        <v>43651</v>
      </c>
      <c r="G35" s="891">
        <v>43676</v>
      </c>
      <c r="H35" s="892" t="s">
        <v>33</v>
      </c>
      <c r="I35" s="892">
        <v>12</v>
      </c>
      <c r="J35" s="892" t="s">
        <v>4</v>
      </c>
      <c r="K35" s="662" t="s">
        <v>2298</v>
      </c>
      <c r="L35" s="1207" t="s">
        <v>1379</v>
      </c>
      <c r="M35" s="1207" t="s">
        <v>1362</v>
      </c>
      <c r="N35" s="896"/>
      <c r="O35" s="41"/>
    </row>
    <row r="36" spans="1:15" ht="20.05" customHeight="1" x14ac:dyDescent="0.25">
      <c r="A36" s="223"/>
      <c r="B36" s="1206"/>
      <c r="C36" s="1206"/>
      <c r="D36" s="1209"/>
      <c r="E36" s="1206"/>
      <c r="F36" s="891">
        <v>43651</v>
      </c>
      <c r="G36" s="891">
        <v>43676</v>
      </c>
      <c r="H36" s="892" t="s">
        <v>686</v>
      </c>
      <c r="I36" s="892">
        <v>12</v>
      </c>
      <c r="J36" s="892" t="s">
        <v>215</v>
      </c>
      <c r="K36" s="662" t="s">
        <v>241</v>
      </c>
      <c r="L36" s="1207"/>
      <c r="M36" s="1207"/>
      <c r="N36" s="896"/>
      <c r="O36" s="41"/>
    </row>
    <row r="37" spans="1:15" ht="20.05" customHeight="1" x14ac:dyDescent="0.25">
      <c r="A37" s="223"/>
      <c r="B37" s="901" t="s">
        <v>782</v>
      </c>
      <c r="C37" s="901" t="s">
        <v>781</v>
      </c>
      <c r="D37" s="138">
        <v>25960356</v>
      </c>
      <c r="E37" s="896" t="s">
        <v>481</v>
      </c>
      <c r="F37" s="891">
        <v>43651</v>
      </c>
      <c r="G37" s="891">
        <v>43676</v>
      </c>
      <c r="H37" s="892" t="s">
        <v>33</v>
      </c>
      <c r="I37" s="892">
        <v>12</v>
      </c>
      <c r="J37" s="892" t="s">
        <v>4</v>
      </c>
      <c r="K37" s="662" t="s">
        <v>2298</v>
      </c>
      <c r="L37" s="898" t="s">
        <v>783</v>
      </c>
      <c r="M37" s="896" t="s">
        <v>784</v>
      </c>
      <c r="N37" s="896"/>
      <c r="O37" s="41"/>
    </row>
    <row r="38" spans="1:15" ht="20.05" customHeight="1" x14ac:dyDescent="0.25">
      <c r="A38" s="223"/>
      <c r="B38" s="901" t="s">
        <v>791</v>
      </c>
      <c r="C38" s="901" t="s">
        <v>792</v>
      </c>
      <c r="D38" s="138">
        <v>6859258</v>
      </c>
      <c r="E38" s="896" t="s">
        <v>490</v>
      </c>
      <c r="F38" s="891">
        <v>43651</v>
      </c>
      <c r="G38" s="891">
        <v>43676</v>
      </c>
      <c r="H38" s="892" t="s">
        <v>33</v>
      </c>
      <c r="I38" s="892">
        <v>12</v>
      </c>
      <c r="J38" s="892" t="s">
        <v>4</v>
      </c>
      <c r="K38" s="662" t="s">
        <v>2301</v>
      </c>
      <c r="L38" s="898"/>
      <c r="M38" s="896" t="s">
        <v>1317</v>
      </c>
      <c r="N38" s="896" t="s">
        <v>1554</v>
      </c>
      <c r="O38" s="41"/>
    </row>
    <row r="39" spans="1:15" ht="20.05" customHeight="1" x14ac:dyDescent="0.25">
      <c r="A39" s="223"/>
      <c r="B39" s="901" t="s">
        <v>1124</v>
      </c>
      <c r="C39" s="901" t="s">
        <v>1123</v>
      </c>
      <c r="D39" s="138">
        <v>25754437</v>
      </c>
      <c r="E39" s="896" t="s">
        <v>493</v>
      </c>
      <c r="F39" s="891">
        <v>43651</v>
      </c>
      <c r="G39" s="891">
        <v>43676</v>
      </c>
      <c r="H39" s="892" t="s">
        <v>33</v>
      </c>
      <c r="I39" s="892">
        <v>12</v>
      </c>
      <c r="J39" s="892" t="s">
        <v>4</v>
      </c>
      <c r="K39" s="662" t="s">
        <v>2305</v>
      </c>
      <c r="L39" s="898">
        <v>7948951</v>
      </c>
      <c r="M39" s="896" t="s">
        <v>1125</v>
      </c>
      <c r="N39" s="896"/>
      <c r="O39" s="41"/>
    </row>
    <row r="40" spans="1:15" ht="20.05" customHeight="1" x14ac:dyDescent="0.25">
      <c r="A40" s="223"/>
      <c r="B40" s="41" t="s">
        <v>2311</v>
      </c>
      <c r="C40" s="41" t="s">
        <v>2312</v>
      </c>
      <c r="D40" s="137">
        <v>25886038</v>
      </c>
      <c r="E40" s="896" t="s">
        <v>524</v>
      </c>
      <c r="F40" s="891">
        <v>43651</v>
      </c>
      <c r="G40" s="891">
        <v>43676</v>
      </c>
      <c r="H40" s="892" t="s">
        <v>33</v>
      </c>
      <c r="I40" s="892">
        <v>12</v>
      </c>
      <c r="J40" s="892" t="s">
        <v>4</v>
      </c>
      <c r="K40" s="662" t="s">
        <v>2310</v>
      </c>
      <c r="L40" s="898">
        <v>3114049087</v>
      </c>
      <c r="M40" s="896" t="s">
        <v>317</v>
      </c>
      <c r="N40" s="896"/>
      <c r="O40" s="41"/>
    </row>
    <row r="41" spans="1:15" s="310" customFormat="1" ht="20.05" customHeight="1" x14ac:dyDescent="0.25">
      <c r="A41" s="223"/>
      <c r="B41" s="1212" t="s">
        <v>608</v>
      </c>
      <c r="C41" s="1212" t="s">
        <v>609</v>
      </c>
      <c r="D41" s="1209">
        <v>34990779</v>
      </c>
      <c r="E41" s="1206" t="s">
        <v>530</v>
      </c>
      <c r="F41" s="891">
        <v>43651</v>
      </c>
      <c r="G41" s="891">
        <v>43676</v>
      </c>
      <c r="H41" s="892" t="s">
        <v>33</v>
      </c>
      <c r="I41" s="892">
        <v>12</v>
      </c>
      <c r="J41" s="892" t="s">
        <v>4</v>
      </c>
      <c r="K41" s="662" t="s">
        <v>2298</v>
      </c>
      <c r="L41" s="1207">
        <v>3103861782</v>
      </c>
      <c r="M41" s="1206" t="s">
        <v>610</v>
      </c>
      <c r="N41" s="107"/>
      <c r="O41" s="901"/>
    </row>
    <row r="42" spans="1:15" s="310" customFormat="1" ht="20.05" customHeight="1" x14ac:dyDescent="0.25">
      <c r="A42" s="223"/>
      <c r="B42" s="1212"/>
      <c r="C42" s="1212"/>
      <c r="D42" s="1209"/>
      <c r="E42" s="1206"/>
      <c r="F42" s="1129">
        <v>43656</v>
      </c>
      <c r="G42" s="1129">
        <v>43677</v>
      </c>
      <c r="H42" s="1208" t="s">
        <v>686</v>
      </c>
      <c r="I42" s="892">
        <v>20</v>
      </c>
      <c r="J42" s="892" t="s">
        <v>215</v>
      </c>
      <c r="K42" s="81" t="s">
        <v>241</v>
      </c>
      <c r="L42" s="1207"/>
      <c r="M42" s="1206"/>
      <c r="N42" s="107"/>
      <c r="O42" s="901"/>
    </row>
    <row r="43" spans="1:15" s="310" customFormat="1" ht="20.05" customHeight="1" x14ac:dyDescent="0.25">
      <c r="A43" s="223"/>
      <c r="B43" s="1212"/>
      <c r="C43" s="1212"/>
      <c r="D43" s="1209"/>
      <c r="E43" s="1206"/>
      <c r="F43" s="1129"/>
      <c r="G43" s="1129"/>
      <c r="H43" s="1208"/>
      <c r="I43" s="892">
        <v>8</v>
      </c>
      <c r="J43" s="892" t="s">
        <v>4</v>
      </c>
      <c r="K43" s="662" t="s">
        <v>2298</v>
      </c>
      <c r="L43" s="1207"/>
      <c r="M43" s="1206"/>
      <c r="N43" s="107"/>
      <c r="O43" s="42"/>
    </row>
    <row r="44" spans="1:15" s="310" customFormat="1" ht="20.05" customHeight="1" x14ac:dyDescent="0.25">
      <c r="A44" s="223"/>
      <c r="B44" s="1212"/>
      <c r="C44" s="1212"/>
      <c r="D44" s="1209"/>
      <c r="E44" s="1206"/>
      <c r="F44" s="1129"/>
      <c r="G44" s="1129"/>
      <c r="H44" s="1208"/>
      <c r="I44" s="892">
        <v>8</v>
      </c>
      <c r="J44" s="892" t="s">
        <v>8</v>
      </c>
      <c r="K44" s="81" t="s">
        <v>2419</v>
      </c>
      <c r="L44" s="1207"/>
      <c r="M44" s="1206"/>
      <c r="N44" s="107"/>
      <c r="O44" s="42"/>
    </row>
    <row r="45" spans="1:15" ht="20.05" customHeight="1" x14ac:dyDescent="0.25">
      <c r="A45" s="223"/>
      <c r="B45" s="1212" t="s">
        <v>135</v>
      </c>
      <c r="C45" s="1212" t="s">
        <v>136</v>
      </c>
      <c r="D45" s="1209">
        <v>1062968779</v>
      </c>
      <c r="E45" s="1206" t="s">
        <v>521</v>
      </c>
      <c r="F45" s="891">
        <v>43651</v>
      </c>
      <c r="G45" s="891">
        <v>43676</v>
      </c>
      <c r="H45" s="892" t="s">
        <v>33</v>
      </c>
      <c r="I45" s="892">
        <v>12</v>
      </c>
      <c r="J45" s="892" t="s">
        <v>4</v>
      </c>
      <c r="K45" s="662" t="s">
        <v>2300</v>
      </c>
      <c r="L45" s="1207">
        <v>3014477872</v>
      </c>
      <c r="M45" s="1206" t="s">
        <v>227</v>
      </c>
      <c r="N45" s="896"/>
      <c r="O45" s="41"/>
    </row>
    <row r="46" spans="1:15" ht="20.05" customHeight="1" x14ac:dyDescent="0.25">
      <c r="A46" s="223"/>
      <c r="B46" s="1212"/>
      <c r="C46" s="1212"/>
      <c r="D46" s="1209"/>
      <c r="E46" s="1206"/>
      <c r="F46" s="1129">
        <v>43656</v>
      </c>
      <c r="G46" s="1129">
        <v>43676</v>
      </c>
      <c r="H46" s="1208" t="s">
        <v>686</v>
      </c>
      <c r="I46" s="892">
        <v>20</v>
      </c>
      <c r="J46" s="892" t="s">
        <v>215</v>
      </c>
      <c r="K46" s="81" t="s">
        <v>543</v>
      </c>
      <c r="L46" s="1207"/>
      <c r="M46" s="1206"/>
      <c r="N46" s="896"/>
      <c r="O46" s="41"/>
    </row>
    <row r="47" spans="1:15" ht="20.05" customHeight="1" x14ac:dyDescent="0.25">
      <c r="A47" s="223"/>
      <c r="B47" s="1212"/>
      <c r="C47" s="1212"/>
      <c r="D47" s="1209"/>
      <c r="E47" s="1206"/>
      <c r="F47" s="1129"/>
      <c r="G47" s="1129"/>
      <c r="H47" s="1208"/>
      <c r="I47" s="892">
        <v>8</v>
      </c>
      <c r="J47" s="892" t="s">
        <v>8</v>
      </c>
      <c r="K47" s="81" t="s">
        <v>2299</v>
      </c>
      <c r="L47" s="1207"/>
      <c r="M47" s="1206"/>
      <c r="N47" s="896"/>
      <c r="O47" s="41"/>
    </row>
    <row r="48" spans="1:15" ht="20.05" customHeight="1" x14ac:dyDescent="0.25">
      <c r="A48" s="223"/>
      <c r="B48" s="901" t="s">
        <v>2459</v>
      </c>
      <c r="C48" s="901" t="s">
        <v>2460</v>
      </c>
      <c r="D48" s="138">
        <v>34964353</v>
      </c>
      <c r="E48" s="896" t="s">
        <v>558</v>
      </c>
      <c r="F48" s="585">
        <v>43636</v>
      </c>
      <c r="G48" s="585">
        <v>43646</v>
      </c>
      <c r="H48" s="180" t="s">
        <v>33</v>
      </c>
      <c r="I48" s="923"/>
      <c r="J48" s="923" t="s">
        <v>4</v>
      </c>
      <c r="K48" s="81" t="s">
        <v>2310</v>
      </c>
      <c r="L48" s="898">
        <v>7825239</v>
      </c>
      <c r="M48" s="43" t="s">
        <v>2461</v>
      </c>
      <c r="N48" s="896"/>
      <c r="O48" s="41"/>
    </row>
    <row r="49" spans="1:15" ht="20.05" customHeight="1" x14ac:dyDescent="0.25">
      <c r="A49" s="223"/>
      <c r="B49" s="901" t="s">
        <v>2026</v>
      </c>
      <c r="C49" s="901" t="s">
        <v>2027</v>
      </c>
      <c r="D49" s="138">
        <v>22286440</v>
      </c>
      <c r="E49" s="896" t="s">
        <v>494</v>
      </c>
      <c r="F49" s="891">
        <v>43655</v>
      </c>
      <c r="G49" s="891">
        <v>43677</v>
      </c>
      <c r="H49" s="892" t="s">
        <v>33</v>
      </c>
      <c r="I49" s="892">
        <v>12</v>
      </c>
      <c r="J49" s="892" t="s">
        <v>4</v>
      </c>
      <c r="K49" s="662" t="s">
        <v>1869</v>
      </c>
      <c r="L49" s="898">
        <v>3157037175</v>
      </c>
      <c r="M49" s="898" t="s">
        <v>2104</v>
      </c>
      <c r="N49" s="1214" t="s">
        <v>2319</v>
      </c>
      <c r="O49" s="1214"/>
    </row>
    <row r="50" spans="1:15" ht="20.05" customHeight="1" x14ac:dyDescent="0.25">
      <c r="A50" s="223"/>
      <c r="B50" s="901" t="s">
        <v>2161</v>
      </c>
      <c r="C50" s="901" t="s">
        <v>2162</v>
      </c>
      <c r="D50" s="138">
        <v>6620771</v>
      </c>
      <c r="E50" s="896" t="s">
        <v>1976</v>
      </c>
      <c r="F50" s="899">
        <v>43621</v>
      </c>
      <c r="G50" s="899">
        <v>43646</v>
      </c>
      <c r="H50" s="900" t="s">
        <v>33</v>
      </c>
      <c r="I50" s="761" t="s">
        <v>2493</v>
      </c>
      <c r="J50" s="892" t="s">
        <v>4</v>
      </c>
      <c r="K50" s="662" t="s">
        <v>2540</v>
      </c>
      <c r="L50" s="898" t="s">
        <v>2163</v>
      </c>
      <c r="M50" s="896" t="s">
        <v>2164</v>
      </c>
      <c r="N50" s="1130" t="s">
        <v>2328</v>
      </c>
      <c r="O50" s="1130"/>
    </row>
    <row r="51" spans="1:15" ht="20.05" customHeight="1" x14ac:dyDescent="0.25">
      <c r="A51" s="223"/>
      <c r="B51" s="901" t="s">
        <v>2161</v>
      </c>
      <c r="C51" s="901" t="s">
        <v>2162</v>
      </c>
      <c r="D51" s="138">
        <v>6620771</v>
      </c>
      <c r="E51" s="896" t="s">
        <v>1976</v>
      </c>
      <c r="F51" s="891">
        <v>43655</v>
      </c>
      <c r="G51" s="891">
        <v>43677</v>
      </c>
      <c r="H51" s="892" t="s">
        <v>33</v>
      </c>
      <c r="I51" s="892">
        <v>12</v>
      </c>
      <c r="J51" s="892" t="s">
        <v>4</v>
      </c>
      <c r="K51" s="662" t="s">
        <v>2300</v>
      </c>
      <c r="L51" s="898" t="s">
        <v>2163</v>
      </c>
      <c r="M51" s="896" t="s">
        <v>2164</v>
      </c>
      <c r="N51" s="896"/>
      <c r="O51" s="41"/>
    </row>
    <row r="52" spans="1:15" ht="23.8" customHeight="1" x14ac:dyDescent="0.25">
      <c r="A52" s="223"/>
      <c r="B52" s="901" t="s">
        <v>2505</v>
      </c>
      <c r="C52" s="901" t="s">
        <v>2506</v>
      </c>
      <c r="D52" s="138">
        <v>1138027581</v>
      </c>
      <c r="E52" s="896" t="s">
        <v>2507</v>
      </c>
      <c r="F52" s="891">
        <v>43662</v>
      </c>
      <c r="G52" s="891">
        <v>43692</v>
      </c>
      <c r="H52" s="892" t="s">
        <v>686</v>
      </c>
      <c r="I52" s="892">
        <v>20</v>
      </c>
      <c r="J52" s="892" t="s">
        <v>4</v>
      </c>
      <c r="K52" s="662" t="s">
        <v>2310</v>
      </c>
      <c r="L52" s="898" t="s">
        <v>2508</v>
      </c>
      <c r="M52" s="896" t="s">
        <v>2509</v>
      </c>
      <c r="N52" s="896"/>
      <c r="O52" s="41"/>
    </row>
    <row r="53" spans="1:15" ht="20.05" customHeight="1" x14ac:dyDescent="0.25">
      <c r="A53" s="223"/>
      <c r="B53" s="901" t="s">
        <v>1138</v>
      </c>
      <c r="C53" s="901" t="s">
        <v>1137</v>
      </c>
      <c r="D53" s="138">
        <v>32511190</v>
      </c>
      <c r="E53" s="896" t="s">
        <v>490</v>
      </c>
      <c r="F53" s="891">
        <v>43651</v>
      </c>
      <c r="G53" s="891">
        <v>43676</v>
      </c>
      <c r="H53" s="892" t="s">
        <v>33</v>
      </c>
      <c r="I53" s="892">
        <v>12</v>
      </c>
      <c r="J53" s="892" t="s">
        <v>4</v>
      </c>
      <c r="K53" s="662" t="s">
        <v>1869</v>
      </c>
      <c r="L53" s="898">
        <v>7826426</v>
      </c>
      <c r="M53" s="896" t="s">
        <v>1139</v>
      </c>
      <c r="N53" s="896"/>
      <c r="O53" s="41"/>
    </row>
    <row r="54" spans="1:15" ht="20.05" customHeight="1" x14ac:dyDescent="0.25">
      <c r="A54" s="223"/>
      <c r="B54" s="1206" t="s">
        <v>1393</v>
      </c>
      <c r="C54" s="1206" t="s">
        <v>1186</v>
      </c>
      <c r="D54" s="1209">
        <v>33282487</v>
      </c>
      <c r="E54" s="1206" t="s">
        <v>1392</v>
      </c>
      <c r="F54" s="891">
        <v>43651</v>
      </c>
      <c r="G54" s="891">
        <v>43676</v>
      </c>
      <c r="H54" s="892" t="s">
        <v>33</v>
      </c>
      <c r="I54" s="892">
        <v>12</v>
      </c>
      <c r="J54" s="892" t="s">
        <v>4</v>
      </c>
      <c r="K54" s="662" t="s">
        <v>390</v>
      </c>
      <c r="L54" s="1207" t="s">
        <v>1394</v>
      </c>
      <c r="M54" s="1206" t="s">
        <v>1395</v>
      </c>
      <c r="N54" s="896"/>
      <c r="O54" s="41"/>
    </row>
    <row r="55" spans="1:15" ht="20.05" customHeight="1" x14ac:dyDescent="0.25">
      <c r="A55" s="223"/>
      <c r="B55" s="1206"/>
      <c r="C55" s="1206"/>
      <c r="D55" s="1209"/>
      <c r="E55" s="1206"/>
      <c r="F55" s="899">
        <v>43656</v>
      </c>
      <c r="G55" s="899">
        <v>43676</v>
      </c>
      <c r="H55" s="900" t="s">
        <v>686</v>
      </c>
      <c r="I55" s="892">
        <v>8</v>
      </c>
      <c r="J55" s="892" t="s">
        <v>4</v>
      </c>
      <c r="K55" s="662" t="s">
        <v>390</v>
      </c>
      <c r="L55" s="1207"/>
      <c r="M55" s="1206"/>
      <c r="N55" s="896"/>
      <c r="O55" s="41"/>
    </row>
    <row r="56" spans="1:15" ht="20.05" customHeight="1" x14ac:dyDescent="0.25">
      <c r="A56" s="223"/>
      <c r="B56" s="901" t="s">
        <v>1134</v>
      </c>
      <c r="C56" s="901" t="s">
        <v>1133</v>
      </c>
      <c r="D56" s="138">
        <v>26730365</v>
      </c>
      <c r="E56" s="896" t="s">
        <v>486</v>
      </c>
      <c r="F56" s="891">
        <v>43651</v>
      </c>
      <c r="G56" s="891">
        <v>43676</v>
      </c>
      <c r="H56" s="892" t="s">
        <v>33</v>
      </c>
      <c r="I56" s="892">
        <v>12</v>
      </c>
      <c r="J56" s="892" t="s">
        <v>4</v>
      </c>
      <c r="K56" s="662" t="s">
        <v>2300</v>
      </c>
      <c r="L56" s="898" t="s">
        <v>1135</v>
      </c>
      <c r="M56" s="896" t="s">
        <v>1136</v>
      </c>
      <c r="N56" s="896"/>
      <c r="O56" s="41"/>
    </row>
    <row r="57" spans="1:15" ht="20.05" customHeight="1" x14ac:dyDescent="0.25">
      <c r="A57" s="223"/>
      <c r="B57" s="41" t="s">
        <v>137</v>
      </c>
      <c r="C57" s="41" t="s">
        <v>138</v>
      </c>
      <c r="D57" s="137">
        <v>26020014</v>
      </c>
      <c r="E57" s="896" t="s">
        <v>522</v>
      </c>
      <c r="F57" s="891">
        <v>43651</v>
      </c>
      <c r="G57" s="891">
        <v>43676</v>
      </c>
      <c r="H57" s="892" t="s">
        <v>33</v>
      </c>
      <c r="I57" s="892">
        <v>12</v>
      </c>
      <c r="J57" s="892" t="s">
        <v>4</v>
      </c>
      <c r="K57" s="662" t="s">
        <v>1869</v>
      </c>
      <c r="L57" s="898">
        <v>3193390022</v>
      </c>
      <c r="M57" s="898" t="s">
        <v>304</v>
      </c>
      <c r="N57" s="896"/>
      <c r="O57" s="41"/>
    </row>
    <row r="58" spans="1:15" ht="20.05" customHeight="1" x14ac:dyDescent="0.25">
      <c r="A58" s="223"/>
      <c r="B58" s="41" t="s">
        <v>865</v>
      </c>
      <c r="C58" s="41" t="s">
        <v>866</v>
      </c>
      <c r="D58" s="137">
        <v>26248429</v>
      </c>
      <c r="E58" s="896" t="s">
        <v>867</v>
      </c>
      <c r="F58" s="891">
        <v>43651</v>
      </c>
      <c r="G58" s="891">
        <v>43676</v>
      </c>
      <c r="H58" s="892" t="s">
        <v>33</v>
      </c>
      <c r="I58" s="892">
        <v>12</v>
      </c>
      <c r="J58" s="892" t="s">
        <v>4</v>
      </c>
      <c r="K58" s="662" t="s">
        <v>2300</v>
      </c>
      <c r="L58" s="898" t="s">
        <v>868</v>
      </c>
      <c r="M58" s="43" t="s">
        <v>869</v>
      </c>
      <c r="N58" s="896"/>
      <c r="O58" s="41"/>
    </row>
    <row r="59" spans="1:15" ht="20.05" customHeight="1" x14ac:dyDescent="0.25">
      <c r="A59" s="223"/>
      <c r="B59" s="41" t="s">
        <v>139</v>
      </c>
      <c r="C59" s="41" t="s">
        <v>140</v>
      </c>
      <c r="D59" s="137">
        <v>6571334</v>
      </c>
      <c r="E59" s="896" t="s">
        <v>486</v>
      </c>
      <c r="F59" s="891">
        <v>43651</v>
      </c>
      <c r="G59" s="891">
        <v>43676</v>
      </c>
      <c r="H59" s="892" t="s">
        <v>33</v>
      </c>
      <c r="I59" s="892">
        <v>12</v>
      </c>
      <c r="J59" s="892" t="s">
        <v>4</v>
      </c>
      <c r="K59" s="662" t="s">
        <v>2310</v>
      </c>
      <c r="L59" s="898">
        <v>3135290652</v>
      </c>
      <c r="M59" s="896" t="s">
        <v>302</v>
      </c>
      <c r="N59" s="896"/>
      <c r="O59" s="41"/>
    </row>
    <row r="60" spans="1:15" ht="20.05" customHeight="1" x14ac:dyDescent="0.25">
      <c r="A60" s="223"/>
      <c r="B60" s="41" t="s">
        <v>2362</v>
      </c>
      <c r="C60" s="41" t="s">
        <v>2363</v>
      </c>
      <c r="D60" s="137">
        <v>1073827668</v>
      </c>
      <c r="E60" s="896" t="s">
        <v>1355</v>
      </c>
      <c r="F60" s="899">
        <v>43651</v>
      </c>
      <c r="G60" s="899">
        <v>43677</v>
      </c>
      <c r="H60" s="900" t="s">
        <v>686</v>
      </c>
      <c r="I60" s="892">
        <v>20</v>
      </c>
      <c r="J60" s="892" t="s">
        <v>4</v>
      </c>
      <c r="K60" s="662" t="s">
        <v>2316</v>
      </c>
      <c r="L60" s="898">
        <v>3205427234</v>
      </c>
      <c r="M60" s="44" t="s">
        <v>2364</v>
      </c>
      <c r="N60" s="896"/>
      <c r="O60" s="41"/>
    </row>
    <row r="61" spans="1:15" ht="20.05" customHeight="1" x14ac:dyDescent="0.25">
      <c r="A61" s="223"/>
      <c r="B61" s="41" t="s">
        <v>1969</v>
      </c>
      <c r="C61" s="41" t="s">
        <v>1970</v>
      </c>
      <c r="D61" s="137">
        <v>25787339</v>
      </c>
      <c r="E61" s="896" t="s">
        <v>1971</v>
      </c>
      <c r="F61" s="891">
        <v>43655</v>
      </c>
      <c r="G61" s="891">
        <v>43676</v>
      </c>
      <c r="H61" s="892" t="s">
        <v>33</v>
      </c>
      <c r="I61" s="892">
        <v>12</v>
      </c>
      <c r="J61" s="892" t="s">
        <v>4</v>
      </c>
      <c r="K61" s="662" t="s">
        <v>2466</v>
      </c>
      <c r="L61" s="898" t="s">
        <v>1972</v>
      </c>
      <c r="M61" s="896" t="s">
        <v>1973</v>
      </c>
      <c r="N61" s="896"/>
      <c r="O61" s="41"/>
    </row>
    <row r="62" spans="1:15" s="953" customFormat="1" ht="20.05" customHeight="1" x14ac:dyDescent="0.25">
      <c r="A62" s="223"/>
      <c r="B62" s="1206" t="s">
        <v>1964</v>
      </c>
      <c r="C62" s="1206" t="s">
        <v>1965</v>
      </c>
      <c r="D62" s="1209">
        <v>70079249</v>
      </c>
      <c r="E62" s="1206" t="s">
        <v>1966</v>
      </c>
      <c r="F62" s="1210">
        <v>43602</v>
      </c>
      <c r="G62" s="1210">
        <v>43646</v>
      </c>
      <c r="H62" s="1211" t="s">
        <v>1016</v>
      </c>
      <c r="I62" s="715"/>
      <c r="J62" s="715" t="s">
        <v>215</v>
      </c>
      <c r="K62" s="660" t="s">
        <v>543</v>
      </c>
      <c r="L62" s="1207" t="s">
        <v>1967</v>
      </c>
      <c r="M62" s="1206" t="s">
        <v>1968</v>
      </c>
      <c r="N62" s="896"/>
      <c r="O62" s="901"/>
    </row>
    <row r="63" spans="1:15" s="953" customFormat="1" ht="20.05" customHeight="1" x14ac:dyDescent="0.25">
      <c r="A63" s="223"/>
      <c r="B63" s="1206"/>
      <c r="C63" s="1206"/>
      <c r="D63" s="1209"/>
      <c r="E63" s="1206"/>
      <c r="F63" s="1210"/>
      <c r="G63" s="1210"/>
      <c r="H63" s="1211"/>
      <c r="I63" s="715"/>
      <c r="J63" s="715" t="s">
        <v>5</v>
      </c>
      <c r="K63" s="660" t="s">
        <v>2466</v>
      </c>
      <c r="L63" s="1207"/>
      <c r="M63" s="1206"/>
      <c r="N63" s="896"/>
      <c r="O63" s="901"/>
    </row>
    <row r="64" spans="1:15" s="953" customFormat="1" ht="20.05" customHeight="1" x14ac:dyDescent="0.25">
      <c r="A64" s="223"/>
      <c r="B64" s="896" t="s">
        <v>2039</v>
      </c>
      <c r="C64" s="896" t="s">
        <v>2040</v>
      </c>
      <c r="D64" s="138">
        <v>1534540</v>
      </c>
      <c r="E64" s="896" t="s">
        <v>1858</v>
      </c>
      <c r="F64" s="891">
        <v>43655</v>
      </c>
      <c r="G64" s="891">
        <v>43677</v>
      </c>
      <c r="H64" s="892" t="s">
        <v>33</v>
      </c>
      <c r="I64" s="892">
        <v>12</v>
      </c>
      <c r="J64" s="892" t="s">
        <v>4</v>
      </c>
      <c r="K64" s="662" t="s">
        <v>2313</v>
      </c>
      <c r="L64" s="898">
        <v>3105197478</v>
      </c>
      <c r="M64" s="896" t="s">
        <v>2041</v>
      </c>
      <c r="N64" s="896"/>
      <c r="O64" s="901"/>
    </row>
    <row r="65" spans="1:15" s="953" customFormat="1" ht="20.05" customHeight="1" x14ac:dyDescent="0.25">
      <c r="A65" s="223"/>
      <c r="B65" s="896" t="s">
        <v>2042</v>
      </c>
      <c r="C65" s="896" t="s">
        <v>2043</v>
      </c>
      <c r="D65" s="138">
        <v>78716375</v>
      </c>
      <c r="E65" s="896" t="s">
        <v>2044</v>
      </c>
      <c r="F65" s="891">
        <v>43651</v>
      </c>
      <c r="G65" s="891">
        <v>43676</v>
      </c>
      <c r="H65" s="892" t="s">
        <v>33</v>
      </c>
      <c r="I65" s="892">
        <v>12</v>
      </c>
      <c r="J65" s="892" t="s">
        <v>4</v>
      </c>
      <c r="K65" s="662" t="s">
        <v>1869</v>
      </c>
      <c r="L65" s="898">
        <v>3157440107</v>
      </c>
      <c r="M65" s="896" t="s">
        <v>2045</v>
      </c>
      <c r="N65" s="896"/>
      <c r="O65" s="901"/>
    </row>
    <row r="66" spans="1:15" s="953" customFormat="1" ht="20.05" customHeight="1" x14ac:dyDescent="0.25">
      <c r="A66" s="223"/>
      <c r="B66" s="1206" t="s">
        <v>2075</v>
      </c>
      <c r="C66" s="1206" t="s">
        <v>2076</v>
      </c>
      <c r="D66" s="1209">
        <v>6880650</v>
      </c>
      <c r="E66" s="1206" t="s">
        <v>2077</v>
      </c>
      <c r="F66" s="1129">
        <v>43655</v>
      </c>
      <c r="G66" s="1129">
        <v>43676</v>
      </c>
      <c r="H66" s="1208" t="s">
        <v>33</v>
      </c>
      <c r="I66" s="892">
        <v>12</v>
      </c>
      <c r="J66" s="892" t="s">
        <v>4</v>
      </c>
      <c r="K66" s="662" t="s">
        <v>2301</v>
      </c>
      <c r="L66" s="1207">
        <v>3204374835</v>
      </c>
      <c r="M66" s="1206" t="s">
        <v>2079</v>
      </c>
      <c r="N66" s="896"/>
      <c r="O66" s="901"/>
    </row>
    <row r="67" spans="1:15" s="953" customFormat="1" ht="20.05" customHeight="1" x14ac:dyDescent="0.25">
      <c r="A67" s="223"/>
      <c r="B67" s="1206"/>
      <c r="C67" s="1206"/>
      <c r="D67" s="1209"/>
      <c r="E67" s="1206"/>
      <c r="F67" s="1129"/>
      <c r="G67" s="1129"/>
      <c r="H67" s="1208"/>
      <c r="I67" s="892">
        <v>1</v>
      </c>
      <c r="J67" s="892" t="s">
        <v>214</v>
      </c>
      <c r="K67" s="81" t="s">
        <v>1383</v>
      </c>
      <c r="L67" s="1207"/>
      <c r="M67" s="1206"/>
      <c r="N67" s="896"/>
      <c r="O67" s="901"/>
    </row>
    <row r="68" spans="1:15" s="953" customFormat="1" ht="20.05" customHeight="1" x14ac:dyDescent="0.25">
      <c r="A68" s="223"/>
      <c r="B68" s="896" t="s">
        <v>2073</v>
      </c>
      <c r="C68" s="896" t="s">
        <v>2074</v>
      </c>
      <c r="D68" s="138">
        <v>25764694</v>
      </c>
      <c r="E68" s="896" t="s">
        <v>493</v>
      </c>
      <c r="F68" s="585">
        <v>43623</v>
      </c>
      <c r="G68" s="585">
        <v>43646</v>
      </c>
      <c r="H68" s="180" t="s">
        <v>33</v>
      </c>
      <c r="I68" s="923"/>
      <c r="J68" s="923" t="s">
        <v>4</v>
      </c>
      <c r="K68" s="81" t="s">
        <v>1869</v>
      </c>
      <c r="L68" s="898">
        <v>3114293076</v>
      </c>
      <c r="M68" s="896" t="s">
        <v>2078</v>
      </c>
      <c r="N68" s="896"/>
      <c r="O68" s="901"/>
    </row>
    <row r="69" spans="1:15" ht="20.05" customHeight="1" x14ac:dyDescent="0.25">
      <c r="A69" s="223"/>
      <c r="B69" s="41" t="s">
        <v>1126</v>
      </c>
      <c r="C69" s="41" t="s">
        <v>1127</v>
      </c>
      <c r="D69" s="137">
        <v>25756331</v>
      </c>
      <c r="E69" s="896" t="s">
        <v>493</v>
      </c>
      <c r="F69" s="891">
        <v>43651</v>
      </c>
      <c r="G69" s="891">
        <v>43676</v>
      </c>
      <c r="H69" s="892" t="s">
        <v>33</v>
      </c>
      <c r="I69" s="892">
        <v>12</v>
      </c>
      <c r="J69" s="892" t="s">
        <v>4</v>
      </c>
      <c r="K69" s="662" t="s">
        <v>2305</v>
      </c>
      <c r="L69" s="898">
        <v>7826623</v>
      </c>
      <c r="M69" s="896" t="s">
        <v>1128</v>
      </c>
      <c r="N69" s="896"/>
      <c r="O69" s="41"/>
    </row>
    <row r="70" spans="1:15" ht="20.05" customHeight="1" x14ac:dyDescent="0.25">
      <c r="A70" s="223"/>
      <c r="B70" s="1212" t="s">
        <v>141</v>
      </c>
      <c r="C70" s="1212" t="s">
        <v>142</v>
      </c>
      <c r="D70" s="1209">
        <v>1066518067</v>
      </c>
      <c r="E70" s="1206" t="s">
        <v>484</v>
      </c>
      <c r="F70" s="891">
        <v>43651</v>
      </c>
      <c r="G70" s="891">
        <v>43676</v>
      </c>
      <c r="H70" s="892" t="s">
        <v>33</v>
      </c>
      <c r="I70" s="892">
        <v>12</v>
      </c>
      <c r="J70" s="892" t="s">
        <v>4</v>
      </c>
      <c r="K70" s="81" t="s">
        <v>390</v>
      </c>
      <c r="L70" s="433" t="s">
        <v>1869</v>
      </c>
      <c r="M70" s="1206" t="s">
        <v>242</v>
      </c>
      <c r="N70" s="1206"/>
      <c r="O70" s="41"/>
    </row>
    <row r="71" spans="1:15" ht="20.05" customHeight="1" x14ac:dyDescent="0.25">
      <c r="A71" s="223"/>
      <c r="B71" s="1212"/>
      <c r="C71" s="1212"/>
      <c r="D71" s="1209"/>
      <c r="E71" s="1206"/>
      <c r="F71" s="1129">
        <v>43656</v>
      </c>
      <c r="G71" s="1129">
        <v>43677</v>
      </c>
      <c r="H71" s="1208" t="s">
        <v>686</v>
      </c>
      <c r="I71" s="892">
        <v>8</v>
      </c>
      <c r="J71" s="892" t="s">
        <v>4</v>
      </c>
      <c r="K71" s="81" t="s">
        <v>390</v>
      </c>
      <c r="L71" s="107"/>
      <c r="M71" s="1206"/>
      <c r="N71" s="1206"/>
      <c r="O71" s="41"/>
    </row>
    <row r="72" spans="1:15" ht="20.05" customHeight="1" x14ac:dyDescent="0.25">
      <c r="A72" s="223"/>
      <c r="B72" s="1212"/>
      <c r="C72" s="1212"/>
      <c r="D72" s="1209"/>
      <c r="E72" s="1206"/>
      <c r="F72" s="1129"/>
      <c r="G72" s="1129"/>
      <c r="H72" s="1208"/>
      <c r="I72" s="892">
        <v>20</v>
      </c>
      <c r="J72" s="892" t="s">
        <v>215</v>
      </c>
      <c r="K72" s="81" t="s">
        <v>543</v>
      </c>
      <c r="L72" s="107">
        <v>7888227</v>
      </c>
      <c r="M72" s="1206"/>
      <c r="N72" s="1206"/>
      <c r="O72" s="41"/>
    </row>
    <row r="73" spans="1:15" ht="20.05" customHeight="1" x14ac:dyDescent="0.25">
      <c r="A73" s="223"/>
      <c r="B73" s="1212"/>
      <c r="C73" s="1212"/>
      <c r="D73" s="1209"/>
      <c r="E73" s="896"/>
      <c r="F73" s="1129"/>
      <c r="G73" s="1129"/>
      <c r="H73" s="1208"/>
      <c r="I73" s="892">
        <v>20</v>
      </c>
      <c r="J73" s="892" t="s">
        <v>8</v>
      </c>
      <c r="K73" s="81" t="s">
        <v>2299</v>
      </c>
      <c r="L73" s="107"/>
      <c r="M73" s="1206"/>
      <c r="N73" s="1206"/>
      <c r="O73" s="41"/>
    </row>
    <row r="74" spans="1:15" ht="20.05" customHeight="1" x14ac:dyDescent="0.25">
      <c r="A74" s="223"/>
      <c r="B74" s="41" t="s">
        <v>143</v>
      </c>
      <c r="C74" s="41" t="s">
        <v>144</v>
      </c>
      <c r="D74" s="137">
        <v>34956660</v>
      </c>
      <c r="E74" s="896" t="s">
        <v>523</v>
      </c>
      <c r="F74" s="891">
        <v>43651</v>
      </c>
      <c r="G74" s="891">
        <v>43676</v>
      </c>
      <c r="H74" s="892" t="s">
        <v>33</v>
      </c>
      <c r="I74" s="892">
        <v>12</v>
      </c>
      <c r="J74" s="892" t="s">
        <v>4</v>
      </c>
      <c r="K74" s="662" t="s">
        <v>2300</v>
      </c>
      <c r="L74" s="898">
        <v>3126696508</v>
      </c>
      <c r="M74" s="896" t="s">
        <v>318</v>
      </c>
      <c r="N74" s="896"/>
      <c r="O74" s="41"/>
    </row>
    <row r="75" spans="1:15" ht="20.05" customHeight="1" x14ac:dyDescent="0.25">
      <c r="A75" s="223"/>
      <c r="B75" s="41" t="s">
        <v>843</v>
      </c>
      <c r="C75" s="41" t="s">
        <v>844</v>
      </c>
      <c r="D75" s="137">
        <v>26054156</v>
      </c>
      <c r="E75" s="896" t="s">
        <v>481</v>
      </c>
      <c r="F75" s="891">
        <v>43651</v>
      </c>
      <c r="G75" s="891">
        <v>43676</v>
      </c>
      <c r="H75" s="892" t="s">
        <v>33</v>
      </c>
      <c r="I75" s="892">
        <v>12</v>
      </c>
      <c r="J75" s="892" t="s">
        <v>4</v>
      </c>
      <c r="K75" s="662" t="s">
        <v>2300</v>
      </c>
      <c r="L75" s="898">
        <v>3002051508</v>
      </c>
      <c r="M75" s="896" t="s">
        <v>845</v>
      </c>
      <c r="N75" s="72"/>
      <c r="O75" s="72"/>
    </row>
    <row r="76" spans="1:15" ht="20.05" customHeight="1" x14ac:dyDescent="0.25">
      <c r="A76" s="223"/>
      <c r="B76" s="1212" t="s">
        <v>893</v>
      </c>
      <c r="C76" s="1212" t="s">
        <v>894</v>
      </c>
      <c r="D76" s="1209">
        <v>23062587</v>
      </c>
      <c r="E76" s="1206" t="s">
        <v>895</v>
      </c>
      <c r="F76" s="585">
        <v>43621</v>
      </c>
      <c r="G76" s="585">
        <v>43646</v>
      </c>
      <c r="H76" s="180" t="s">
        <v>686</v>
      </c>
      <c r="I76" s="923"/>
      <c r="J76" s="923" t="s">
        <v>4</v>
      </c>
      <c r="K76" s="81" t="s">
        <v>1869</v>
      </c>
      <c r="L76" s="1207" t="s">
        <v>896</v>
      </c>
      <c r="M76" s="1206" t="s">
        <v>897</v>
      </c>
      <c r="N76" s="72"/>
      <c r="O76" s="72"/>
    </row>
    <row r="77" spans="1:15" ht="20.05" customHeight="1" x14ac:dyDescent="0.25">
      <c r="A77" s="223"/>
      <c r="B77" s="1212"/>
      <c r="C77" s="1212"/>
      <c r="D77" s="1209"/>
      <c r="E77" s="1206"/>
      <c r="F77" s="535">
        <v>43592</v>
      </c>
      <c r="G77" s="535">
        <v>43615</v>
      </c>
      <c r="H77" s="133" t="s">
        <v>33</v>
      </c>
      <c r="I77" s="715"/>
      <c r="J77" s="715" t="s">
        <v>4</v>
      </c>
      <c r="K77" s="660"/>
      <c r="L77" s="1207"/>
      <c r="M77" s="1206"/>
      <c r="N77" s="72"/>
      <c r="O77" s="72"/>
    </row>
    <row r="78" spans="1:15" ht="20.05" customHeight="1" x14ac:dyDescent="0.25">
      <c r="A78" s="223"/>
      <c r="B78" s="1206" t="s">
        <v>1699</v>
      </c>
      <c r="C78" s="1206" t="s">
        <v>1700</v>
      </c>
      <c r="D78" s="1209">
        <v>1062533708</v>
      </c>
      <c r="E78" s="1206" t="s">
        <v>1701</v>
      </c>
      <c r="F78" s="891">
        <v>43655</v>
      </c>
      <c r="G78" s="891">
        <v>43677</v>
      </c>
      <c r="H78" s="892" t="s">
        <v>33</v>
      </c>
      <c r="I78" s="892">
        <v>12</v>
      </c>
      <c r="J78" s="892" t="s">
        <v>4</v>
      </c>
      <c r="K78" s="662" t="s">
        <v>2301</v>
      </c>
      <c r="L78" s="1207">
        <v>3004366052</v>
      </c>
      <c r="M78" s="1206" t="s">
        <v>1702</v>
      </c>
      <c r="N78" s="72"/>
      <c r="O78" s="72"/>
    </row>
    <row r="79" spans="1:15" ht="20.05" customHeight="1" x14ac:dyDescent="0.25">
      <c r="A79" s="223"/>
      <c r="B79" s="1206"/>
      <c r="C79" s="1206"/>
      <c r="D79" s="1209"/>
      <c r="E79" s="1206"/>
      <c r="F79" s="1217">
        <v>43614</v>
      </c>
      <c r="G79" s="1217">
        <v>43646</v>
      </c>
      <c r="H79" s="1218" t="s">
        <v>1016</v>
      </c>
      <c r="I79" s="923"/>
      <c r="J79" s="923" t="s">
        <v>4</v>
      </c>
      <c r="K79" s="81" t="s">
        <v>2301</v>
      </c>
      <c r="L79" s="1207"/>
      <c r="M79" s="1206"/>
      <c r="N79" s="72"/>
      <c r="O79" s="72"/>
    </row>
    <row r="80" spans="1:15" ht="20.05" customHeight="1" x14ac:dyDescent="0.25">
      <c r="A80" s="223"/>
      <c r="B80" s="1206"/>
      <c r="C80" s="1206"/>
      <c r="D80" s="1209"/>
      <c r="E80" s="1206"/>
      <c r="F80" s="1217"/>
      <c r="G80" s="1217"/>
      <c r="H80" s="1218"/>
      <c r="I80" s="923"/>
      <c r="J80" s="923" t="s">
        <v>5</v>
      </c>
      <c r="K80" s="81" t="s">
        <v>2301</v>
      </c>
      <c r="L80" s="1207"/>
      <c r="M80" s="1206"/>
      <c r="N80" s="72"/>
      <c r="O80" s="72"/>
    </row>
    <row r="81" spans="1:15" ht="20.05" customHeight="1" x14ac:dyDescent="0.25">
      <c r="A81" s="223"/>
      <c r="B81" s="41" t="s">
        <v>145</v>
      </c>
      <c r="C81" s="41" t="s">
        <v>146</v>
      </c>
      <c r="D81" s="137">
        <v>26207631</v>
      </c>
      <c r="E81" s="896" t="s">
        <v>486</v>
      </c>
      <c r="F81" s="891">
        <v>43651</v>
      </c>
      <c r="G81" s="891">
        <v>43676</v>
      </c>
      <c r="H81" s="892" t="s">
        <v>33</v>
      </c>
      <c r="I81" s="892">
        <v>12</v>
      </c>
      <c r="J81" s="892" t="s">
        <v>4</v>
      </c>
      <c r="K81" s="81" t="s">
        <v>1869</v>
      </c>
      <c r="L81" s="898" t="s">
        <v>308</v>
      </c>
      <c r="M81" s="896" t="s">
        <v>309</v>
      </c>
      <c r="N81" s="43"/>
      <c r="O81" s="72"/>
    </row>
    <row r="82" spans="1:15" ht="20.05" customHeight="1" x14ac:dyDescent="0.25">
      <c r="A82" s="223"/>
      <c r="B82" s="41" t="s">
        <v>149</v>
      </c>
      <c r="C82" s="41" t="s">
        <v>150</v>
      </c>
      <c r="D82" s="137">
        <v>10771506</v>
      </c>
      <c r="E82" s="896" t="s">
        <v>484</v>
      </c>
      <c r="F82" s="891">
        <v>43651</v>
      </c>
      <c r="G82" s="891">
        <v>43676</v>
      </c>
      <c r="H82" s="892" t="s">
        <v>33</v>
      </c>
      <c r="I82" s="892">
        <v>12</v>
      </c>
      <c r="J82" s="892" t="s">
        <v>4</v>
      </c>
      <c r="K82" s="662" t="s">
        <v>1869</v>
      </c>
      <c r="L82" s="898" t="s">
        <v>690</v>
      </c>
      <c r="M82" s="896" t="s">
        <v>306</v>
      </c>
      <c r="N82" s="896"/>
      <c r="O82" s="41"/>
    </row>
    <row r="83" spans="1:15" ht="20.05" customHeight="1" x14ac:dyDescent="0.25">
      <c r="A83" s="223"/>
      <c r="B83" s="41" t="s">
        <v>1081</v>
      </c>
      <c r="C83" s="41" t="s">
        <v>1082</v>
      </c>
      <c r="D83" s="137">
        <v>6868650</v>
      </c>
      <c r="E83" s="896" t="s">
        <v>496</v>
      </c>
      <c r="F83" s="891">
        <v>43651</v>
      </c>
      <c r="G83" s="891">
        <v>43676</v>
      </c>
      <c r="H83" s="892" t="s">
        <v>33</v>
      </c>
      <c r="I83" s="892">
        <v>12</v>
      </c>
      <c r="J83" s="892" t="s">
        <v>4</v>
      </c>
      <c r="K83" s="662" t="s">
        <v>2305</v>
      </c>
      <c r="L83" s="898">
        <v>7832890</v>
      </c>
      <c r="M83" s="43" t="s">
        <v>1083</v>
      </c>
      <c r="N83" s="896"/>
      <c r="O83" s="41"/>
    </row>
    <row r="84" spans="1:15" ht="20.05" customHeight="1" x14ac:dyDescent="0.25">
      <c r="A84" s="223"/>
      <c r="B84" s="41" t="s">
        <v>1402</v>
      </c>
      <c r="C84" s="41" t="s">
        <v>1403</v>
      </c>
      <c r="D84" s="137">
        <v>6569058</v>
      </c>
      <c r="E84" s="896"/>
      <c r="F84" s="891">
        <v>43651</v>
      </c>
      <c r="G84" s="891">
        <v>43676</v>
      </c>
      <c r="H84" s="892" t="s">
        <v>33</v>
      </c>
      <c r="I84" s="892">
        <v>12</v>
      </c>
      <c r="J84" s="892" t="s">
        <v>4</v>
      </c>
      <c r="K84" s="662" t="s">
        <v>1869</v>
      </c>
      <c r="L84" s="898">
        <v>3107183522</v>
      </c>
      <c r="M84" s="43" t="s">
        <v>1404</v>
      </c>
      <c r="N84" s="896"/>
      <c r="O84" s="41"/>
    </row>
    <row r="85" spans="1:15" ht="20.05" customHeight="1" x14ac:dyDescent="0.25">
      <c r="A85" s="223"/>
      <c r="B85" s="41" t="s">
        <v>151</v>
      </c>
      <c r="C85" s="41" t="s">
        <v>152</v>
      </c>
      <c r="D85" s="137">
        <v>93749</v>
      </c>
      <c r="E85" s="896" t="s">
        <v>525</v>
      </c>
      <c r="F85" s="891">
        <v>43651</v>
      </c>
      <c r="G85" s="891">
        <v>43676</v>
      </c>
      <c r="H85" s="892" t="s">
        <v>33</v>
      </c>
      <c r="I85" s="892">
        <v>12</v>
      </c>
      <c r="J85" s="892" t="s">
        <v>4</v>
      </c>
      <c r="K85" s="662" t="s">
        <v>2298</v>
      </c>
      <c r="L85" s="898">
        <v>3113502791</v>
      </c>
      <c r="M85" s="896" t="s">
        <v>253</v>
      </c>
      <c r="N85" s="896"/>
      <c r="O85" s="41"/>
    </row>
    <row r="86" spans="1:15" ht="20.05" customHeight="1" x14ac:dyDescent="0.25">
      <c r="A86" s="223"/>
      <c r="B86" s="41" t="s">
        <v>1042</v>
      </c>
      <c r="C86" s="41" t="s">
        <v>1041</v>
      </c>
      <c r="D86" s="137">
        <v>10915245</v>
      </c>
      <c r="E86" s="896" t="s">
        <v>490</v>
      </c>
      <c r="F86" s="891">
        <v>43651</v>
      </c>
      <c r="G86" s="891">
        <v>43676</v>
      </c>
      <c r="H86" s="892" t="s">
        <v>33</v>
      </c>
      <c r="I86" s="892">
        <v>12</v>
      </c>
      <c r="J86" s="892" t="s">
        <v>4</v>
      </c>
      <c r="K86" s="662" t="s">
        <v>2305</v>
      </c>
      <c r="L86" s="898" t="s">
        <v>1046</v>
      </c>
      <c r="M86" s="43" t="s">
        <v>1047</v>
      </c>
      <c r="N86" s="896"/>
      <c r="O86" s="41"/>
    </row>
    <row r="87" spans="1:15" ht="19.7" customHeight="1" x14ac:dyDescent="0.25">
      <c r="A87" s="223"/>
      <c r="B87" s="41" t="s">
        <v>1043</v>
      </c>
      <c r="C87" s="41" t="s">
        <v>1044</v>
      </c>
      <c r="D87" s="137">
        <v>144050</v>
      </c>
      <c r="E87" s="896" t="s">
        <v>490</v>
      </c>
      <c r="F87" s="891">
        <v>43651</v>
      </c>
      <c r="G87" s="891">
        <v>43676</v>
      </c>
      <c r="H87" s="892" t="s">
        <v>33</v>
      </c>
      <c r="I87" s="892">
        <v>12</v>
      </c>
      <c r="J87" s="892" t="s">
        <v>4</v>
      </c>
      <c r="K87" s="662" t="s">
        <v>2305</v>
      </c>
      <c r="L87" s="898" t="s">
        <v>1045</v>
      </c>
      <c r="M87" s="898" t="s">
        <v>1048</v>
      </c>
      <c r="N87" s="896"/>
      <c r="O87" s="41"/>
    </row>
    <row r="88" spans="1:15" ht="20.05" customHeight="1" x14ac:dyDescent="0.25">
      <c r="A88" s="223"/>
      <c r="B88" s="41" t="s">
        <v>637</v>
      </c>
      <c r="C88" s="41" t="s">
        <v>1049</v>
      </c>
      <c r="D88" s="137">
        <v>15035460</v>
      </c>
      <c r="E88" s="896" t="s">
        <v>486</v>
      </c>
      <c r="F88" s="891">
        <v>43651</v>
      </c>
      <c r="G88" s="891">
        <v>43676</v>
      </c>
      <c r="H88" s="892" t="s">
        <v>33</v>
      </c>
      <c r="I88" s="892">
        <v>12</v>
      </c>
      <c r="J88" s="892" t="s">
        <v>215</v>
      </c>
      <c r="K88" s="662" t="s">
        <v>2305</v>
      </c>
      <c r="L88" s="898">
        <v>3104062386</v>
      </c>
      <c r="M88" s="896" t="s">
        <v>1050</v>
      </c>
      <c r="N88" s="896"/>
      <c r="O88" s="41"/>
    </row>
    <row r="89" spans="1:15" ht="20.05" customHeight="1" x14ac:dyDescent="0.25">
      <c r="A89" s="223"/>
      <c r="B89" s="41" t="s">
        <v>1051</v>
      </c>
      <c r="C89" s="41" t="s">
        <v>1052</v>
      </c>
      <c r="D89" s="137">
        <v>1534175</v>
      </c>
      <c r="E89" s="896" t="s">
        <v>490</v>
      </c>
      <c r="F89" s="891">
        <v>43651</v>
      </c>
      <c r="G89" s="891">
        <v>43676</v>
      </c>
      <c r="H89" s="892" t="s">
        <v>33</v>
      </c>
      <c r="I89" s="892">
        <v>12</v>
      </c>
      <c r="J89" s="892" t="s">
        <v>4</v>
      </c>
      <c r="K89" s="662" t="s">
        <v>1869</v>
      </c>
      <c r="L89" s="898">
        <v>3008402927</v>
      </c>
      <c r="M89" s="896" t="s">
        <v>1053</v>
      </c>
      <c r="N89" s="896"/>
      <c r="O89" s="41"/>
    </row>
    <row r="90" spans="1:15" ht="20.05" customHeight="1" x14ac:dyDescent="0.25">
      <c r="A90" s="223"/>
      <c r="B90" s="41" t="s">
        <v>2350</v>
      </c>
      <c r="C90" s="41" t="s">
        <v>2351</v>
      </c>
      <c r="D90" s="137">
        <v>26020558</v>
      </c>
      <c r="E90" s="896" t="s">
        <v>558</v>
      </c>
      <c r="F90" s="899">
        <v>43621</v>
      </c>
      <c r="G90" s="899">
        <v>43646</v>
      </c>
      <c r="H90" s="934" t="s">
        <v>33</v>
      </c>
      <c r="I90" s="892">
        <v>12</v>
      </c>
      <c r="J90" s="892" t="s">
        <v>4</v>
      </c>
      <c r="K90" s="662" t="s">
        <v>2305</v>
      </c>
      <c r="L90" s="898">
        <v>3126162099</v>
      </c>
      <c r="M90" s="896" t="s">
        <v>2352</v>
      </c>
      <c r="N90" s="1130" t="s">
        <v>2328</v>
      </c>
      <c r="O90" s="1130"/>
    </row>
    <row r="91" spans="1:15" ht="20.05" customHeight="1" x14ac:dyDescent="0.25">
      <c r="A91" s="223"/>
      <c r="B91" s="41" t="s">
        <v>2350</v>
      </c>
      <c r="C91" s="41" t="s">
        <v>2351</v>
      </c>
      <c r="D91" s="137">
        <v>26020558</v>
      </c>
      <c r="E91" s="896" t="s">
        <v>558</v>
      </c>
      <c r="F91" s="891">
        <v>43655</v>
      </c>
      <c r="G91" s="891">
        <v>43677</v>
      </c>
      <c r="H91" s="892" t="s">
        <v>33</v>
      </c>
      <c r="I91" s="892">
        <v>12</v>
      </c>
      <c r="J91" s="892" t="s">
        <v>4</v>
      </c>
      <c r="K91" s="662" t="s">
        <v>2305</v>
      </c>
      <c r="L91" s="898">
        <v>3126162099</v>
      </c>
      <c r="M91" s="896" t="s">
        <v>2352</v>
      </c>
      <c r="N91" s="107"/>
      <c r="O91" s="107"/>
    </row>
    <row r="92" spans="1:15" ht="20.05" customHeight="1" x14ac:dyDescent="0.25">
      <c r="A92" s="223"/>
      <c r="B92" s="41" t="s">
        <v>1981</v>
      </c>
      <c r="C92" s="41" t="s">
        <v>1982</v>
      </c>
      <c r="D92" s="137">
        <v>26050394</v>
      </c>
      <c r="E92" s="896" t="s">
        <v>1983</v>
      </c>
      <c r="F92" s="891">
        <v>43655</v>
      </c>
      <c r="G92" s="891">
        <v>43677</v>
      </c>
      <c r="H92" s="892" t="s">
        <v>33</v>
      </c>
      <c r="I92" s="892">
        <v>12</v>
      </c>
      <c r="J92" s="892" t="s">
        <v>4</v>
      </c>
      <c r="K92" s="662" t="s">
        <v>1869</v>
      </c>
      <c r="L92" s="898" t="s">
        <v>1984</v>
      </c>
      <c r="M92" s="896" t="s">
        <v>1985</v>
      </c>
      <c r="N92" s="896"/>
      <c r="O92" s="41"/>
    </row>
    <row r="93" spans="1:15" ht="20.05" customHeight="1" x14ac:dyDescent="0.25">
      <c r="A93" s="223"/>
      <c r="B93" s="41" t="s">
        <v>1055</v>
      </c>
      <c r="C93" s="41" t="s">
        <v>1054</v>
      </c>
      <c r="D93" s="137">
        <v>1538542</v>
      </c>
      <c r="E93" s="896" t="s">
        <v>486</v>
      </c>
      <c r="F93" s="891">
        <v>43651</v>
      </c>
      <c r="G93" s="891">
        <v>43676</v>
      </c>
      <c r="H93" s="892" t="s">
        <v>33</v>
      </c>
      <c r="I93" s="892">
        <v>12</v>
      </c>
      <c r="J93" s="892" t="s">
        <v>4</v>
      </c>
      <c r="K93" s="662" t="s">
        <v>2305</v>
      </c>
      <c r="L93" s="898">
        <v>3216962230</v>
      </c>
      <c r="M93" s="896" t="s">
        <v>1056</v>
      </c>
      <c r="N93" s="896"/>
      <c r="O93" s="41"/>
    </row>
    <row r="94" spans="1:15" ht="29.9" customHeight="1" x14ac:dyDescent="0.25">
      <c r="A94" s="223"/>
      <c r="B94" s="41" t="s">
        <v>1956</v>
      </c>
      <c r="C94" s="41" t="s">
        <v>1957</v>
      </c>
      <c r="D94" s="137">
        <v>25751433</v>
      </c>
      <c r="E94" s="896" t="s">
        <v>587</v>
      </c>
      <c r="F94" s="891">
        <v>43655</v>
      </c>
      <c r="G94" s="891">
        <v>43677</v>
      </c>
      <c r="H94" s="892" t="s">
        <v>33</v>
      </c>
      <c r="I94" s="892">
        <v>12</v>
      </c>
      <c r="J94" s="892" t="s">
        <v>4</v>
      </c>
      <c r="K94" s="662" t="s">
        <v>2466</v>
      </c>
      <c r="L94" s="898">
        <v>3154012185</v>
      </c>
      <c r="M94" s="896" t="s">
        <v>1958</v>
      </c>
      <c r="N94" s="896"/>
      <c r="O94" s="41"/>
    </row>
    <row r="95" spans="1:15" ht="20.05" customHeight="1" x14ac:dyDescent="0.25">
      <c r="A95" s="223"/>
      <c r="B95" s="41" t="s">
        <v>1058</v>
      </c>
      <c r="C95" s="41" t="s">
        <v>1057</v>
      </c>
      <c r="D95" s="137">
        <v>1574944</v>
      </c>
      <c r="E95" s="896" t="s">
        <v>485</v>
      </c>
      <c r="F95" s="891">
        <v>43651</v>
      </c>
      <c r="G95" s="891">
        <v>43676</v>
      </c>
      <c r="H95" s="892" t="s">
        <v>33</v>
      </c>
      <c r="I95" s="892">
        <v>12</v>
      </c>
      <c r="J95" s="892" t="s">
        <v>4</v>
      </c>
      <c r="K95" s="662" t="s">
        <v>2305</v>
      </c>
      <c r="L95" s="898">
        <v>7816773</v>
      </c>
      <c r="M95" s="896" t="s">
        <v>1059</v>
      </c>
      <c r="N95" s="896"/>
      <c r="O95" s="41"/>
    </row>
    <row r="96" spans="1:15" ht="20.05" customHeight="1" x14ac:dyDescent="0.25">
      <c r="A96" s="223"/>
      <c r="B96" s="41" t="s">
        <v>1897</v>
      </c>
      <c r="C96" s="41" t="s">
        <v>1898</v>
      </c>
      <c r="D96" s="384">
        <v>1067886220</v>
      </c>
      <c r="E96" s="896" t="s">
        <v>676</v>
      </c>
      <c r="F96" s="891">
        <v>43651</v>
      </c>
      <c r="G96" s="891">
        <v>43676</v>
      </c>
      <c r="H96" s="892" t="s">
        <v>33</v>
      </c>
      <c r="I96" s="892">
        <v>12</v>
      </c>
      <c r="J96" s="892" t="s">
        <v>4</v>
      </c>
      <c r="K96" s="662" t="s">
        <v>2310</v>
      </c>
      <c r="L96" s="898">
        <v>3205942354</v>
      </c>
      <c r="M96" s="896" t="s">
        <v>1899</v>
      </c>
      <c r="N96" s="896"/>
      <c r="O96" s="41"/>
    </row>
    <row r="97" spans="1:16" ht="19.05" customHeight="1" x14ac:dyDescent="0.25">
      <c r="A97" s="223"/>
      <c r="B97" s="41" t="s">
        <v>1061</v>
      </c>
      <c r="C97" s="41" t="s">
        <v>1060</v>
      </c>
      <c r="D97" s="137">
        <v>1578541</v>
      </c>
      <c r="E97" s="896" t="s">
        <v>1062</v>
      </c>
      <c r="F97" s="891">
        <v>43651</v>
      </c>
      <c r="G97" s="891">
        <v>43676</v>
      </c>
      <c r="H97" s="892" t="s">
        <v>33</v>
      </c>
      <c r="I97" s="892">
        <v>12</v>
      </c>
      <c r="J97" s="892" t="s">
        <v>4</v>
      </c>
      <c r="K97" s="662" t="s">
        <v>2305</v>
      </c>
      <c r="L97" s="898" t="s">
        <v>1193</v>
      </c>
      <c r="M97" s="896" t="s">
        <v>1063</v>
      </c>
      <c r="N97" s="896"/>
      <c r="O97" s="41"/>
    </row>
    <row r="98" spans="1:16" ht="20.05" customHeight="1" x14ac:dyDescent="0.25">
      <c r="A98" s="223"/>
      <c r="B98" s="41" t="s">
        <v>1065</v>
      </c>
      <c r="C98" s="41" t="s">
        <v>1064</v>
      </c>
      <c r="D98" s="137">
        <v>17005113</v>
      </c>
      <c r="E98" s="896" t="s">
        <v>486</v>
      </c>
      <c r="F98" s="891">
        <v>43651</v>
      </c>
      <c r="G98" s="891">
        <v>43676</v>
      </c>
      <c r="H98" s="892" t="s">
        <v>33</v>
      </c>
      <c r="I98" s="892">
        <v>12</v>
      </c>
      <c r="J98" s="892" t="s">
        <v>4</v>
      </c>
      <c r="K98" s="662" t="s">
        <v>2305</v>
      </c>
      <c r="L98" s="898" t="s">
        <v>1066</v>
      </c>
      <c r="M98" s="896" t="s">
        <v>2624</v>
      </c>
      <c r="N98" s="896"/>
      <c r="O98" s="41"/>
    </row>
    <row r="99" spans="1:16" ht="20.05" customHeight="1" x14ac:dyDescent="0.25">
      <c r="A99" s="223"/>
      <c r="B99" s="41" t="s">
        <v>1068</v>
      </c>
      <c r="C99" s="41" t="s">
        <v>1067</v>
      </c>
      <c r="D99" s="137">
        <v>2802565</v>
      </c>
      <c r="E99" s="896" t="s">
        <v>486</v>
      </c>
      <c r="F99" s="891">
        <v>43651</v>
      </c>
      <c r="G99" s="891">
        <v>43676</v>
      </c>
      <c r="H99" s="892" t="s">
        <v>33</v>
      </c>
      <c r="I99" s="892">
        <v>12</v>
      </c>
      <c r="J99" s="892" t="s">
        <v>4</v>
      </c>
      <c r="K99" s="662" t="s">
        <v>2305</v>
      </c>
      <c r="L99" s="898">
        <v>3105463058</v>
      </c>
      <c r="M99" s="896" t="s">
        <v>1069</v>
      </c>
      <c r="N99" s="896"/>
      <c r="O99" s="41"/>
    </row>
    <row r="100" spans="1:16" ht="20.05" customHeight="1" x14ac:dyDescent="0.25">
      <c r="A100" s="223"/>
      <c r="B100" s="41" t="s">
        <v>589</v>
      </c>
      <c r="C100" s="41" t="s">
        <v>590</v>
      </c>
      <c r="D100" s="137">
        <v>2804706</v>
      </c>
      <c r="E100" s="896" t="s">
        <v>591</v>
      </c>
      <c r="F100" s="891">
        <v>43651</v>
      </c>
      <c r="G100" s="891">
        <v>43676</v>
      </c>
      <c r="H100" s="892" t="s">
        <v>33</v>
      </c>
      <c r="I100" s="892">
        <v>12</v>
      </c>
      <c r="J100" s="892" t="s">
        <v>4</v>
      </c>
      <c r="K100" s="662" t="s">
        <v>2466</v>
      </c>
      <c r="L100" s="898" t="s">
        <v>601</v>
      </c>
      <c r="M100" s="896" t="s">
        <v>592</v>
      </c>
      <c r="N100" s="896"/>
      <c r="O100" s="41"/>
    </row>
    <row r="101" spans="1:16" ht="20.05" customHeight="1" x14ac:dyDescent="0.25">
      <c r="A101" s="223"/>
      <c r="B101" s="896" t="s">
        <v>1077</v>
      </c>
      <c r="C101" s="896" t="s">
        <v>1078</v>
      </c>
      <c r="D101" s="954">
        <v>6856609</v>
      </c>
      <c r="E101" s="896" t="s">
        <v>489</v>
      </c>
      <c r="F101" s="891">
        <v>43651</v>
      </c>
      <c r="G101" s="891">
        <v>43676</v>
      </c>
      <c r="H101" s="892" t="s">
        <v>33</v>
      </c>
      <c r="I101" s="892">
        <v>12</v>
      </c>
      <c r="J101" s="892" t="s">
        <v>4</v>
      </c>
      <c r="K101" s="662" t="s">
        <v>2301</v>
      </c>
      <c r="L101" s="898">
        <v>3135105065</v>
      </c>
      <c r="M101" s="896" t="s">
        <v>1079</v>
      </c>
      <c r="N101" s="896"/>
      <c r="O101" s="41"/>
      <c r="P101" s="41"/>
    </row>
    <row r="102" spans="1:16" ht="20.05" customHeight="1" x14ac:dyDescent="0.25">
      <c r="A102" s="223"/>
      <c r="B102" s="896" t="s">
        <v>2190</v>
      </c>
      <c r="C102" s="896" t="s">
        <v>2191</v>
      </c>
      <c r="D102" s="954">
        <v>35800073</v>
      </c>
      <c r="E102" s="896" t="s">
        <v>481</v>
      </c>
      <c r="F102" s="891">
        <v>43655</v>
      </c>
      <c r="G102" s="891">
        <v>43676</v>
      </c>
      <c r="H102" s="892" t="s">
        <v>33</v>
      </c>
      <c r="I102" s="892">
        <v>12</v>
      </c>
      <c r="J102" s="892" t="s">
        <v>4</v>
      </c>
      <c r="K102" s="81" t="s">
        <v>2300</v>
      </c>
      <c r="L102" s="898">
        <v>3106049029</v>
      </c>
      <c r="M102" s="896" t="s">
        <v>2192</v>
      </c>
      <c r="N102" s="896"/>
      <c r="O102" s="41"/>
    </row>
    <row r="103" spans="1:16" ht="20.05" customHeight="1" x14ac:dyDescent="0.25">
      <c r="A103" s="223"/>
      <c r="B103" s="41" t="s">
        <v>2147</v>
      </c>
      <c r="C103" s="41" t="s">
        <v>2148</v>
      </c>
      <c r="D103" s="137">
        <v>25778158</v>
      </c>
      <c r="E103" s="896" t="s">
        <v>1755</v>
      </c>
      <c r="F103" s="891">
        <v>43655</v>
      </c>
      <c r="G103" s="891">
        <v>43676</v>
      </c>
      <c r="H103" s="892" t="s">
        <v>33</v>
      </c>
      <c r="I103" s="892">
        <v>12</v>
      </c>
      <c r="J103" s="892" t="s">
        <v>4</v>
      </c>
      <c r="K103" s="662" t="s">
        <v>2300</v>
      </c>
      <c r="L103" s="898">
        <v>3205509282</v>
      </c>
      <c r="M103" s="896" t="s">
        <v>2149</v>
      </c>
      <c r="N103" s="896"/>
      <c r="O103" s="41"/>
    </row>
    <row r="104" spans="1:16" ht="20.05" customHeight="1" x14ac:dyDescent="0.25">
      <c r="A104" s="223"/>
      <c r="B104" s="41" t="s">
        <v>2154</v>
      </c>
      <c r="C104" s="41" t="s">
        <v>2155</v>
      </c>
      <c r="D104" s="137">
        <v>50898166</v>
      </c>
      <c r="E104" s="896"/>
      <c r="F104" s="585">
        <v>43621</v>
      </c>
      <c r="G104" s="585">
        <v>43646</v>
      </c>
      <c r="H104" s="180" t="s">
        <v>33</v>
      </c>
      <c r="I104" s="923"/>
      <c r="J104" s="923" t="s">
        <v>2370</v>
      </c>
      <c r="K104" s="81" t="s">
        <v>2310</v>
      </c>
      <c r="L104" s="898">
        <v>31456140418</v>
      </c>
      <c r="M104" s="896" t="s">
        <v>2156</v>
      </c>
      <c r="N104" s="896"/>
      <c r="O104" s="41"/>
    </row>
    <row r="105" spans="1:16" ht="20.05" customHeight="1" x14ac:dyDescent="0.25">
      <c r="A105" s="223"/>
      <c r="B105" s="41" t="s">
        <v>34</v>
      </c>
      <c r="C105" s="41" t="s">
        <v>1084</v>
      </c>
      <c r="D105" s="137">
        <v>6882268</v>
      </c>
      <c r="E105" s="896" t="s">
        <v>493</v>
      </c>
      <c r="F105" s="585">
        <v>43621</v>
      </c>
      <c r="G105" s="585">
        <v>43646</v>
      </c>
      <c r="H105" s="951" t="s">
        <v>33</v>
      </c>
      <c r="I105" s="923"/>
      <c r="J105" s="923" t="s">
        <v>4</v>
      </c>
      <c r="K105" s="81" t="s">
        <v>2305</v>
      </c>
      <c r="L105" s="898">
        <v>3107265607</v>
      </c>
      <c r="M105" s="898" t="s">
        <v>1085</v>
      </c>
      <c r="N105" s="896"/>
      <c r="O105" s="41"/>
    </row>
    <row r="106" spans="1:16" ht="20.05" customHeight="1" x14ac:dyDescent="0.25">
      <c r="A106" s="223"/>
      <c r="B106" s="41" t="s">
        <v>1071</v>
      </c>
      <c r="C106" s="41" t="s">
        <v>1070</v>
      </c>
      <c r="D106" s="137">
        <v>2876642</v>
      </c>
      <c r="E106" s="896" t="s">
        <v>764</v>
      </c>
      <c r="F106" s="891">
        <v>43651</v>
      </c>
      <c r="G106" s="891">
        <v>43676</v>
      </c>
      <c r="H106" s="892" t="s">
        <v>33</v>
      </c>
      <c r="I106" s="892">
        <v>12</v>
      </c>
      <c r="J106" s="892" t="s">
        <v>4</v>
      </c>
      <c r="K106" s="662" t="s">
        <v>2305</v>
      </c>
      <c r="L106" s="898">
        <v>7835439</v>
      </c>
      <c r="M106" s="43" t="s">
        <v>1076</v>
      </c>
      <c r="N106" s="896"/>
      <c r="O106" s="41"/>
    </row>
    <row r="107" spans="1:16" ht="20.05" customHeight="1" x14ac:dyDescent="0.25">
      <c r="A107" s="223"/>
      <c r="B107" s="41" t="s">
        <v>2265</v>
      </c>
      <c r="C107" s="41" t="s">
        <v>2266</v>
      </c>
      <c r="D107" s="137">
        <v>34960689</v>
      </c>
      <c r="E107" s="896" t="s">
        <v>510</v>
      </c>
      <c r="F107" s="585">
        <v>43641</v>
      </c>
      <c r="G107" s="585">
        <v>43646</v>
      </c>
      <c r="H107" s="951" t="s">
        <v>33</v>
      </c>
      <c r="I107" s="923"/>
      <c r="J107" s="923" t="s">
        <v>4</v>
      </c>
      <c r="K107" s="81"/>
      <c r="L107" s="43" t="s">
        <v>2268</v>
      </c>
      <c r="M107" s="43" t="s">
        <v>2269</v>
      </c>
      <c r="N107" s="896"/>
      <c r="O107" s="41"/>
    </row>
    <row r="108" spans="1:16" ht="20.05" customHeight="1" x14ac:dyDescent="0.25">
      <c r="A108" s="223"/>
      <c r="B108" s="41" t="s">
        <v>611</v>
      </c>
      <c r="C108" s="41" t="s">
        <v>1086</v>
      </c>
      <c r="D108" s="137">
        <v>6893731</v>
      </c>
      <c r="E108" s="896" t="s">
        <v>496</v>
      </c>
      <c r="F108" s="891">
        <v>43651</v>
      </c>
      <c r="G108" s="891">
        <v>43676</v>
      </c>
      <c r="H108" s="892" t="s">
        <v>33</v>
      </c>
      <c r="I108" s="892">
        <v>12</v>
      </c>
      <c r="J108" s="892" t="s">
        <v>4</v>
      </c>
      <c r="K108" s="662" t="s">
        <v>2305</v>
      </c>
      <c r="L108" s="898">
        <v>3135015101</v>
      </c>
      <c r="M108" s="43" t="s">
        <v>1087</v>
      </c>
      <c r="N108" s="896"/>
      <c r="O108" s="41"/>
    </row>
    <row r="109" spans="1:16" ht="20.05" customHeight="1" x14ac:dyDescent="0.25">
      <c r="A109" s="223"/>
      <c r="B109" s="1206" t="s">
        <v>1103</v>
      </c>
      <c r="C109" s="1206" t="s">
        <v>1102</v>
      </c>
      <c r="D109" s="1209">
        <v>22436832</v>
      </c>
      <c r="E109" s="1206" t="s">
        <v>486</v>
      </c>
      <c r="F109" s="891">
        <v>43651</v>
      </c>
      <c r="G109" s="891">
        <v>43676</v>
      </c>
      <c r="H109" s="892" t="s">
        <v>33</v>
      </c>
      <c r="I109" s="892">
        <v>12</v>
      </c>
      <c r="J109" s="892" t="s">
        <v>215</v>
      </c>
      <c r="K109" s="81" t="s">
        <v>2540</v>
      </c>
      <c r="L109" s="1207">
        <v>3145462410</v>
      </c>
      <c r="M109" s="1213" t="s">
        <v>1104</v>
      </c>
      <c r="N109" s="896"/>
      <c r="O109" s="41"/>
    </row>
    <row r="110" spans="1:16" ht="20.05" customHeight="1" x14ac:dyDescent="0.25">
      <c r="A110" s="223"/>
      <c r="B110" s="1206"/>
      <c r="C110" s="1206"/>
      <c r="D110" s="1209"/>
      <c r="E110" s="1206"/>
      <c r="F110" s="891">
        <v>43655</v>
      </c>
      <c r="G110" s="891">
        <v>43677</v>
      </c>
      <c r="H110" s="892" t="s">
        <v>686</v>
      </c>
      <c r="I110" s="892">
        <v>12</v>
      </c>
      <c r="J110" s="892" t="s">
        <v>4</v>
      </c>
      <c r="K110" s="662" t="s">
        <v>2305</v>
      </c>
      <c r="L110" s="1207"/>
      <c r="M110" s="1213"/>
      <c r="N110" s="896"/>
      <c r="O110" s="41"/>
    </row>
    <row r="111" spans="1:16" ht="20.05" customHeight="1" x14ac:dyDescent="0.25">
      <c r="A111" s="223"/>
      <c r="B111" s="41" t="s">
        <v>1089</v>
      </c>
      <c r="C111" s="41" t="s">
        <v>1088</v>
      </c>
      <c r="D111" s="137">
        <v>878612</v>
      </c>
      <c r="E111" s="896" t="s">
        <v>504</v>
      </c>
      <c r="F111" s="891">
        <v>43651</v>
      </c>
      <c r="G111" s="891">
        <v>43676</v>
      </c>
      <c r="H111" s="892" t="s">
        <v>33</v>
      </c>
      <c r="I111" s="892">
        <v>12</v>
      </c>
      <c r="J111" s="892" t="s">
        <v>4</v>
      </c>
      <c r="K111" s="662" t="s">
        <v>2305</v>
      </c>
      <c r="L111" s="898" t="s">
        <v>1090</v>
      </c>
      <c r="M111" s="43" t="s">
        <v>1091</v>
      </c>
      <c r="N111" s="896"/>
      <c r="O111" s="41"/>
    </row>
    <row r="112" spans="1:16" ht="20.05" customHeight="1" x14ac:dyDescent="0.25">
      <c r="A112" s="223"/>
      <c r="B112" s="1206" t="s">
        <v>153</v>
      </c>
      <c r="C112" s="1206" t="s">
        <v>154</v>
      </c>
      <c r="D112" s="1209">
        <v>1532123</v>
      </c>
      <c r="E112" s="1206"/>
      <c r="F112" s="1129">
        <v>43651</v>
      </c>
      <c r="G112" s="1129">
        <v>43676</v>
      </c>
      <c r="H112" s="1208" t="s">
        <v>33</v>
      </c>
      <c r="I112" s="892">
        <v>6</v>
      </c>
      <c r="J112" s="892" t="s">
        <v>4</v>
      </c>
      <c r="K112" s="662" t="s">
        <v>2466</v>
      </c>
      <c r="L112" s="1207">
        <v>3003771604</v>
      </c>
      <c r="M112" s="1206" t="s">
        <v>328</v>
      </c>
      <c r="N112" s="896"/>
      <c r="O112" s="41"/>
    </row>
    <row r="113" spans="1:15" ht="20.05" customHeight="1" x14ac:dyDescent="0.25">
      <c r="A113" s="223"/>
      <c r="B113" s="1206"/>
      <c r="C113" s="1206"/>
      <c r="D113" s="1209"/>
      <c r="E113" s="1206"/>
      <c r="F113" s="1129"/>
      <c r="G113" s="1129"/>
      <c r="H113" s="1208"/>
      <c r="I113" s="892">
        <v>6</v>
      </c>
      <c r="J113" s="892" t="s">
        <v>215</v>
      </c>
      <c r="K113" s="81" t="s">
        <v>2540</v>
      </c>
      <c r="L113" s="1207"/>
      <c r="M113" s="1206"/>
      <c r="N113" s="896"/>
      <c r="O113" s="41"/>
    </row>
    <row r="114" spans="1:15" ht="20.05" customHeight="1" x14ac:dyDescent="0.25">
      <c r="A114" s="223"/>
      <c r="B114" s="896" t="s">
        <v>156</v>
      </c>
      <c r="C114" s="896" t="s">
        <v>2177</v>
      </c>
      <c r="D114" s="138">
        <v>2778374</v>
      </c>
      <c r="E114" s="896" t="s">
        <v>2178</v>
      </c>
      <c r="F114" s="891">
        <v>43655</v>
      </c>
      <c r="G114" s="891">
        <v>43677</v>
      </c>
      <c r="H114" s="892" t="s">
        <v>33</v>
      </c>
      <c r="I114" s="892">
        <v>12</v>
      </c>
      <c r="J114" s="892" t="s">
        <v>4</v>
      </c>
      <c r="K114" s="81" t="s">
        <v>2300</v>
      </c>
      <c r="L114" s="898">
        <v>3126281470</v>
      </c>
      <c r="M114" s="896" t="s">
        <v>2179</v>
      </c>
      <c r="N114" s="896"/>
      <c r="O114" s="41"/>
    </row>
    <row r="115" spans="1:15" ht="20.05" customHeight="1" x14ac:dyDescent="0.25">
      <c r="A115" s="223"/>
      <c r="B115" s="41" t="s">
        <v>155</v>
      </c>
      <c r="C115" s="41" t="s">
        <v>2617</v>
      </c>
      <c r="D115" s="137">
        <v>1541954</v>
      </c>
      <c r="E115" s="896" t="s">
        <v>558</v>
      </c>
      <c r="F115" s="891">
        <v>43651</v>
      </c>
      <c r="G115" s="891">
        <v>43676</v>
      </c>
      <c r="H115" s="892" t="s">
        <v>33</v>
      </c>
      <c r="I115" s="892">
        <v>12</v>
      </c>
      <c r="J115" s="892" t="s">
        <v>4</v>
      </c>
      <c r="K115" s="662" t="s">
        <v>2301</v>
      </c>
      <c r="L115" s="898">
        <v>3116890608</v>
      </c>
      <c r="M115" s="896" t="s">
        <v>326</v>
      </c>
      <c r="N115" s="896"/>
      <c r="O115" s="41"/>
    </row>
    <row r="116" spans="1:15" ht="20.05" customHeight="1" x14ac:dyDescent="0.25">
      <c r="A116" s="223"/>
      <c r="B116" s="41" t="s">
        <v>880</v>
      </c>
      <c r="C116" s="41" t="s">
        <v>881</v>
      </c>
      <c r="D116" s="137">
        <v>2786576</v>
      </c>
      <c r="E116" s="896" t="s">
        <v>530</v>
      </c>
      <c r="F116" s="891">
        <v>43651</v>
      </c>
      <c r="G116" s="891">
        <v>43676</v>
      </c>
      <c r="H116" s="892" t="s">
        <v>33</v>
      </c>
      <c r="I116" s="892">
        <v>12</v>
      </c>
      <c r="J116" s="892" t="s">
        <v>4</v>
      </c>
      <c r="K116" s="662" t="s">
        <v>1869</v>
      </c>
      <c r="L116" s="898" t="s">
        <v>882</v>
      </c>
      <c r="M116" s="896" t="s">
        <v>883</v>
      </c>
      <c r="N116" s="896"/>
      <c r="O116" s="41"/>
    </row>
    <row r="117" spans="1:15" ht="20.05" customHeight="1" x14ac:dyDescent="0.25">
      <c r="A117" s="223"/>
      <c r="B117" s="901" t="s">
        <v>156</v>
      </c>
      <c r="C117" s="901" t="s">
        <v>157</v>
      </c>
      <c r="D117" s="138">
        <v>6858261</v>
      </c>
      <c r="E117" s="896" t="s">
        <v>486</v>
      </c>
      <c r="F117" s="891">
        <v>43651</v>
      </c>
      <c r="G117" s="891">
        <v>43676</v>
      </c>
      <c r="H117" s="892" t="s">
        <v>33</v>
      </c>
      <c r="I117" s="892">
        <v>12</v>
      </c>
      <c r="J117" s="892" t="s">
        <v>4</v>
      </c>
      <c r="K117" s="662" t="s">
        <v>2466</v>
      </c>
      <c r="L117" s="898">
        <v>7918779</v>
      </c>
      <c r="M117" s="896" t="s">
        <v>1080</v>
      </c>
      <c r="N117" s="43"/>
      <c r="O117" s="41"/>
    </row>
    <row r="118" spans="1:15" ht="20.05" customHeight="1" x14ac:dyDescent="0.25">
      <c r="A118" s="223"/>
      <c r="B118" s="901" t="s">
        <v>1110</v>
      </c>
      <c r="C118" s="901" t="s">
        <v>1109</v>
      </c>
      <c r="D118" s="138">
        <v>23096097</v>
      </c>
      <c r="E118" s="896" t="s">
        <v>493</v>
      </c>
      <c r="F118" s="891">
        <v>43651</v>
      </c>
      <c r="G118" s="891">
        <v>43676</v>
      </c>
      <c r="H118" s="892" t="s">
        <v>33</v>
      </c>
      <c r="I118" s="892">
        <v>12</v>
      </c>
      <c r="J118" s="892" t="s">
        <v>4</v>
      </c>
      <c r="K118" s="662" t="s">
        <v>2305</v>
      </c>
      <c r="L118" s="898" t="s">
        <v>1111</v>
      </c>
      <c r="M118" s="896" t="s">
        <v>1112</v>
      </c>
      <c r="N118" s="43"/>
      <c r="O118" s="41"/>
    </row>
    <row r="119" spans="1:15" ht="20.05" customHeight="1" x14ac:dyDescent="0.25">
      <c r="A119" s="223"/>
      <c r="B119" s="901" t="s">
        <v>1106</v>
      </c>
      <c r="C119" s="901" t="s">
        <v>1105</v>
      </c>
      <c r="D119" s="138">
        <v>22626393</v>
      </c>
      <c r="E119" s="896" t="s">
        <v>493</v>
      </c>
      <c r="F119" s="891">
        <v>43651</v>
      </c>
      <c r="G119" s="891">
        <v>43676</v>
      </c>
      <c r="H119" s="892" t="s">
        <v>33</v>
      </c>
      <c r="I119" s="892">
        <v>12</v>
      </c>
      <c r="J119" s="892" t="s">
        <v>4</v>
      </c>
      <c r="K119" s="662" t="s">
        <v>2305</v>
      </c>
      <c r="L119" s="898" t="s">
        <v>1108</v>
      </c>
      <c r="M119" s="896" t="s">
        <v>1107</v>
      </c>
      <c r="N119" s="43" t="s">
        <v>1330</v>
      </c>
      <c r="O119" s="41"/>
    </row>
    <row r="120" spans="1:15" ht="26.5" customHeight="1" x14ac:dyDescent="0.25">
      <c r="A120" s="223"/>
      <c r="B120" s="41" t="s">
        <v>158</v>
      </c>
      <c r="C120" s="41" t="s">
        <v>159</v>
      </c>
      <c r="D120" s="137">
        <v>1003045595</v>
      </c>
      <c r="E120" s="896" t="s">
        <v>526</v>
      </c>
      <c r="F120" s="891">
        <v>43651</v>
      </c>
      <c r="G120" s="891">
        <v>43676</v>
      </c>
      <c r="H120" s="892" t="s">
        <v>33</v>
      </c>
      <c r="I120" s="892">
        <v>12</v>
      </c>
      <c r="J120" s="892" t="s">
        <v>4</v>
      </c>
      <c r="K120" s="662" t="s">
        <v>390</v>
      </c>
      <c r="L120" s="898">
        <v>3146122794</v>
      </c>
      <c r="M120" s="896" t="s">
        <v>327</v>
      </c>
      <c r="N120" s="896"/>
      <c r="O120" s="41"/>
    </row>
    <row r="121" spans="1:15" ht="20.05" customHeight="1" x14ac:dyDescent="0.25">
      <c r="A121" s="223"/>
      <c r="B121" s="1212" t="s">
        <v>162</v>
      </c>
      <c r="C121" s="1212" t="s">
        <v>163</v>
      </c>
      <c r="D121" s="1209">
        <v>50919320</v>
      </c>
      <c r="E121" s="1206" t="s">
        <v>486</v>
      </c>
      <c r="F121" s="1129">
        <v>43621</v>
      </c>
      <c r="G121" s="1129">
        <v>43646</v>
      </c>
      <c r="H121" s="1208" t="s">
        <v>686</v>
      </c>
      <c r="I121" s="892">
        <v>20</v>
      </c>
      <c r="J121" s="892" t="s">
        <v>215</v>
      </c>
      <c r="K121" s="662" t="s">
        <v>543</v>
      </c>
      <c r="L121" s="1207">
        <v>3114319257</v>
      </c>
      <c r="M121" s="1206" t="s">
        <v>243</v>
      </c>
      <c r="N121" s="1206"/>
      <c r="O121" s="41"/>
    </row>
    <row r="122" spans="1:15" ht="20.05" customHeight="1" x14ac:dyDescent="0.25">
      <c r="A122" s="223"/>
      <c r="B122" s="1212"/>
      <c r="C122" s="1212"/>
      <c r="D122" s="1209"/>
      <c r="E122" s="1206"/>
      <c r="F122" s="1129"/>
      <c r="G122" s="1129"/>
      <c r="H122" s="1208"/>
      <c r="I122" s="892">
        <v>12</v>
      </c>
      <c r="J122" s="892" t="s">
        <v>8</v>
      </c>
      <c r="K122" s="662" t="s">
        <v>2299</v>
      </c>
      <c r="L122" s="1207"/>
      <c r="M122" s="1206"/>
      <c r="N122" s="1206"/>
      <c r="O122" s="41"/>
    </row>
    <row r="123" spans="1:15" ht="20.05" customHeight="1" x14ac:dyDescent="0.25">
      <c r="A123" s="223"/>
      <c r="B123" s="1212"/>
      <c r="C123" s="1212"/>
      <c r="D123" s="1209"/>
      <c r="E123" s="1206"/>
      <c r="F123" s="1129">
        <v>43651</v>
      </c>
      <c r="G123" s="1129">
        <v>43676</v>
      </c>
      <c r="H123" s="1208" t="s">
        <v>33</v>
      </c>
      <c r="I123" s="892">
        <v>12</v>
      </c>
      <c r="J123" s="892" t="s">
        <v>4</v>
      </c>
      <c r="K123" s="662" t="s">
        <v>2301</v>
      </c>
      <c r="L123" s="1207"/>
      <c r="M123" s="1206"/>
      <c r="N123" s="1206"/>
      <c r="O123" s="41"/>
    </row>
    <row r="124" spans="1:15" ht="20.05" customHeight="1" x14ac:dyDescent="0.25">
      <c r="A124" s="223"/>
      <c r="B124" s="1212"/>
      <c r="C124" s="1212"/>
      <c r="D124" s="1209"/>
      <c r="E124" s="1206"/>
      <c r="F124" s="1129"/>
      <c r="G124" s="1129"/>
      <c r="H124" s="1208"/>
      <c r="I124" s="892">
        <v>4</v>
      </c>
      <c r="J124" s="892" t="s">
        <v>214</v>
      </c>
      <c r="K124" s="662" t="s">
        <v>1383</v>
      </c>
      <c r="L124" s="1207"/>
      <c r="M124" s="1206"/>
      <c r="N124" s="1206"/>
      <c r="O124" s="41"/>
    </row>
    <row r="125" spans="1:15" ht="20.05" customHeight="1" x14ac:dyDescent="0.25">
      <c r="A125" s="223"/>
      <c r="B125" s="1212" t="s">
        <v>164</v>
      </c>
      <c r="C125" s="1212" t="s">
        <v>165</v>
      </c>
      <c r="D125" s="1209">
        <v>6569293</v>
      </c>
      <c r="E125" s="1206" t="s">
        <v>493</v>
      </c>
      <c r="F125" s="891">
        <v>43651</v>
      </c>
      <c r="G125" s="891">
        <v>43676</v>
      </c>
      <c r="H125" s="892" t="s">
        <v>33</v>
      </c>
      <c r="I125" s="892">
        <v>12</v>
      </c>
      <c r="J125" s="892" t="s">
        <v>4</v>
      </c>
      <c r="K125" s="662" t="s">
        <v>390</v>
      </c>
      <c r="L125" s="107" t="s">
        <v>2298</v>
      </c>
      <c r="M125" s="1206" t="s">
        <v>225</v>
      </c>
      <c r="N125" s="1206"/>
      <c r="O125" s="41"/>
    </row>
    <row r="126" spans="1:15" ht="20.05" customHeight="1" x14ac:dyDescent="0.25">
      <c r="A126" s="223"/>
      <c r="B126" s="1212"/>
      <c r="C126" s="1212"/>
      <c r="D126" s="1209"/>
      <c r="E126" s="1206"/>
      <c r="F126" s="1129">
        <v>43655</v>
      </c>
      <c r="G126" s="1129">
        <v>43676</v>
      </c>
      <c r="H126" s="1208" t="s">
        <v>686</v>
      </c>
      <c r="I126" s="892">
        <v>20</v>
      </c>
      <c r="J126" s="892" t="s">
        <v>8</v>
      </c>
      <c r="K126" s="662"/>
      <c r="L126" s="107"/>
      <c r="M126" s="1206"/>
      <c r="N126" s="1206"/>
      <c r="O126" s="41"/>
    </row>
    <row r="127" spans="1:15" ht="20.05" customHeight="1" x14ac:dyDescent="0.25">
      <c r="A127" s="223"/>
      <c r="B127" s="1212"/>
      <c r="C127" s="1212"/>
      <c r="D127" s="1209"/>
      <c r="E127" s="1206"/>
      <c r="F127" s="1129"/>
      <c r="G127" s="1129"/>
      <c r="H127" s="1208"/>
      <c r="I127" s="892">
        <v>20</v>
      </c>
      <c r="J127" s="892" t="s">
        <v>215</v>
      </c>
      <c r="K127" s="662" t="s">
        <v>2540</v>
      </c>
      <c r="L127" s="107">
        <v>7889843</v>
      </c>
      <c r="M127" s="1206"/>
      <c r="N127" s="1206"/>
      <c r="O127" s="41"/>
    </row>
    <row r="128" spans="1:15" ht="20.05" customHeight="1" x14ac:dyDescent="0.25">
      <c r="A128" s="223"/>
      <c r="B128" s="1212"/>
      <c r="C128" s="1212"/>
      <c r="D128" s="1209"/>
      <c r="E128" s="1206"/>
      <c r="F128" s="1129"/>
      <c r="G128" s="1129"/>
      <c r="H128" s="1208"/>
      <c r="I128" s="892">
        <v>8</v>
      </c>
      <c r="J128" s="892" t="s">
        <v>4</v>
      </c>
      <c r="K128" s="662" t="s">
        <v>390</v>
      </c>
      <c r="L128" s="107"/>
      <c r="M128" s="1206"/>
      <c r="N128" s="1206"/>
      <c r="O128" s="41"/>
    </row>
    <row r="129" spans="1:15" ht="20.05" customHeight="1" x14ac:dyDescent="0.25">
      <c r="A129" s="223"/>
      <c r="B129" s="901" t="s">
        <v>640</v>
      </c>
      <c r="C129" s="901" t="s">
        <v>641</v>
      </c>
      <c r="D129" s="138">
        <v>6576316</v>
      </c>
      <c r="E129" s="896" t="s">
        <v>490</v>
      </c>
      <c r="F129" s="899">
        <v>43651</v>
      </c>
      <c r="G129" s="899">
        <v>43677</v>
      </c>
      <c r="H129" s="900" t="s">
        <v>33</v>
      </c>
      <c r="I129" s="892">
        <v>12</v>
      </c>
      <c r="J129" s="892" t="s">
        <v>4</v>
      </c>
      <c r="K129" s="662" t="s">
        <v>1869</v>
      </c>
      <c r="L129" s="898">
        <v>3108559486</v>
      </c>
      <c r="M129" s="896" t="s">
        <v>642</v>
      </c>
      <c r="N129" s="43"/>
      <c r="O129" s="41"/>
    </row>
    <row r="130" spans="1:15" ht="20.05" customHeight="1" x14ac:dyDescent="0.25">
      <c r="A130" s="223"/>
      <c r="B130" s="1212" t="s">
        <v>168</v>
      </c>
      <c r="C130" s="1212" t="s">
        <v>169</v>
      </c>
      <c r="D130" s="1209">
        <v>25758373</v>
      </c>
      <c r="E130" s="1206" t="s">
        <v>486</v>
      </c>
      <c r="F130" s="1129">
        <v>43655</v>
      </c>
      <c r="G130" s="1129">
        <v>43676</v>
      </c>
      <c r="H130" s="1208" t="s">
        <v>686</v>
      </c>
      <c r="I130" s="892">
        <v>8</v>
      </c>
      <c r="J130" s="892" t="s">
        <v>4</v>
      </c>
      <c r="K130" s="662" t="s">
        <v>390</v>
      </c>
      <c r="L130" s="107" t="s">
        <v>2298</v>
      </c>
      <c r="M130" s="1206" t="s">
        <v>225</v>
      </c>
      <c r="N130" s="1220"/>
      <c r="O130" s="41"/>
    </row>
    <row r="131" spans="1:15" ht="20.05" customHeight="1" x14ac:dyDescent="0.25">
      <c r="A131" s="223"/>
      <c r="B131" s="1212"/>
      <c r="C131" s="1212"/>
      <c r="D131" s="1209"/>
      <c r="E131" s="1206"/>
      <c r="F131" s="1129"/>
      <c r="G131" s="1129"/>
      <c r="H131" s="1208"/>
      <c r="I131" s="892">
        <v>20</v>
      </c>
      <c r="J131" s="892" t="s">
        <v>8</v>
      </c>
      <c r="K131" s="662" t="s">
        <v>2299</v>
      </c>
      <c r="L131" s="107"/>
      <c r="M131" s="1206"/>
      <c r="N131" s="1220"/>
      <c r="O131" s="41"/>
    </row>
    <row r="132" spans="1:15" ht="20.05" customHeight="1" x14ac:dyDescent="0.25">
      <c r="A132" s="223"/>
      <c r="B132" s="1212"/>
      <c r="C132" s="1212"/>
      <c r="D132" s="1209"/>
      <c r="E132" s="1206"/>
      <c r="F132" s="1129"/>
      <c r="G132" s="1129"/>
      <c r="H132" s="1208"/>
      <c r="I132" s="892">
        <v>20</v>
      </c>
      <c r="J132" s="892" t="s">
        <v>215</v>
      </c>
      <c r="K132" s="662" t="s">
        <v>2540</v>
      </c>
      <c r="L132" s="107">
        <v>7889843</v>
      </c>
      <c r="M132" s="1206"/>
      <c r="N132" s="1220"/>
      <c r="O132" s="41"/>
    </row>
    <row r="133" spans="1:15" ht="20.05" customHeight="1" x14ac:dyDescent="0.25">
      <c r="A133" s="223"/>
      <c r="B133" s="1212"/>
      <c r="C133" s="1212"/>
      <c r="D133" s="1209"/>
      <c r="E133" s="1206"/>
      <c r="F133" s="891">
        <v>43651</v>
      </c>
      <c r="G133" s="891">
        <v>43676</v>
      </c>
      <c r="H133" s="892" t="s">
        <v>33</v>
      </c>
      <c r="I133" s="892">
        <v>12</v>
      </c>
      <c r="J133" s="892" t="s">
        <v>4</v>
      </c>
      <c r="K133" s="662" t="s">
        <v>390</v>
      </c>
      <c r="L133" s="107"/>
      <c r="M133" s="1206"/>
      <c r="N133" s="1220"/>
      <c r="O133" s="41"/>
    </row>
    <row r="134" spans="1:15" ht="20.05" customHeight="1" x14ac:dyDescent="0.25">
      <c r="A134" s="223"/>
      <c r="B134" s="41" t="s">
        <v>170</v>
      </c>
      <c r="C134" s="41" t="s">
        <v>171</v>
      </c>
      <c r="D134" s="137">
        <v>25758912</v>
      </c>
      <c r="E134" s="896" t="s">
        <v>499</v>
      </c>
      <c r="F134" s="891">
        <v>43651</v>
      </c>
      <c r="G134" s="891">
        <v>43676</v>
      </c>
      <c r="H134" s="892" t="s">
        <v>33</v>
      </c>
      <c r="I134" s="892">
        <v>12</v>
      </c>
      <c r="J134" s="892" t="s">
        <v>4</v>
      </c>
      <c r="K134" s="662" t="s">
        <v>1869</v>
      </c>
      <c r="L134" s="898">
        <v>3045433157</v>
      </c>
      <c r="M134" s="896" t="s">
        <v>313</v>
      </c>
      <c r="N134" s="896"/>
      <c r="O134" s="41"/>
    </row>
    <row r="135" spans="1:15" ht="20.05" customHeight="1" x14ac:dyDescent="0.25">
      <c r="A135" s="223"/>
      <c r="B135" s="41" t="s">
        <v>1152</v>
      </c>
      <c r="C135" s="41" t="s">
        <v>1151</v>
      </c>
      <c r="D135" s="137">
        <v>78710087</v>
      </c>
      <c r="E135" s="896" t="s">
        <v>1153</v>
      </c>
      <c r="F135" s="891">
        <v>43651</v>
      </c>
      <c r="G135" s="891">
        <v>43676</v>
      </c>
      <c r="H135" s="892" t="s">
        <v>33</v>
      </c>
      <c r="I135" s="892">
        <v>12</v>
      </c>
      <c r="J135" s="892" t="s">
        <v>4</v>
      </c>
      <c r="K135" s="662" t="s">
        <v>1869</v>
      </c>
      <c r="L135" s="898">
        <v>7838179</v>
      </c>
      <c r="M135" s="896" t="s">
        <v>1154</v>
      </c>
      <c r="N135" s="896"/>
      <c r="O135" s="41"/>
    </row>
    <row r="136" spans="1:15" ht="20.05" customHeight="1" x14ac:dyDescent="0.25">
      <c r="A136" s="223"/>
      <c r="B136" s="41" t="s">
        <v>1155</v>
      </c>
      <c r="C136" s="41" t="s">
        <v>1156</v>
      </c>
      <c r="D136" s="137">
        <v>78713866</v>
      </c>
      <c r="E136" s="896" t="s">
        <v>489</v>
      </c>
      <c r="F136" s="891">
        <v>43651</v>
      </c>
      <c r="G136" s="891">
        <v>43676</v>
      </c>
      <c r="H136" s="892" t="s">
        <v>33</v>
      </c>
      <c r="I136" s="892">
        <v>12</v>
      </c>
      <c r="J136" s="892" t="s">
        <v>4</v>
      </c>
      <c r="K136" s="662" t="s">
        <v>2305</v>
      </c>
      <c r="L136" s="898">
        <v>7953296</v>
      </c>
      <c r="M136" s="896" t="s">
        <v>1157</v>
      </c>
      <c r="N136" s="896"/>
      <c r="O136" s="41"/>
    </row>
    <row r="137" spans="1:15" s="933" customFormat="1" ht="20.25" customHeight="1" x14ac:dyDescent="0.25">
      <c r="A137" s="223"/>
      <c r="B137" s="901" t="s">
        <v>846</v>
      </c>
      <c r="C137" s="901" t="s">
        <v>847</v>
      </c>
      <c r="D137" s="138">
        <v>1067935572</v>
      </c>
      <c r="E137" s="896" t="s">
        <v>1101</v>
      </c>
      <c r="F137" s="891">
        <v>43651</v>
      </c>
      <c r="G137" s="891">
        <v>43676</v>
      </c>
      <c r="H137" s="892" t="s">
        <v>33</v>
      </c>
      <c r="I137" s="892">
        <v>12</v>
      </c>
      <c r="J137" s="892" t="s">
        <v>4</v>
      </c>
      <c r="K137" s="662" t="s">
        <v>2300</v>
      </c>
      <c r="L137" s="898">
        <v>3206897052</v>
      </c>
      <c r="M137" s="896" t="s">
        <v>848</v>
      </c>
      <c r="N137" s="44"/>
      <c r="O137" s="896"/>
    </row>
    <row r="138" spans="1:15" ht="20.05" customHeight="1" x14ac:dyDescent="0.25">
      <c r="A138" s="223"/>
      <c r="B138" s="41" t="s">
        <v>1140</v>
      </c>
      <c r="C138" s="41" t="s">
        <v>1141</v>
      </c>
      <c r="D138" s="137">
        <v>34830066</v>
      </c>
      <c r="E138" s="896" t="s">
        <v>493</v>
      </c>
      <c r="F138" s="891">
        <v>43651</v>
      </c>
      <c r="G138" s="891">
        <v>43676</v>
      </c>
      <c r="H138" s="892" t="s">
        <v>33</v>
      </c>
      <c r="I138" s="892">
        <v>12</v>
      </c>
      <c r="J138" s="892" t="s">
        <v>4</v>
      </c>
      <c r="K138" s="662" t="s">
        <v>2305</v>
      </c>
      <c r="L138" s="898">
        <v>3015927908</v>
      </c>
      <c r="M138" s="43" t="s">
        <v>1142</v>
      </c>
      <c r="N138" s="896"/>
      <c r="O138" s="41"/>
    </row>
    <row r="139" spans="1:15" ht="20.05" customHeight="1" x14ac:dyDescent="0.25">
      <c r="A139" s="223"/>
      <c r="B139" s="41" t="s">
        <v>884</v>
      </c>
      <c r="C139" s="41" t="s">
        <v>885</v>
      </c>
      <c r="D139" s="137">
        <v>32270389</v>
      </c>
      <c r="E139" s="896" t="s">
        <v>522</v>
      </c>
      <c r="F139" s="891">
        <v>43651</v>
      </c>
      <c r="G139" s="891">
        <v>43676</v>
      </c>
      <c r="H139" s="892" t="s">
        <v>33</v>
      </c>
      <c r="I139" s="892">
        <v>12</v>
      </c>
      <c r="J139" s="892" t="s">
        <v>4</v>
      </c>
      <c r="K139" s="662" t="s">
        <v>2300</v>
      </c>
      <c r="L139" s="898">
        <v>3106825181</v>
      </c>
      <c r="M139" s="896" t="s">
        <v>886</v>
      </c>
      <c r="N139" s="896"/>
      <c r="O139" s="41"/>
    </row>
    <row r="140" spans="1:15" ht="20.05" customHeight="1" x14ac:dyDescent="0.25">
      <c r="A140" s="223"/>
      <c r="B140" s="275" t="s">
        <v>174</v>
      </c>
      <c r="C140" s="275" t="s">
        <v>154</v>
      </c>
      <c r="D140" s="924">
        <v>6568789</v>
      </c>
      <c r="E140" s="895" t="s">
        <v>524</v>
      </c>
      <c r="F140" s="471">
        <v>43621</v>
      </c>
      <c r="G140" s="471">
        <v>43646</v>
      </c>
      <c r="H140" s="174" t="s">
        <v>33</v>
      </c>
      <c r="I140" s="895">
        <v>12</v>
      </c>
      <c r="J140" s="895" t="s">
        <v>4</v>
      </c>
      <c r="K140" s="629" t="s">
        <v>2310</v>
      </c>
      <c r="L140" s="930">
        <v>3114282072</v>
      </c>
      <c r="M140" s="895" t="s">
        <v>317</v>
      </c>
      <c r="N140" s="1133" t="s">
        <v>2335</v>
      </c>
      <c r="O140" s="1133"/>
    </row>
    <row r="141" spans="1:15" ht="20.05" customHeight="1" x14ac:dyDescent="0.25">
      <c r="A141" s="223"/>
      <c r="B141" s="41" t="s">
        <v>715</v>
      </c>
      <c r="C141" s="41" t="s">
        <v>1595</v>
      </c>
      <c r="D141" s="137">
        <v>15607345</v>
      </c>
      <c r="E141" s="896" t="s">
        <v>584</v>
      </c>
      <c r="F141" s="891">
        <v>43655</v>
      </c>
      <c r="G141" s="891">
        <v>43677</v>
      </c>
      <c r="H141" s="892" t="s">
        <v>33</v>
      </c>
      <c r="I141" s="892">
        <v>12</v>
      </c>
      <c r="J141" s="892" t="s">
        <v>4</v>
      </c>
      <c r="K141" s="662" t="s">
        <v>2301</v>
      </c>
      <c r="L141" s="43" t="s">
        <v>2107</v>
      </c>
      <c r="M141" s="43" t="s">
        <v>1596</v>
      </c>
      <c r="N141" s="896"/>
      <c r="O141" s="41"/>
    </row>
    <row r="142" spans="1:15" ht="20.05" customHeight="1" x14ac:dyDescent="0.25">
      <c r="A142" s="223"/>
      <c r="B142" s="901" t="s">
        <v>177</v>
      </c>
      <c r="C142" s="901" t="s">
        <v>178</v>
      </c>
      <c r="D142" s="138">
        <v>23098213</v>
      </c>
      <c r="E142" s="896" t="s">
        <v>520</v>
      </c>
      <c r="F142" s="891">
        <v>43651</v>
      </c>
      <c r="G142" s="891">
        <v>43676</v>
      </c>
      <c r="H142" s="892" t="s">
        <v>33</v>
      </c>
      <c r="I142" s="892">
        <v>12</v>
      </c>
      <c r="J142" s="892" t="s">
        <v>4</v>
      </c>
      <c r="K142" s="662" t="s">
        <v>2300</v>
      </c>
      <c r="L142" s="898" t="s">
        <v>321</v>
      </c>
      <c r="M142" s="896" t="s">
        <v>322</v>
      </c>
      <c r="N142" s="896"/>
      <c r="O142" s="41"/>
    </row>
    <row r="143" spans="1:15" ht="20.05" customHeight="1" x14ac:dyDescent="0.25">
      <c r="A143" s="223"/>
      <c r="B143" s="901" t="s">
        <v>179</v>
      </c>
      <c r="C143" s="901" t="s">
        <v>180</v>
      </c>
      <c r="D143" s="138">
        <v>27931489</v>
      </c>
      <c r="E143" s="896" t="s">
        <v>493</v>
      </c>
      <c r="F143" s="891">
        <v>43651</v>
      </c>
      <c r="G143" s="891">
        <v>43676</v>
      </c>
      <c r="H143" s="892" t="s">
        <v>33</v>
      </c>
      <c r="I143" s="892">
        <v>12</v>
      </c>
      <c r="J143" s="892" t="s">
        <v>5</v>
      </c>
      <c r="K143" s="662" t="s">
        <v>822</v>
      </c>
      <c r="L143" s="898" t="s">
        <v>311</v>
      </c>
      <c r="M143" s="896" t="s">
        <v>312</v>
      </c>
      <c r="N143" s="44"/>
      <c r="O143" s="41"/>
    </row>
    <row r="144" spans="1:15" ht="25.15" customHeight="1" x14ac:dyDescent="0.25">
      <c r="A144" s="223"/>
      <c r="B144" s="901" t="s">
        <v>1396</v>
      </c>
      <c r="C144" s="901" t="s">
        <v>1397</v>
      </c>
      <c r="D144" s="138">
        <v>26158236</v>
      </c>
      <c r="E144" s="896"/>
      <c r="F144" s="891">
        <v>43651</v>
      </c>
      <c r="G144" s="891">
        <v>43676</v>
      </c>
      <c r="H144" s="892" t="s">
        <v>33</v>
      </c>
      <c r="I144" s="892">
        <v>12</v>
      </c>
      <c r="J144" s="892" t="s">
        <v>4</v>
      </c>
      <c r="K144" s="662" t="s">
        <v>1869</v>
      </c>
      <c r="L144" s="898" t="s">
        <v>1434</v>
      </c>
      <c r="M144" s="896" t="s">
        <v>1398</v>
      </c>
      <c r="N144" s="44"/>
      <c r="O144" s="41"/>
    </row>
    <row r="145" spans="1:15" ht="20.05" customHeight="1" x14ac:dyDescent="0.25">
      <c r="A145" s="223"/>
      <c r="B145" s="901" t="s">
        <v>181</v>
      </c>
      <c r="C145" s="901" t="s">
        <v>182</v>
      </c>
      <c r="D145" s="138">
        <v>34967111</v>
      </c>
      <c r="E145" s="896" t="s">
        <v>490</v>
      </c>
      <c r="F145" s="891">
        <v>43651</v>
      </c>
      <c r="G145" s="891">
        <v>43676</v>
      </c>
      <c r="H145" s="892" t="s">
        <v>33</v>
      </c>
      <c r="I145" s="892">
        <v>12</v>
      </c>
      <c r="J145" s="892" t="s">
        <v>4</v>
      </c>
      <c r="K145" s="662" t="s">
        <v>2466</v>
      </c>
      <c r="L145" s="898">
        <v>3107086059</v>
      </c>
      <c r="M145" s="896" t="s">
        <v>465</v>
      </c>
      <c r="N145" s="896"/>
      <c r="O145" s="41"/>
    </row>
    <row r="146" spans="1:15" ht="20.05" customHeight="1" x14ac:dyDescent="0.25">
      <c r="A146" s="223"/>
      <c r="B146" s="1212" t="s">
        <v>183</v>
      </c>
      <c r="C146" s="1212" t="s">
        <v>184</v>
      </c>
      <c r="D146" s="1209">
        <v>1062964633</v>
      </c>
      <c r="E146" s="1206" t="s">
        <v>687</v>
      </c>
      <c r="F146" s="899">
        <v>43656</v>
      </c>
      <c r="G146" s="899">
        <v>43676</v>
      </c>
      <c r="H146" s="900" t="s">
        <v>686</v>
      </c>
      <c r="I146" s="892">
        <v>20</v>
      </c>
      <c r="J146" s="892" t="s">
        <v>215</v>
      </c>
      <c r="K146" s="81" t="s">
        <v>926</v>
      </c>
      <c r="L146" s="1207">
        <v>3132341618</v>
      </c>
      <c r="M146" s="1206" t="s">
        <v>307</v>
      </c>
      <c r="N146" s="896"/>
      <c r="O146" s="41"/>
    </row>
    <row r="147" spans="1:15" ht="20.05" customHeight="1" x14ac:dyDescent="0.25">
      <c r="A147" s="223"/>
      <c r="B147" s="1212"/>
      <c r="C147" s="1212"/>
      <c r="D147" s="1209"/>
      <c r="E147" s="1206"/>
      <c r="F147" s="891">
        <v>43651</v>
      </c>
      <c r="G147" s="891">
        <v>43676</v>
      </c>
      <c r="H147" s="892" t="s">
        <v>33</v>
      </c>
      <c r="I147" s="892">
        <v>12</v>
      </c>
      <c r="J147" s="892" t="s">
        <v>4</v>
      </c>
      <c r="K147" s="662" t="s">
        <v>2301</v>
      </c>
      <c r="L147" s="1207"/>
      <c r="M147" s="1206"/>
      <c r="N147" s="896"/>
      <c r="O147" s="41"/>
    </row>
    <row r="148" spans="1:15" ht="20.05" customHeight="1" x14ac:dyDescent="0.25">
      <c r="A148" s="223"/>
      <c r="B148" s="901" t="s">
        <v>1385</v>
      </c>
      <c r="C148" s="901" t="s">
        <v>1386</v>
      </c>
      <c r="D148" s="138">
        <v>50923707</v>
      </c>
      <c r="E148" s="896"/>
      <c r="F148" s="585">
        <v>43627</v>
      </c>
      <c r="G148" s="585">
        <v>43646</v>
      </c>
      <c r="H148" s="180" t="s">
        <v>33</v>
      </c>
      <c r="I148" s="923"/>
      <c r="J148" s="923" t="s">
        <v>4</v>
      </c>
      <c r="K148" s="662" t="s">
        <v>2300</v>
      </c>
      <c r="L148" s="898" t="s">
        <v>1433</v>
      </c>
      <c r="M148" s="896" t="s">
        <v>1387</v>
      </c>
      <c r="N148" s="896"/>
      <c r="O148" s="41"/>
    </row>
    <row r="149" spans="1:15" ht="20.05" customHeight="1" x14ac:dyDescent="0.25">
      <c r="A149" s="223"/>
      <c r="B149" s="41" t="s">
        <v>546</v>
      </c>
      <c r="C149" s="41" t="s">
        <v>547</v>
      </c>
      <c r="D149" s="137">
        <v>1067883298</v>
      </c>
      <c r="E149" s="896" t="s">
        <v>510</v>
      </c>
      <c r="F149" s="891">
        <v>43651</v>
      </c>
      <c r="G149" s="891">
        <v>43676</v>
      </c>
      <c r="H149" s="892" t="s">
        <v>33</v>
      </c>
      <c r="I149" s="892">
        <v>12</v>
      </c>
      <c r="J149" s="892" t="s">
        <v>4</v>
      </c>
      <c r="K149" s="81" t="s">
        <v>2316</v>
      </c>
      <c r="L149" s="898">
        <v>3217454995</v>
      </c>
      <c r="M149" s="896" t="s">
        <v>329</v>
      </c>
      <c r="N149" s="896"/>
      <c r="O149" s="41"/>
    </row>
    <row r="150" spans="1:15" ht="22.6" customHeight="1" x14ac:dyDescent="0.25">
      <c r="A150" s="223"/>
      <c r="B150" s="41" t="s">
        <v>185</v>
      </c>
      <c r="C150" s="41" t="s">
        <v>186</v>
      </c>
      <c r="D150" s="137">
        <v>34961797</v>
      </c>
      <c r="E150" s="43" t="s">
        <v>719</v>
      </c>
      <c r="F150" s="891">
        <v>43651</v>
      </c>
      <c r="G150" s="891">
        <v>43676</v>
      </c>
      <c r="H150" s="892" t="s">
        <v>33</v>
      </c>
      <c r="I150" s="892">
        <v>12</v>
      </c>
      <c r="J150" s="892" t="s">
        <v>4</v>
      </c>
      <c r="K150" s="662" t="s">
        <v>822</v>
      </c>
      <c r="L150" s="898">
        <v>3116916694</v>
      </c>
      <c r="M150" s="896" t="s">
        <v>323</v>
      </c>
      <c r="N150" s="896"/>
      <c r="O150" s="41"/>
    </row>
    <row r="151" spans="1:15" ht="22.6" customHeight="1" x14ac:dyDescent="0.25">
      <c r="A151" s="223"/>
      <c r="B151" s="41" t="s">
        <v>1388</v>
      </c>
      <c r="C151" s="41" t="s">
        <v>1389</v>
      </c>
      <c r="D151" s="137">
        <v>34962887</v>
      </c>
      <c r="E151" s="43"/>
      <c r="F151" s="891">
        <v>43651</v>
      </c>
      <c r="G151" s="891">
        <v>43676</v>
      </c>
      <c r="H151" s="892" t="s">
        <v>33</v>
      </c>
      <c r="I151" s="892">
        <v>12</v>
      </c>
      <c r="J151" s="892" t="s">
        <v>4</v>
      </c>
      <c r="K151" s="662" t="s">
        <v>2305</v>
      </c>
      <c r="L151" s="898" t="s">
        <v>1391</v>
      </c>
      <c r="M151" s="896" t="s">
        <v>1390</v>
      </c>
      <c r="N151" s="896"/>
      <c r="O151" s="41"/>
    </row>
    <row r="152" spans="1:15" ht="22.6" customHeight="1" x14ac:dyDescent="0.25">
      <c r="A152" s="223"/>
      <c r="B152" s="41" t="s">
        <v>1093</v>
      </c>
      <c r="C152" s="41" t="s">
        <v>1092</v>
      </c>
      <c r="D152" s="137">
        <v>1003394959</v>
      </c>
      <c r="E152" s="43" t="s">
        <v>1094</v>
      </c>
      <c r="F152" s="891">
        <v>43651</v>
      </c>
      <c r="G152" s="891">
        <v>43676</v>
      </c>
      <c r="H152" s="892" t="s">
        <v>33</v>
      </c>
      <c r="I152" s="892">
        <v>12</v>
      </c>
      <c r="J152" s="892" t="s">
        <v>4</v>
      </c>
      <c r="K152" s="662" t="s">
        <v>2310</v>
      </c>
      <c r="L152" s="898" t="s">
        <v>1096</v>
      </c>
      <c r="M152" s="896" t="s">
        <v>1095</v>
      </c>
      <c r="N152" s="896"/>
      <c r="O152" s="41"/>
    </row>
    <row r="153" spans="1:15" ht="20.05" customHeight="1" x14ac:dyDescent="0.25">
      <c r="A153" s="223"/>
      <c r="B153" s="1212" t="s">
        <v>187</v>
      </c>
      <c r="C153" s="1212" t="s">
        <v>188</v>
      </c>
      <c r="D153" s="1209">
        <v>9750222</v>
      </c>
      <c r="E153" s="1206" t="s">
        <v>489</v>
      </c>
      <c r="F153" s="891">
        <v>43651</v>
      </c>
      <c r="G153" s="891">
        <v>43676</v>
      </c>
      <c r="H153" s="892" t="s">
        <v>33</v>
      </c>
      <c r="I153" s="892">
        <v>12</v>
      </c>
      <c r="J153" s="892" t="s">
        <v>4</v>
      </c>
      <c r="K153" s="662" t="s">
        <v>2466</v>
      </c>
      <c r="L153" s="1207" t="s">
        <v>555</v>
      </c>
      <c r="M153" s="1206" t="s">
        <v>228</v>
      </c>
      <c r="N153" s="1206"/>
      <c r="O153" s="41"/>
    </row>
    <row r="154" spans="1:15" ht="20.05" customHeight="1" x14ac:dyDescent="0.25">
      <c r="A154" s="223"/>
      <c r="B154" s="1212"/>
      <c r="C154" s="1212"/>
      <c r="D154" s="1209"/>
      <c r="E154" s="1206"/>
      <c r="F154" s="1129">
        <v>43655</v>
      </c>
      <c r="G154" s="1129">
        <v>43676</v>
      </c>
      <c r="H154" s="1208" t="s">
        <v>686</v>
      </c>
      <c r="I154" s="892">
        <v>12</v>
      </c>
      <c r="J154" s="892" t="s">
        <v>4</v>
      </c>
      <c r="K154" s="662" t="s">
        <v>2466</v>
      </c>
      <c r="L154" s="1207"/>
      <c r="M154" s="1206"/>
      <c r="N154" s="1206"/>
      <c r="O154" s="41"/>
    </row>
    <row r="155" spans="1:15" ht="20.05" customHeight="1" x14ac:dyDescent="0.25">
      <c r="A155" s="223"/>
      <c r="B155" s="1212"/>
      <c r="C155" s="1212"/>
      <c r="D155" s="1209"/>
      <c r="E155" s="1206"/>
      <c r="F155" s="1129"/>
      <c r="G155" s="1129"/>
      <c r="H155" s="1208"/>
      <c r="I155" s="892">
        <v>12</v>
      </c>
      <c r="J155" s="892" t="s">
        <v>215</v>
      </c>
      <c r="K155" s="662" t="s">
        <v>2540</v>
      </c>
      <c r="L155" s="1207"/>
      <c r="M155" s="1206"/>
      <c r="N155" s="1206"/>
      <c r="O155" s="41"/>
    </row>
    <row r="156" spans="1:15" ht="20.05" customHeight="1" x14ac:dyDescent="0.25">
      <c r="A156" s="223"/>
      <c r="B156" s="1212" t="s">
        <v>189</v>
      </c>
      <c r="C156" s="1212" t="s">
        <v>190</v>
      </c>
      <c r="D156" s="1209">
        <v>34980584</v>
      </c>
      <c r="E156" s="1206" t="s">
        <v>486</v>
      </c>
      <c r="F156" s="891">
        <v>43651</v>
      </c>
      <c r="G156" s="891">
        <v>43676</v>
      </c>
      <c r="H156" s="892" t="s">
        <v>33</v>
      </c>
      <c r="I156" s="892">
        <v>12</v>
      </c>
      <c r="J156" s="892" t="s">
        <v>4</v>
      </c>
      <c r="K156" s="662" t="s">
        <v>390</v>
      </c>
      <c r="L156" s="1207">
        <v>3145653404</v>
      </c>
      <c r="M156" s="1206" t="s">
        <v>314</v>
      </c>
      <c r="N156" s="896"/>
      <c r="O156" s="41"/>
    </row>
    <row r="157" spans="1:15" ht="20.05" customHeight="1" x14ac:dyDescent="0.25">
      <c r="A157" s="223"/>
      <c r="B157" s="1212"/>
      <c r="C157" s="1212"/>
      <c r="D157" s="1209"/>
      <c r="E157" s="1206"/>
      <c r="F157" s="1129">
        <v>43651</v>
      </c>
      <c r="G157" s="1129">
        <v>43676</v>
      </c>
      <c r="H157" s="1208" t="s">
        <v>686</v>
      </c>
      <c r="I157" s="892">
        <v>8</v>
      </c>
      <c r="J157" s="892" t="s">
        <v>215</v>
      </c>
      <c r="K157" s="81" t="s">
        <v>543</v>
      </c>
      <c r="L157" s="1207"/>
      <c r="M157" s="1206"/>
      <c r="N157" s="896"/>
      <c r="O157" s="41"/>
    </row>
    <row r="158" spans="1:15" ht="20.05" customHeight="1" x14ac:dyDescent="0.25">
      <c r="A158" s="223"/>
      <c r="B158" s="1212"/>
      <c r="C158" s="1212"/>
      <c r="D158" s="1209"/>
      <c r="E158" s="1206"/>
      <c r="F158" s="1129"/>
      <c r="G158" s="1129"/>
      <c r="H158" s="1208"/>
      <c r="I158" s="892">
        <v>20</v>
      </c>
      <c r="J158" s="892" t="s">
        <v>8</v>
      </c>
      <c r="K158" s="81" t="s">
        <v>2299</v>
      </c>
      <c r="L158" s="1207"/>
      <c r="M158" s="1206"/>
      <c r="N158" s="896"/>
      <c r="O158" s="41"/>
    </row>
    <row r="159" spans="1:15" ht="20.05" customHeight="1" x14ac:dyDescent="0.25">
      <c r="A159" s="223"/>
      <c r="B159" s="41" t="s">
        <v>191</v>
      </c>
      <c r="C159" s="41" t="s">
        <v>192</v>
      </c>
      <c r="D159" s="137">
        <v>34960348</v>
      </c>
      <c r="E159" s="896" t="s">
        <v>490</v>
      </c>
      <c r="F159" s="891">
        <v>43651</v>
      </c>
      <c r="G159" s="891">
        <v>43676</v>
      </c>
      <c r="H159" s="892" t="s">
        <v>33</v>
      </c>
      <c r="I159" s="892">
        <v>12</v>
      </c>
      <c r="J159" s="892" t="s">
        <v>4</v>
      </c>
      <c r="K159" s="662" t="s">
        <v>2301</v>
      </c>
      <c r="L159" s="898">
        <v>3108443930</v>
      </c>
      <c r="M159" s="896" t="s">
        <v>301</v>
      </c>
      <c r="N159" s="896"/>
      <c r="O159" s="41"/>
    </row>
    <row r="160" spans="1:15" ht="20.05" customHeight="1" x14ac:dyDescent="0.25">
      <c r="A160" s="223"/>
      <c r="B160" s="41" t="s">
        <v>462</v>
      </c>
      <c r="C160" s="41" t="s">
        <v>463</v>
      </c>
      <c r="D160" s="137">
        <v>25753786</v>
      </c>
      <c r="E160" s="896" t="s">
        <v>493</v>
      </c>
      <c r="F160" s="891">
        <v>43651</v>
      </c>
      <c r="G160" s="891">
        <v>43676</v>
      </c>
      <c r="H160" s="892" t="s">
        <v>33</v>
      </c>
      <c r="I160" s="892">
        <v>12</v>
      </c>
      <c r="J160" s="892" t="s">
        <v>4</v>
      </c>
      <c r="K160" s="662" t="s">
        <v>2466</v>
      </c>
      <c r="L160" s="898">
        <v>3126464928</v>
      </c>
      <c r="M160" s="896" t="s">
        <v>464</v>
      </c>
      <c r="N160" s="896"/>
      <c r="O160" s="41"/>
    </row>
    <row r="161" spans="1:16" ht="20.05" customHeight="1" x14ac:dyDescent="0.25">
      <c r="A161" s="223"/>
      <c r="B161" s="41" t="s">
        <v>712</v>
      </c>
      <c r="C161" s="41" t="s">
        <v>1121</v>
      </c>
      <c r="D161" s="137">
        <v>25754049</v>
      </c>
      <c r="E161" s="896" t="s">
        <v>493</v>
      </c>
      <c r="F161" s="891">
        <v>43651</v>
      </c>
      <c r="G161" s="891">
        <v>43676</v>
      </c>
      <c r="H161" s="892" t="s">
        <v>33</v>
      </c>
      <c r="I161" s="892">
        <v>12</v>
      </c>
      <c r="J161" s="892" t="s">
        <v>4</v>
      </c>
      <c r="K161" s="662" t="s">
        <v>2305</v>
      </c>
      <c r="L161" s="898">
        <v>3157774860</v>
      </c>
      <c r="M161" s="43" t="s">
        <v>1122</v>
      </c>
      <c r="N161" s="433"/>
      <c r="O161" s="433"/>
    </row>
    <row r="162" spans="1:16" ht="20.05" customHeight="1" x14ac:dyDescent="0.25">
      <c r="A162" s="223"/>
      <c r="B162" s="41" t="s">
        <v>193</v>
      </c>
      <c r="C162" s="41" t="s">
        <v>194</v>
      </c>
      <c r="D162" s="137">
        <v>34959672</v>
      </c>
      <c r="E162" s="896" t="s">
        <v>481</v>
      </c>
      <c r="F162" s="891">
        <v>43651</v>
      </c>
      <c r="G162" s="891">
        <v>43676</v>
      </c>
      <c r="H162" s="892" t="s">
        <v>33</v>
      </c>
      <c r="I162" s="892">
        <v>12</v>
      </c>
      <c r="J162" s="892" t="s">
        <v>4</v>
      </c>
      <c r="K162" s="662" t="s">
        <v>2301</v>
      </c>
      <c r="L162" s="898">
        <v>3105140952</v>
      </c>
      <c r="M162" s="896" t="s">
        <v>298</v>
      </c>
      <c r="N162" s="896"/>
      <c r="O162" s="41"/>
    </row>
    <row r="163" spans="1:16" ht="20.05" customHeight="1" x14ac:dyDescent="0.25">
      <c r="A163" s="223"/>
      <c r="B163" s="1212" t="s">
        <v>195</v>
      </c>
      <c r="C163" s="1212" t="s">
        <v>196</v>
      </c>
      <c r="D163" s="1209">
        <v>26042656</v>
      </c>
      <c r="E163" s="1206" t="s">
        <v>524</v>
      </c>
      <c r="F163" s="891">
        <v>43651</v>
      </c>
      <c r="G163" s="891">
        <v>43676</v>
      </c>
      <c r="H163" s="892" t="s">
        <v>33</v>
      </c>
      <c r="I163" s="892">
        <v>12</v>
      </c>
      <c r="J163" s="892" t="s">
        <v>4</v>
      </c>
      <c r="K163" s="662" t="s">
        <v>390</v>
      </c>
      <c r="L163" s="1207" t="s">
        <v>2471</v>
      </c>
      <c r="M163" s="1206" t="s">
        <v>305</v>
      </c>
      <c r="N163" s="896"/>
      <c r="O163" s="41"/>
    </row>
    <row r="164" spans="1:16" ht="20.05" customHeight="1" x14ac:dyDescent="0.25">
      <c r="A164" s="223"/>
      <c r="B164" s="1212"/>
      <c r="C164" s="1212"/>
      <c r="D164" s="1209"/>
      <c r="E164" s="1206"/>
      <c r="F164" s="899">
        <v>43655</v>
      </c>
      <c r="G164" s="899">
        <v>43676</v>
      </c>
      <c r="H164" s="900" t="s">
        <v>686</v>
      </c>
      <c r="I164" s="892">
        <v>20</v>
      </c>
      <c r="J164" s="892" t="s">
        <v>215</v>
      </c>
      <c r="K164" s="81" t="s">
        <v>543</v>
      </c>
      <c r="L164" s="1207"/>
      <c r="M164" s="1206"/>
      <c r="N164" s="896"/>
      <c r="O164" s="41"/>
    </row>
    <row r="165" spans="1:16" ht="20.05" customHeight="1" x14ac:dyDescent="0.25">
      <c r="A165" s="223"/>
      <c r="B165" s="901" t="s">
        <v>2472</v>
      </c>
      <c r="C165" s="901" t="s">
        <v>2473</v>
      </c>
      <c r="D165" s="138">
        <v>34970794</v>
      </c>
      <c r="E165" s="896" t="s">
        <v>2474</v>
      </c>
      <c r="F165" s="899">
        <v>43661</v>
      </c>
      <c r="G165" s="899">
        <v>43676</v>
      </c>
      <c r="H165" s="900" t="s">
        <v>33</v>
      </c>
      <c r="I165" s="892">
        <v>12</v>
      </c>
      <c r="J165" s="892" t="s">
        <v>4</v>
      </c>
      <c r="K165" s="662" t="s">
        <v>2301</v>
      </c>
      <c r="L165" s="898"/>
      <c r="M165" s="896"/>
      <c r="N165" s="896"/>
      <c r="O165" s="41"/>
    </row>
    <row r="166" spans="1:16" ht="20.05" customHeight="1" x14ac:dyDescent="0.25">
      <c r="A166" s="223"/>
      <c r="B166" s="41" t="s">
        <v>457</v>
      </c>
      <c r="C166" s="41" t="s">
        <v>458</v>
      </c>
      <c r="D166" s="137">
        <v>34957352</v>
      </c>
      <c r="E166" s="898" t="s">
        <v>528</v>
      </c>
      <c r="F166" s="891">
        <v>43651</v>
      </c>
      <c r="G166" s="891">
        <v>43676</v>
      </c>
      <c r="H166" s="892" t="s">
        <v>33</v>
      </c>
      <c r="I166" s="892">
        <v>12</v>
      </c>
      <c r="J166" s="892" t="s">
        <v>4</v>
      </c>
      <c r="K166" s="662" t="s">
        <v>2466</v>
      </c>
      <c r="L166" s="898">
        <v>7924056</v>
      </c>
      <c r="M166" s="896" t="s">
        <v>459</v>
      </c>
      <c r="N166" s="896"/>
      <c r="O166" s="41"/>
    </row>
    <row r="167" spans="1:16" ht="20.05" customHeight="1" x14ac:dyDescent="0.25">
      <c r="A167" s="223"/>
      <c r="B167" s="1212" t="s">
        <v>476</v>
      </c>
      <c r="C167" s="1212" t="s">
        <v>477</v>
      </c>
      <c r="D167" s="1209">
        <v>25751804</v>
      </c>
      <c r="E167" s="1206" t="s">
        <v>493</v>
      </c>
      <c r="F167" s="955">
        <v>43621</v>
      </c>
      <c r="G167" s="955">
        <v>43646</v>
      </c>
      <c r="H167" s="956" t="s">
        <v>686</v>
      </c>
      <c r="I167" s="923"/>
      <c r="J167" s="923" t="s">
        <v>5</v>
      </c>
      <c r="K167" s="81" t="s">
        <v>2310</v>
      </c>
      <c r="L167" s="1207">
        <v>3205407531</v>
      </c>
      <c r="M167" s="1206" t="s">
        <v>478</v>
      </c>
      <c r="N167" s="896"/>
      <c r="O167" s="41"/>
    </row>
    <row r="168" spans="1:16" ht="20.05" customHeight="1" x14ac:dyDescent="0.25">
      <c r="A168" s="223"/>
      <c r="B168" s="1212"/>
      <c r="C168" s="1212"/>
      <c r="D168" s="1209"/>
      <c r="E168" s="1206"/>
      <c r="F168" s="891">
        <v>43655</v>
      </c>
      <c r="G168" s="891">
        <v>43676</v>
      </c>
      <c r="H168" s="718" t="s">
        <v>686</v>
      </c>
      <c r="I168" s="892">
        <v>8</v>
      </c>
      <c r="J168" s="892" t="s">
        <v>4</v>
      </c>
      <c r="K168" s="662" t="s">
        <v>2310</v>
      </c>
      <c r="L168" s="1207"/>
      <c r="M168" s="1206"/>
      <c r="N168" s="896"/>
      <c r="O168" s="41"/>
    </row>
    <row r="169" spans="1:16" ht="20.05" customHeight="1" x14ac:dyDescent="0.25">
      <c r="A169" s="223"/>
      <c r="B169" s="1212"/>
      <c r="C169" s="1212"/>
      <c r="D169" s="1209"/>
      <c r="E169" s="1206"/>
      <c r="F169" s="891">
        <v>43651</v>
      </c>
      <c r="G169" s="891">
        <v>43676</v>
      </c>
      <c r="H169" s="892" t="s">
        <v>33</v>
      </c>
      <c r="I169" s="892">
        <v>12</v>
      </c>
      <c r="J169" s="892" t="s">
        <v>5</v>
      </c>
      <c r="K169" s="662" t="s">
        <v>2310</v>
      </c>
      <c r="L169" s="1207"/>
      <c r="M169" s="1206"/>
      <c r="N169" s="896"/>
      <c r="O169" s="41"/>
    </row>
    <row r="170" spans="1:16" ht="23.8" customHeight="1" x14ac:dyDescent="0.25">
      <c r="A170" s="223"/>
      <c r="B170" s="901" t="s">
        <v>2203</v>
      </c>
      <c r="C170" s="901" t="s">
        <v>2204</v>
      </c>
      <c r="D170" s="138">
        <v>25784023</v>
      </c>
      <c r="E170" s="896" t="s">
        <v>1755</v>
      </c>
      <c r="F170" s="891">
        <v>43655</v>
      </c>
      <c r="G170" s="891">
        <v>43676</v>
      </c>
      <c r="H170" s="892" t="s">
        <v>33</v>
      </c>
      <c r="I170" s="892">
        <v>12</v>
      </c>
      <c r="J170" s="892" t="s">
        <v>4</v>
      </c>
      <c r="K170" s="662" t="s">
        <v>2310</v>
      </c>
      <c r="L170" s="898">
        <v>7928009</v>
      </c>
      <c r="M170" s="896" t="s">
        <v>2205</v>
      </c>
      <c r="N170" s="896"/>
      <c r="O170" s="41"/>
    </row>
    <row r="171" spans="1:16" ht="21.75" customHeight="1" x14ac:dyDescent="0.25">
      <c r="A171" s="223"/>
      <c r="B171" s="901" t="s">
        <v>652</v>
      </c>
      <c r="C171" s="901" t="s">
        <v>653</v>
      </c>
      <c r="D171" s="138">
        <v>25900052</v>
      </c>
      <c r="E171" s="896" t="s">
        <v>654</v>
      </c>
      <c r="F171" s="891">
        <v>43651</v>
      </c>
      <c r="G171" s="891">
        <v>43676</v>
      </c>
      <c r="H171" s="892" t="s">
        <v>33</v>
      </c>
      <c r="I171" s="892">
        <v>12</v>
      </c>
      <c r="J171" s="892" t="s">
        <v>4</v>
      </c>
      <c r="K171" s="662" t="s">
        <v>822</v>
      </c>
      <c r="L171" s="898">
        <v>3114233313</v>
      </c>
      <c r="M171" s="896" t="s">
        <v>655</v>
      </c>
      <c r="N171" s="896"/>
      <c r="O171" s="41"/>
    </row>
    <row r="172" spans="1:16" ht="20.05" customHeight="1" x14ac:dyDescent="0.25">
      <c r="A172" s="223"/>
      <c r="B172" s="901" t="s">
        <v>656</v>
      </c>
      <c r="C172" s="901" t="s">
        <v>657</v>
      </c>
      <c r="D172" s="138">
        <v>25751201</v>
      </c>
      <c r="E172" s="896" t="s">
        <v>493</v>
      </c>
      <c r="F172" s="891">
        <v>43651</v>
      </c>
      <c r="G172" s="891">
        <v>43676</v>
      </c>
      <c r="H172" s="892" t="s">
        <v>33</v>
      </c>
      <c r="I172" s="892">
        <v>12</v>
      </c>
      <c r="J172" s="892" t="s">
        <v>4</v>
      </c>
      <c r="K172" s="662" t="s">
        <v>1869</v>
      </c>
      <c r="L172" s="898">
        <v>4599257</v>
      </c>
      <c r="M172" s="896" t="s">
        <v>306</v>
      </c>
      <c r="N172" s="433"/>
      <c r="O172" s="433"/>
      <c r="P172" s="41"/>
    </row>
    <row r="173" spans="1:16" ht="20.05" customHeight="1" x14ac:dyDescent="0.25">
      <c r="A173" s="223"/>
      <c r="B173" s="1206" t="s">
        <v>734</v>
      </c>
      <c r="C173" s="1206" t="s">
        <v>735</v>
      </c>
      <c r="D173" s="1209">
        <v>25765237</v>
      </c>
      <c r="E173" s="1206" t="s">
        <v>480</v>
      </c>
      <c r="F173" s="891">
        <v>43651</v>
      </c>
      <c r="G173" s="891">
        <v>43676</v>
      </c>
      <c r="H173" s="892" t="s">
        <v>33</v>
      </c>
      <c r="I173" s="892">
        <v>12</v>
      </c>
      <c r="J173" s="892" t="s">
        <v>4</v>
      </c>
      <c r="K173" s="662" t="s">
        <v>2298</v>
      </c>
      <c r="L173" s="1207" t="s">
        <v>849</v>
      </c>
      <c r="M173" s="1206" t="s">
        <v>736</v>
      </c>
      <c r="N173" s="433"/>
      <c r="O173" s="433"/>
      <c r="P173" s="41"/>
    </row>
    <row r="174" spans="1:16" ht="20.05" customHeight="1" x14ac:dyDescent="0.25">
      <c r="A174" s="223"/>
      <c r="B174" s="1206"/>
      <c r="C174" s="1206"/>
      <c r="D174" s="1209"/>
      <c r="E174" s="1206"/>
      <c r="F174" s="899">
        <v>43655</v>
      </c>
      <c r="G174" s="899">
        <v>43676</v>
      </c>
      <c r="H174" s="900" t="s">
        <v>686</v>
      </c>
      <c r="I174" s="892">
        <v>8</v>
      </c>
      <c r="J174" s="892" t="s">
        <v>4</v>
      </c>
      <c r="K174" s="662" t="s">
        <v>2298</v>
      </c>
      <c r="L174" s="1207"/>
      <c r="M174" s="1206"/>
      <c r="N174" s="896"/>
      <c r="O174" s="41"/>
    </row>
    <row r="175" spans="1:16" ht="20.05" customHeight="1" x14ac:dyDescent="0.25">
      <c r="A175" s="223"/>
      <c r="B175" s="901" t="s">
        <v>740</v>
      </c>
      <c r="C175" s="901" t="s">
        <v>741</v>
      </c>
      <c r="D175" s="138">
        <v>15017180</v>
      </c>
      <c r="E175" s="896" t="s">
        <v>742</v>
      </c>
      <c r="F175" s="891">
        <v>43651</v>
      </c>
      <c r="G175" s="891">
        <v>43676</v>
      </c>
      <c r="H175" s="892" t="s">
        <v>33</v>
      </c>
      <c r="I175" s="892">
        <v>12</v>
      </c>
      <c r="J175" s="892" t="s">
        <v>4</v>
      </c>
      <c r="K175" s="81" t="s">
        <v>2301</v>
      </c>
      <c r="L175" s="898">
        <v>3126460478</v>
      </c>
      <c r="M175" s="896" t="s">
        <v>743</v>
      </c>
      <c r="N175" s="896"/>
      <c r="O175" s="41"/>
    </row>
    <row r="176" spans="1:16" ht="20.05" customHeight="1" x14ac:dyDescent="0.25">
      <c r="A176" s="223"/>
      <c r="B176" s="901" t="s">
        <v>761</v>
      </c>
      <c r="C176" s="901" t="s">
        <v>762</v>
      </c>
      <c r="D176" s="138">
        <v>25763301</v>
      </c>
      <c r="E176" s="896" t="s">
        <v>493</v>
      </c>
      <c r="F176" s="891">
        <v>43651</v>
      </c>
      <c r="G176" s="891">
        <v>43676</v>
      </c>
      <c r="H176" s="892" t="s">
        <v>33</v>
      </c>
      <c r="I176" s="892">
        <v>12</v>
      </c>
      <c r="J176" s="892" t="s">
        <v>4</v>
      </c>
      <c r="K176" s="662" t="s">
        <v>2466</v>
      </c>
      <c r="L176" s="898">
        <v>7865974</v>
      </c>
      <c r="M176" s="896" t="s">
        <v>763</v>
      </c>
      <c r="N176" s="896"/>
      <c r="O176" s="41"/>
    </row>
    <row r="177" spans="1:15" ht="20.05" customHeight="1" x14ac:dyDescent="0.25">
      <c r="A177" s="223"/>
      <c r="B177" s="901" t="s">
        <v>1148</v>
      </c>
      <c r="C177" s="901" t="s">
        <v>1147</v>
      </c>
      <c r="D177" s="138">
        <v>34962109</v>
      </c>
      <c r="E177" s="896" t="s">
        <v>486</v>
      </c>
      <c r="F177" s="891">
        <v>43651</v>
      </c>
      <c r="G177" s="891">
        <v>43676</v>
      </c>
      <c r="H177" s="892" t="s">
        <v>33</v>
      </c>
      <c r="I177" s="892">
        <v>12</v>
      </c>
      <c r="J177" s="892" t="s">
        <v>4</v>
      </c>
      <c r="K177" s="662" t="s">
        <v>2466</v>
      </c>
      <c r="L177" s="898" t="s">
        <v>1149</v>
      </c>
      <c r="M177" s="896" t="s">
        <v>1150</v>
      </c>
      <c r="N177" s="896"/>
      <c r="O177" s="41"/>
    </row>
    <row r="178" spans="1:15" ht="26.5" customHeight="1" x14ac:dyDescent="0.25">
      <c r="A178" s="223"/>
      <c r="B178" s="901" t="s">
        <v>1987</v>
      </c>
      <c r="C178" s="901" t="s">
        <v>1988</v>
      </c>
      <c r="D178" s="138">
        <v>50918356</v>
      </c>
      <c r="E178" s="896" t="s">
        <v>1989</v>
      </c>
      <c r="F178" s="891">
        <v>43655</v>
      </c>
      <c r="G178" s="891">
        <v>43676</v>
      </c>
      <c r="H178" s="892" t="s">
        <v>33</v>
      </c>
      <c r="I178" s="892">
        <v>12</v>
      </c>
      <c r="J178" s="892" t="s">
        <v>4</v>
      </c>
      <c r="K178" s="662" t="s">
        <v>2301</v>
      </c>
      <c r="L178" s="898" t="s">
        <v>1991</v>
      </c>
      <c r="M178" s="43" t="s">
        <v>1990</v>
      </c>
      <c r="N178" s="896"/>
      <c r="O178" s="41"/>
    </row>
    <row r="179" spans="1:15" ht="20.05" customHeight="1" x14ac:dyDescent="0.25">
      <c r="A179" s="223"/>
      <c r="B179" s="1206" t="s">
        <v>748</v>
      </c>
      <c r="C179" s="1206" t="s">
        <v>749</v>
      </c>
      <c r="D179" s="1209">
        <v>25757263</v>
      </c>
      <c r="E179" s="1206" t="s">
        <v>750</v>
      </c>
      <c r="F179" s="891">
        <v>43651</v>
      </c>
      <c r="G179" s="891">
        <v>43676</v>
      </c>
      <c r="H179" s="892" t="s">
        <v>686</v>
      </c>
      <c r="I179" s="892">
        <v>8</v>
      </c>
      <c r="J179" s="892" t="s">
        <v>215</v>
      </c>
      <c r="K179" s="81" t="s">
        <v>2540</v>
      </c>
      <c r="L179" s="1207">
        <v>3013716845</v>
      </c>
      <c r="M179" s="1206" t="s">
        <v>751</v>
      </c>
      <c r="N179" s="896"/>
      <c r="O179" s="41"/>
    </row>
    <row r="180" spans="1:15" ht="20.05" customHeight="1" x14ac:dyDescent="0.25">
      <c r="A180" s="223"/>
      <c r="B180" s="1206"/>
      <c r="C180" s="1206"/>
      <c r="D180" s="1209"/>
      <c r="E180" s="1206"/>
      <c r="F180" s="891">
        <v>43651</v>
      </c>
      <c r="G180" s="891">
        <v>43676</v>
      </c>
      <c r="H180" s="892" t="s">
        <v>33</v>
      </c>
      <c r="I180" s="892">
        <v>12</v>
      </c>
      <c r="J180" s="892" t="s">
        <v>4</v>
      </c>
      <c r="K180" s="662" t="s">
        <v>2305</v>
      </c>
      <c r="L180" s="1207"/>
      <c r="M180" s="1206"/>
      <c r="N180" s="896"/>
      <c r="O180" s="41"/>
    </row>
    <row r="181" spans="1:15" ht="20.05" customHeight="1" x14ac:dyDescent="0.25">
      <c r="A181" s="223"/>
      <c r="B181" s="901" t="s">
        <v>688</v>
      </c>
      <c r="C181" s="901" t="s">
        <v>689</v>
      </c>
      <c r="D181" s="138">
        <v>25763155</v>
      </c>
      <c r="E181" s="896" t="s">
        <v>480</v>
      </c>
      <c r="F181" s="535"/>
      <c r="G181" s="535"/>
      <c r="L181" s="898"/>
      <c r="M181" s="896"/>
      <c r="N181" s="896"/>
      <c r="O181" s="41"/>
    </row>
    <row r="182" spans="1:15" ht="20.05" customHeight="1" x14ac:dyDescent="0.25">
      <c r="A182" s="223"/>
      <c r="B182" s="901" t="s">
        <v>668</v>
      </c>
      <c r="C182" s="901" t="s">
        <v>669</v>
      </c>
      <c r="D182" s="138">
        <v>6891726</v>
      </c>
      <c r="E182" s="44" t="s">
        <v>670</v>
      </c>
      <c r="F182" s="891">
        <v>43651</v>
      </c>
      <c r="G182" s="891">
        <v>43676</v>
      </c>
      <c r="H182" s="892" t="s">
        <v>33</v>
      </c>
      <c r="I182" s="892">
        <v>12</v>
      </c>
      <c r="J182" s="892" t="s">
        <v>4</v>
      </c>
      <c r="K182" s="662" t="s">
        <v>2305</v>
      </c>
      <c r="L182" s="898" t="s">
        <v>708</v>
      </c>
      <c r="M182" s="896" t="s">
        <v>770</v>
      </c>
      <c r="N182" s="43"/>
      <c r="O182" s="41"/>
    </row>
    <row r="183" spans="1:15" ht="20.05" customHeight="1" x14ac:dyDescent="0.25">
      <c r="A183" s="223"/>
      <c r="B183" s="901" t="s">
        <v>673</v>
      </c>
      <c r="C183" s="901" t="s">
        <v>671</v>
      </c>
      <c r="D183" s="138">
        <v>25778030</v>
      </c>
      <c r="E183" s="54" t="s">
        <v>672</v>
      </c>
      <c r="F183" s="535"/>
      <c r="G183" s="535"/>
      <c r="L183" s="898">
        <v>3157490621</v>
      </c>
      <c r="M183" s="896" t="s">
        <v>1890</v>
      </c>
      <c r="N183" s="896"/>
      <c r="O183" s="41"/>
    </row>
    <row r="184" spans="1:15" ht="20.05" customHeight="1" x14ac:dyDescent="0.25">
      <c r="A184" s="223"/>
      <c r="B184" s="901" t="s">
        <v>682</v>
      </c>
      <c r="C184" s="901" t="s">
        <v>683</v>
      </c>
      <c r="D184" s="138">
        <v>6868341</v>
      </c>
      <c r="E184" s="54" t="s">
        <v>684</v>
      </c>
      <c r="F184" s="891">
        <v>43651</v>
      </c>
      <c r="G184" s="891">
        <v>43676</v>
      </c>
      <c r="H184" s="892" t="s">
        <v>33</v>
      </c>
      <c r="I184" s="892">
        <v>12</v>
      </c>
      <c r="J184" s="892" t="s">
        <v>4</v>
      </c>
      <c r="K184" s="662" t="s">
        <v>2466</v>
      </c>
      <c r="L184" s="898">
        <v>3106164747</v>
      </c>
      <c r="M184" s="896" t="s">
        <v>685</v>
      </c>
      <c r="N184" s="896"/>
      <c r="O184" s="41"/>
    </row>
    <row r="185" spans="1:15" ht="20.05" customHeight="1" x14ac:dyDescent="0.25">
      <c r="A185" s="223"/>
      <c r="B185" s="901" t="s">
        <v>643</v>
      </c>
      <c r="C185" s="901" t="s">
        <v>644</v>
      </c>
      <c r="D185" s="138">
        <v>25877307</v>
      </c>
      <c r="E185" s="896" t="s">
        <v>645</v>
      </c>
      <c r="F185" s="891">
        <v>43651</v>
      </c>
      <c r="G185" s="891">
        <v>43676</v>
      </c>
      <c r="H185" s="892" t="s">
        <v>33</v>
      </c>
      <c r="I185" s="892">
        <v>12</v>
      </c>
      <c r="J185" s="892" t="s">
        <v>4</v>
      </c>
      <c r="K185" s="662" t="s">
        <v>822</v>
      </c>
      <c r="L185" s="898" t="s">
        <v>646</v>
      </c>
      <c r="M185" s="896" t="s">
        <v>647</v>
      </c>
      <c r="N185" s="44"/>
      <c r="O185" s="41"/>
    </row>
    <row r="186" spans="1:15" ht="20.05" customHeight="1" x14ac:dyDescent="0.25">
      <c r="A186" s="223"/>
      <c r="B186" s="901" t="s">
        <v>836</v>
      </c>
      <c r="C186" s="901" t="s">
        <v>837</v>
      </c>
      <c r="D186" s="138">
        <v>25907980</v>
      </c>
      <c r="E186" s="896" t="s">
        <v>587</v>
      </c>
      <c r="F186" s="891">
        <v>43651</v>
      </c>
      <c r="G186" s="891">
        <v>43676</v>
      </c>
      <c r="H186" s="892" t="s">
        <v>33</v>
      </c>
      <c r="I186" s="892">
        <v>12</v>
      </c>
      <c r="J186" s="892" t="s">
        <v>4</v>
      </c>
      <c r="K186" s="662" t="s">
        <v>1869</v>
      </c>
      <c r="L186" s="898" t="s">
        <v>838</v>
      </c>
      <c r="M186" s="896" t="s">
        <v>839</v>
      </c>
      <c r="N186" s="44"/>
      <c r="O186" s="41"/>
    </row>
    <row r="187" spans="1:15" s="310" customFormat="1" ht="23.8" customHeight="1" x14ac:dyDescent="0.25">
      <c r="A187" s="770"/>
      <c r="B187" s="771" t="s">
        <v>1008</v>
      </c>
      <c r="C187" s="771" t="s">
        <v>1009</v>
      </c>
      <c r="D187" s="138">
        <v>25894287</v>
      </c>
      <c r="E187" s="896" t="s">
        <v>486</v>
      </c>
      <c r="F187" s="891">
        <v>43651</v>
      </c>
      <c r="G187" s="891">
        <v>43676</v>
      </c>
      <c r="H187" s="892" t="s">
        <v>33</v>
      </c>
      <c r="I187" s="892">
        <v>12</v>
      </c>
      <c r="J187" s="892" t="s">
        <v>215</v>
      </c>
      <c r="K187" s="662" t="s">
        <v>2540</v>
      </c>
      <c r="L187" s="896" t="s">
        <v>2541</v>
      </c>
      <c r="M187" s="896" t="s">
        <v>2542</v>
      </c>
      <c r="N187" s="42"/>
      <c r="O187" s="42"/>
    </row>
    <row r="188" spans="1:15" ht="20.05" customHeight="1" x14ac:dyDescent="0.25">
      <c r="A188" s="223"/>
      <c r="B188" s="901" t="s">
        <v>630</v>
      </c>
      <c r="C188" s="901" t="s">
        <v>631</v>
      </c>
      <c r="D188" s="138">
        <v>26158393</v>
      </c>
      <c r="E188" s="896" t="s">
        <v>658</v>
      </c>
      <c r="F188" s="891">
        <v>43651</v>
      </c>
      <c r="G188" s="891">
        <v>43676</v>
      </c>
      <c r="H188" s="892" t="s">
        <v>33</v>
      </c>
      <c r="I188" s="892">
        <v>12</v>
      </c>
      <c r="J188" s="892" t="s">
        <v>4</v>
      </c>
      <c r="K188" s="81" t="s">
        <v>2300</v>
      </c>
      <c r="L188" s="898">
        <v>3126457569</v>
      </c>
      <c r="M188" s="896" t="s">
        <v>632</v>
      </c>
      <c r="N188" s="896"/>
      <c r="O188" s="41"/>
    </row>
    <row r="189" spans="1:15" s="933" customFormat="1" ht="22.6" customHeight="1" x14ac:dyDescent="0.25">
      <c r="A189" s="223"/>
      <c r="B189" s="1223" t="s">
        <v>87</v>
      </c>
      <c r="C189" s="1223" t="s">
        <v>534</v>
      </c>
      <c r="D189" s="1226">
        <v>34956000</v>
      </c>
      <c r="E189" s="1223"/>
      <c r="F189" s="891">
        <v>43658</v>
      </c>
      <c r="G189" s="891">
        <v>43676</v>
      </c>
      <c r="H189" s="892" t="s">
        <v>33</v>
      </c>
      <c r="I189" s="892">
        <v>12</v>
      </c>
      <c r="J189" s="892" t="s">
        <v>4</v>
      </c>
      <c r="K189" s="662" t="s">
        <v>2466</v>
      </c>
      <c r="L189" s="1233" t="s">
        <v>535</v>
      </c>
      <c r="M189" s="1223" t="s">
        <v>536</v>
      </c>
      <c r="N189" s="897"/>
      <c r="O189" s="72"/>
    </row>
    <row r="190" spans="1:15" s="966" customFormat="1" ht="22.6" customHeight="1" x14ac:dyDescent="0.25">
      <c r="A190" s="223"/>
      <c r="B190" s="1224"/>
      <c r="C190" s="1224"/>
      <c r="D190" s="1227"/>
      <c r="E190" s="1224"/>
      <c r="F190" s="1199">
        <v>43670</v>
      </c>
      <c r="G190" s="1199">
        <v>43676</v>
      </c>
      <c r="H190" s="1230" t="s">
        <v>686</v>
      </c>
      <c r="I190" s="963">
        <v>20</v>
      </c>
      <c r="J190" s="963" t="s">
        <v>215</v>
      </c>
      <c r="K190" s="662" t="s">
        <v>2540</v>
      </c>
      <c r="L190" s="1234"/>
      <c r="M190" s="1224"/>
      <c r="N190" s="897"/>
      <c r="O190" s="72"/>
    </row>
    <row r="191" spans="1:15" s="966" customFormat="1" ht="22.6" customHeight="1" x14ac:dyDescent="0.25">
      <c r="A191" s="223"/>
      <c r="B191" s="1224"/>
      <c r="C191" s="1224"/>
      <c r="D191" s="1227"/>
      <c r="E191" s="1224"/>
      <c r="F191" s="1229"/>
      <c r="G191" s="1229"/>
      <c r="H191" s="1231"/>
      <c r="I191" s="963">
        <v>20</v>
      </c>
      <c r="J191" s="963" t="s">
        <v>8</v>
      </c>
      <c r="K191" s="662" t="s">
        <v>2299</v>
      </c>
      <c r="L191" s="1234"/>
      <c r="M191" s="1224"/>
      <c r="N191" s="897"/>
      <c r="O191" s="72"/>
    </row>
    <row r="192" spans="1:15" s="966" customFormat="1" ht="22.6" customHeight="1" x14ac:dyDescent="0.25">
      <c r="A192" s="223"/>
      <c r="B192" s="1225"/>
      <c r="C192" s="1225"/>
      <c r="D192" s="1228"/>
      <c r="E192" s="1225"/>
      <c r="F192" s="1200"/>
      <c r="G192" s="1200"/>
      <c r="H192" s="1232"/>
      <c r="I192" s="963">
        <v>8</v>
      </c>
      <c r="J192" s="963" t="s">
        <v>4</v>
      </c>
      <c r="K192" s="662" t="s">
        <v>2466</v>
      </c>
      <c r="L192" s="1235"/>
      <c r="M192" s="1225"/>
      <c r="N192" s="897"/>
      <c r="O192" s="72"/>
    </row>
    <row r="193" spans="1:15" s="933" customFormat="1" ht="22.6" customHeight="1" x14ac:dyDescent="0.25">
      <c r="A193" s="223"/>
      <c r="B193" s="1212" t="s">
        <v>210</v>
      </c>
      <c r="C193" s="1212" t="s">
        <v>211</v>
      </c>
      <c r="D193" s="1209">
        <v>26186140</v>
      </c>
      <c r="E193" s="1207" t="s">
        <v>531</v>
      </c>
      <c r="F193" s="1129">
        <v>43651</v>
      </c>
      <c r="G193" s="1129">
        <v>43676</v>
      </c>
      <c r="H193" s="1208" t="s">
        <v>33</v>
      </c>
      <c r="I193" s="892">
        <v>12</v>
      </c>
      <c r="J193" s="892" t="s">
        <v>4</v>
      </c>
      <c r="K193" s="662" t="s">
        <v>2466</v>
      </c>
      <c r="L193" s="1207">
        <v>3135338592</v>
      </c>
      <c r="M193" s="1206" t="s">
        <v>300</v>
      </c>
      <c r="N193" s="897"/>
      <c r="O193" s="72"/>
    </row>
    <row r="194" spans="1:15" s="933" customFormat="1" ht="22.6" customHeight="1" x14ac:dyDescent="0.25">
      <c r="A194" s="223"/>
      <c r="B194" s="1212"/>
      <c r="C194" s="1212"/>
      <c r="D194" s="1209"/>
      <c r="E194" s="1207"/>
      <c r="F194" s="1129"/>
      <c r="G194" s="1129"/>
      <c r="H194" s="1208"/>
      <c r="I194" s="892">
        <v>1</v>
      </c>
      <c r="J194" s="892" t="s">
        <v>214</v>
      </c>
      <c r="K194" s="662" t="s">
        <v>1383</v>
      </c>
      <c r="L194" s="1207"/>
      <c r="M194" s="1206"/>
      <c r="N194" s="896"/>
      <c r="O194" s="896"/>
    </row>
    <row r="198" spans="1:15" ht="20.05" customHeight="1" x14ac:dyDescent="0.25">
      <c r="C198" s="959"/>
      <c r="D198" s="960"/>
    </row>
  </sheetData>
  <autoFilter ref="A1:O195"/>
  <mergeCells count="212">
    <mergeCell ref="B189:B192"/>
    <mergeCell ref="C189:C192"/>
    <mergeCell ref="D189:D192"/>
    <mergeCell ref="E189:E192"/>
    <mergeCell ref="F190:F192"/>
    <mergeCell ref="G190:G192"/>
    <mergeCell ref="H190:H192"/>
    <mergeCell ref="L189:L192"/>
    <mergeCell ref="M189:M192"/>
    <mergeCell ref="N9:O9"/>
    <mergeCell ref="C163:C164"/>
    <mergeCell ref="C153:C155"/>
    <mergeCell ref="H157:H158"/>
    <mergeCell ref="E163:E164"/>
    <mergeCell ref="G126:G128"/>
    <mergeCell ref="F121:F122"/>
    <mergeCell ref="G121:G122"/>
    <mergeCell ref="F130:F132"/>
    <mergeCell ref="H126:H128"/>
    <mergeCell ref="H130:H132"/>
    <mergeCell ref="H121:H122"/>
    <mergeCell ref="H123:H124"/>
    <mergeCell ref="F126:F128"/>
    <mergeCell ref="G130:G132"/>
    <mergeCell ref="C146:C147"/>
    <mergeCell ref="D112:D113"/>
    <mergeCell ref="D121:D124"/>
    <mergeCell ref="D125:D128"/>
    <mergeCell ref="N140:O140"/>
    <mergeCell ref="D76:D77"/>
    <mergeCell ref="E76:E77"/>
    <mergeCell ref="D66:D67"/>
    <mergeCell ref="L121:L124"/>
    <mergeCell ref="B125:B128"/>
    <mergeCell ref="C125:C128"/>
    <mergeCell ref="N12:O12"/>
    <mergeCell ref="N125:N128"/>
    <mergeCell ref="C109:C110"/>
    <mergeCell ref="N130:N133"/>
    <mergeCell ref="M125:M128"/>
    <mergeCell ref="M130:M133"/>
    <mergeCell ref="N121:N124"/>
    <mergeCell ref="B78:B80"/>
    <mergeCell ref="C78:C80"/>
    <mergeCell ref="E130:E133"/>
    <mergeCell ref="E41:E44"/>
    <mergeCell ref="D35:D36"/>
    <mergeCell ref="E35:E36"/>
    <mergeCell ref="B54:B55"/>
    <mergeCell ref="B62:B63"/>
    <mergeCell ref="C62:C63"/>
    <mergeCell ref="C54:C55"/>
    <mergeCell ref="E125:E128"/>
    <mergeCell ref="B121:B124"/>
    <mergeCell ref="C121:C124"/>
    <mergeCell ref="D78:D80"/>
    <mergeCell ref="E78:E80"/>
    <mergeCell ref="C76:C77"/>
    <mergeCell ref="B109:B110"/>
    <mergeCell ref="B66:B67"/>
    <mergeCell ref="C66:C67"/>
    <mergeCell ref="D32:D33"/>
    <mergeCell ref="E32:E33"/>
    <mergeCell ref="D41:D44"/>
    <mergeCell ref="B41:B44"/>
    <mergeCell ref="C41:C44"/>
    <mergeCell ref="B35:B36"/>
    <mergeCell ref="C35:C36"/>
    <mergeCell ref="E45:E47"/>
    <mergeCell ref="D45:D47"/>
    <mergeCell ref="C32:C33"/>
    <mergeCell ref="B32:B33"/>
    <mergeCell ref="C45:C47"/>
    <mergeCell ref="B45:B47"/>
    <mergeCell ref="D109:D110"/>
    <mergeCell ref="E109:E110"/>
    <mergeCell ref="D54:D55"/>
    <mergeCell ref="E54:E55"/>
    <mergeCell ref="D167:D169"/>
    <mergeCell ref="D146:D147"/>
    <mergeCell ref="C156:C158"/>
    <mergeCell ref="B156:B158"/>
    <mergeCell ref="B130:B133"/>
    <mergeCell ref="B146:B147"/>
    <mergeCell ref="C130:C133"/>
    <mergeCell ref="B163:B164"/>
    <mergeCell ref="D193:D194"/>
    <mergeCell ref="D130:D133"/>
    <mergeCell ref="D163:D164"/>
    <mergeCell ref="B173:B174"/>
    <mergeCell ref="B153:B155"/>
    <mergeCell ref="D179:D180"/>
    <mergeCell ref="B193:B194"/>
    <mergeCell ref="C193:C194"/>
    <mergeCell ref="C173:C174"/>
    <mergeCell ref="B179:B180"/>
    <mergeCell ref="C179:C180"/>
    <mergeCell ref="B167:B169"/>
    <mergeCell ref="C167:C169"/>
    <mergeCell ref="D153:D155"/>
    <mergeCell ref="D173:D174"/>
    <mergeCell ref="D156:D158"/>
    <mergeCell ref="B18:B19"/>
    <mergeCell ref="C18:C19"/>
    <mergeCell ref="D18:D19"/>
    <mergeCell ref="E18:E19"/>
    <mergeCell ref="G4:G5"/>
    <mergeCell ref="D3:D5"/>
    <mergeCell ref="C3:C5"/>
    <mergeCell ref="B3:B5"/>
    <mergeCell ref="E3:E5"/>
    <mergeCell ref="F4:F5"/>
    <mergeCell ref="H4:H5"/>
    <mergeCell ref="F66:F67"/>
    <mergeCell ref="F79:F80"/>
    <mergeCell ref="G79:G80"/>
    <mergeCell ref="L35:L36"/>
    <mergeCell ref="M35:M36"/>
    <mergeCell ref="L66:L67"/>
    <mergeCell ref="M66:M67"/>
    <mergeCell ref="H46:H47"/>
    <mergeCell ref="F42:F44"/>
    <mergeCell ref="G42:G44"/>
    <mergeCell ref="H42:H44"/>
    <mergeCell ref="G46:G47"/>
    <mergeCell ref="F46:F47"/>
    <mergeCell ref="M3:M5"/>
    <mergeCell ref="L3:L5"/>
    <mergeCell ref="L41:L44"/>
    <mergeCell ref="H79:H80"/>
    <mergeCell ref="M76:M77"/>
    <mergeCell ref="F71:F73"/>
    <mergeCell ref="M54:M55"/>
    <mergeCell ref="N16:O16"/>
    <mergeCell ref="N70:N73"/>
    <mergeCell ref="L54:L55"/>
    <mergeCell ref="L32:L33"/>
    <mergeCell ref="M32:M33"/>
    <mergeCell ref="M41:M44"/>
    <mergeCell ref="M45:M47"/>
    <mergeCell ref="M70:M73"/>
    <mergeCell ref="M112:M113"/>
    <mergeCell ref="L78:L80"/>
    <mergeCell ref="M78:M80"/>
    <mergeCell ref="L76:L77"/>
    <mergeCell ref="N90:O90"/>
    <mergeCell ref="L112:L113"/>
    <mergeCell ref="N49:O49"/>
    <mergeCell ref="N50:O50"/>
    <mergeCell ref="M62:M63"/>
    <mergeCell ref="L45:L47"/>
    <mergeCell ref="L109:L110"/>
    <mergeCell ref="M109:M110"/>
    <mergeCell ref="N25:O25"/>
    <mergeCell ref="N153:N155"/>
    <mergeCell ref="F157:F158"/>
    <mergeCell ref="L153:L155"/>
    <mergeCell ref="G157:G158"/>
    <mergeCell ref="E153:E155"/>
    <mergeCell ref="E146:E147"/>
    <mergeCell ref="F154:F155"/>
    <mergeCell ref="G154:G155"/>
    <mergeCell ref="H154:H155"/>
    <mergeCell ref="L156:L158"/>
    <mergeCell ref="E156:E158"/>
    <mergeCell ref="M153:M155"/>
    <mergeCell ref="L146:L147"/>
    <mergeCell ref="E167:E169"/>
    <mergeCell ref="L173:L174"/>
    <mergeCell ref="M173:M174"/>
    <mergeCell ref="E193:E194"/>
    <mergeCell ref="E173:E174"/>
    <mergeCell ref="L179:L180"/>
    <mergeCell ref="M179:M180"/>
    <mergeCell ref="E179:E180"/>
    <mergeCell ref="H112:H113"/>
    <mergeCell ref="L167:L169"/>
    <mergeCell ref="M167:M169"/>
    <mergeCell ref="L163:L164"/>
    <mergeCell ref="M146:M147"/>
    <mergeCell ref="M156:M158"/>
    <mergeCell ref="M163:M164"/>
    <mergeCell ref="M193:M194"/>
    <mergeCell ref="L193:L194"/>
    <mergeCell ref="F193:F194"/>
    <mergeCell ref="G193:G194"/>
    <mergeCell ref="H193:H194"/>
    <mergeCell ref="M121:M124"/>
    <mergeCell ref="B112:B113"/>
    <mergeCell ref="C112:C113"/>
    <mergeCell ref="G112:G113"/>
    <mergeCell ref="F112:F113"/>
    <mergeCell ref="E112:E113"/>
    <mergeCell ref="E121:E124"/>
    <mergeCell ref="G123:G124"/>
    <mergeCell ref="F123:F124"/>
    <mergeCell ref="L62:L63"/>
    <mergeCell ref="G66:G67"/>
    <mergeCell ref="H66:H67"/>
    <mergeCell ref="E70:E72"/>
    <mergeCell ref="D70:D73"/>
    <mergeCell ref="H71:H73"/>
    <mergeCell ref="G71:G73"/>
    <mergeCell ref="D62:D63"/>
    <mergeCell ref="E62:E63"/>
    <mergeCell ref="F62:F63"/>
    <mergeCell ref="H62:H63"/>
    <mergeCell ref="G62:G63"/>
    <mergeCell ref="E66:E67"/>
    <mergeCell ref="B70:B73"/>
    <mergeCell ref="C70:C73"/>
    <mergeCell ref="B76:B77"/>
  </mergeCells>
  <pageMargins left="0.51181102362204722" right="0.51181102362204722" top="0.74803149606299213" bottom="0.15748031496062992" header="0.31496062992125984" footer="0.31496062992125984"/>
  <pageSetup scale="61" fitToHeight="0" orientation="landscape"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pageSetUpPr fitToPage="1"/>
  </sheetPr>
  <dimension ref="A1:T27"/>
  <sheetViews>
    <sheetView zoomScaleNormal="100" workbookViewId="0">
      <pane ySplit="1" topLeftCell="A15" activePane="bottomLeft" state="frozen"/>
      <selection pane="bottomLeft" activeCell="G20" sqref="G20:G21"/>
    </sheetView>
  </sheetViews>
  <sheetFormatPr baseColWidth="10" defaultColWidth="11.375" defaultRowHeight="30.1" customHeight="1" x14ac:dyDescent="0.25"/>
  <cols>
    <col min="1" max="1" width="4.25" style="5" customWidth="1"/>
    <col min="2" max="2" width="16.875" style="6" customWidth="1"/>
    <col min="3" max="3" width="18" style="6" customWidth="1"/>
    <col min="4" max="4" width="4.125" style="6" customWidth="1"/>
    <col min="5" max="5" width="14" style="8" customWidth="1"/>
    <col min="6" max="6" width="13.25" style="6" customWidth="1"/>
    <col min="7" max="7" width="13.875" style="6" customWidth="1"/>
    <col min="8" max="8" width="13.125" style="6" customWidth="1"/>
    <col min="9" max="9" width="17" style="6" customWidth="1"/>
    <col min="10" max="10" width="14.75" style="6" customWidth="1"/>
    <col min="11" max="11" width="12.25" style="29" customWidth="1"/>
    <col min="12" max="12" width="11.625" style="454" customWidth="1"/>
    <col min="13" max="13" width="11.875" style="454" customWidth="1"/>
    <col min="14" max="14" width="6.75" style="6" customWidth="1"/>
    <col min="15" max="15" width="7.625" style="6" customWidth="1"/>
    <col min="16" max="16" width="6.875" style="6" customWidth="1"/>
    <col min="17" max="17" width="21.375" style="675" customWidth="1"/>
    <col min="18" max="18" width="28.875" style="6" customWidth="1"/>
    <col min="19" max="19" width="39.875" style="9" customWidth="1"/>
    <col min="20" max="16384" width="11.375" style="7"/>
  </cols>
  <sheetData>
    <row r="1" spans="1:20" s="6" customFormat="1" ht="22.6" customHeight="1" x14ac:dyDescent="0.25">
      <c r="A1" s="437" t="s">
        <v>337</v>
      </c>
      <c r="B1" s="434" t="s">
        <v>338</v>
      </c>
      <c r="C1" s="434" t="s">
        <v>339</v>
      </c>
      <c r="D1" s="434" t="s">
        <v>340</v>
      </c>
      <c r="E1" s="435" t="s">
        <v>341</v>
      </c>
      <c r="F1" s="434" t="s">
        <v>342</v>
      </c>
      <c r="G1" s="436" t="s">
        <v>472</v>
      </c>
      <c r="H1" s="434" t="s">
        <v>12</v>
      </c>
      <c r="I1" s="434" t="s">
        <v>343</v>
      </c>
      <c r="J1" s="437" t="s">
        <v>0</v>
      </c>
      <c r="K1" s="438" t="s">
        <v>344</v>
      </c>
      <c r="L1" s="438" t="s">
        <v>1</v>
      </c>
      <c r="M1" s="438" t="s">
        <v>2</v>
      </c>
      <c r="N1" s="434" t="s">
        <v>550</v>
      </c>
      <c r="O1" s="434" t="s">
        <v>346</v>
      </c>
      <c r="P1" s="434" t="s">
        <v>551</v>
      </c>
      <c r="Q1" s="434" t="s">
        <v>389</v>
      </c>
      <c r="R1" s="434" t="s">
        <v>3</v>
      </c>
      <c r="S1" s="439" t="s">
        <v>1947</v>
      </c>
    </row>
    <row r="2" spans="1:20" ht="30.1" customHeight="1" x14ac:dyDescent="0.25">
      <c r="A2" s="1248">
        <v>1</v>
      </c>
      <c r="B2" s="1265" t="s">
        <v>1539</v>
      </c>
      <c r="C2" s="1265" t="s">
        <v>1540</v>
      </c>
      <c r="D2" s="1242" t="s">
        <v>348</v>
      </c>
      <c r="E2" s="1267">
        <v>22775509</v>
      </c>
      <c r="F2" s="440" t="s">
        <v>362</v>
      </c>
      <c r="G2" s="1242" t="s">
        <v>494</v>
      </c>
      <c r="H2" s="440" t="s">
        <v>96</v>
      </c>
      <c r="I2" s="1242" t="s">
        <v>1541</v>
      </c>
      <c r="J2" s="1242">
        <v>3114149739</v>
      </c>
      <c r="K2" s="1245">
        <v>43567</v>
      </c>
      <c r="L2" s="1240">
        <v>43658</v>
      </c>
      <c r="M2" s="1240">
        <v>43688</v>
      </c>
      <c r="N2" s="440">
        <v>20</v>
      </c>
      <c r="O2" s="440" t="s">
        <v>4</v>
      </c>
      <c r="P2" s="440">
        <v>20</v>
      </c>
      <c r="Q2" s="672" t="s">
        <v>1255</v>
      </c>
      <c r="R2" s="1242" t="s">
        <v>2756</v>
      </c>
      <c r="S2" s="1269" t="s">
        <v>1579</v>
      </c>
    </row>
    <row r="3" spans="1:20" ht="30.1" customHeight="1" x14ac:dyDescent="0.25">
      <c r="A3" s="1250"/>
      <c r="B3" s="1266"/>
      <c r="C3" s="1266"/>
      <c r="D3" s="1243"/>
      <c r="E3" s="1268"/>
      <c r="F3" s="440" t="s">
        <v>362</v>
      </c>
      <c r="G3" s="1243"/>
      <c r="H3" s="440" t="s">
        <v>96</v>
      </c>
      <c r="I3" s="1243"/>
      <c r="J3" s="1243"/>
      <c r="K3" s="1247"/>
      <c r="L3" s="1241"/>
      <c r="M3" s="1241"/>
      <c r="N3" s="440">
        <v>12</v>
      </c>
      <c r="O3" s="440" t="s">
        <v>215</v>
      </c>
      <c r="P3" s="440">
        <v>12</v>
      </c>
      <c r="Q3" s="672" t="s">
        <v>44</v>
      </c>
      <c r="R3" s="1243"/>
      <c r="S3" s="1270"/>
    </row>
    <row r="4" spans="1:20" ht="30.1" customHeight="1" x14ac:dyDescent="0.25">
      <c r="A4" s="1248">
        <v>2</v>
      </c>
      <c r="B4" s="1251" t="s">
        <v>1468</v>
      </c>
      <c r="C4" s="1251" t="s">
        <v>1469</v>
      </c>
      <c r="D4" s="1236" t="s">
        <v>348</v>
      </c>
      <c r="E4" s="1256">
        <v>10995464</v>
      </c>
      <c r="F4" s="518" t="s">
        <v>362</v>
      </c>
      <c r="G4" s="1236" t="s">
        <v>486</v>
      </c>
      <c r="H4" s="518" t="s">
        <v>14</v>
      </c>
      <c r="I4" s="1236" t="s">
        <v>1470</v>
      </c>
      <c r="J4" s="1236" t="s">
        <v>1471</v>
      </c>
      <c r="K4" s="1238">
        <v>43564</v>
      </c>
      <c r="L4" s="1240">
        <v>43656</v>
      </c>
      <c r="M4" s="1240">
        <v>43686</v>
      </c>
      <c r="N4" s="518">
        <v>12</v>
      </c>
      <c r="O4" s="518" t="s">
        <v>215</v>
      </c>
      <c r="P4" s="518">
        <v>12</v>
      </c>
      <c r="Q4" s="672" t="s">
        <v>2540</v>
      </c>
      <c r="R4" s="1242" t="s">
        <v>2756</v>
      </c>
      <c r="S4" s="1236" t="s">
        <v>1579</v>
      </c>
    </row>
    <row r="5" spans="1:20" s="4" customFormat="1" ht="30.1" customHeight="1" x14ac:dyDescent="0.25">
      <c r="A5" s="1250"/>
      <c r="B5" s="1253"/>
      <c r="C5" s="1253"/>
      <c r="D5" s="1237"/>
      <c r="E5" s="1258"/>
      <c r="F5" s="445" t="s">
        <v>362</v>
      </c>
      <c r="G5" s="1237"/>
      <c r="H5" s="445" t="s">
        <v>14</v>
      </c>
      <c r="I5" s="1237"/>
      <c r="J5" s="1237"/>
      <c r="K5" s="1239"/>
      <c r="L5" s="1241"/>
      <c r="M5" s="1241"/>
      <c r="N5" s="445">
        <v>20</v>
      </c>
      <c r="O5" s="445" t="s">
        <v>4</v>
      </c>
      <c r="P5" s="445">
        <v>20</v>
      </c>
      <c r="Q5" s="1039" t="s">
        <v>2301</v>
      </c>
      <c r="R5" s="1243"/>
      <c r="S5" s="1237"/>
    </row>
    <row r="6" spans="1:20" s="448" customFormat="1" ht="38.049999999999997" customHeight="1" x14ac:dyDescent="0.25">
      <c r="A6" s="441">
        <v>3</v>
      </c>
      <c r="B6" s="763" t="s">
        <v>1576</v>
      </c>
      <c r="C6" s="763" t="s">
        <v>1577</v>
      </c>
      <c r="D6" s="445" t="s">
        <v>348</v>
      </c>
      <c r="E6" s="446">
        <v>50932607</v>
      </c>
      <c r="F6" s="445" t="s">
        <v>362</v>
      </c>
      <c r="G6" s="449" t="s">
        <v>717</v>
      </c>
      <c r="H6" s="445" t="s">
        <v>14</v>
      </c>
      <c r="I6" s="445" t="s">
        <v>1578</v>
      </c>
      <c r="J6" s="510"/>
      <c r="K6" s="447">
        <v>43570</v>
      </c>
      <c r="L6" s="517">
        <v>43662</v>
      </c>
      <c r="M6" s="517">
        <v>43692</v>
      </c>
      <c r="N6" s="445">
        <v>20</v>
      </c>
      <c r="O6" s="445" t="s">
        <v>4</v>
      </c>
      <c r="P6" s="445">
        <v>20</v>
      </c>
      <c r="Q6" s="1039" t="s">
        <v>2298</v>
      </c>
      <c r="R6" s="503" t="s">
        <v>2758</v>
      </c>
      <c r="S6" s="445" t="s">
        <v>1579</v>
      </c>
    </row>
    <row r="7" spans="1:20" s="451" customFormat="1" ht="30.1" customHeight="1" x14ac:dyDescent="0.25">
      <c r="A7" s="441">
        <v>4</v>
      </c>
      <c r="B7" s="764" t="s">
        <v>1475</v>
      </c>
      <c r="C7" s="764" t="s">
        <v>1476</v>
      </c>
      <c r="D7" s="445" t="s">
        <v>348</v>
      </c>
      <c r="E7" s="446">
        <v>8325193</v>
      </c>
      <c r="F7" s="445" t="s">
        <v>362</v>
      </c>
      <c r="G7" s="445" t="s">
        <v>486</v>
      </c>
      <c r="H7" s="445" t="s">
        <v>14</v>
      </c>
      <c r="I7" s="449" t="s">
        <v>1948</v>
      </c>
      <c r="J7" s="453">
        <v>3114272845</v>
      </c>
      <c r="K7" s="443">
        <v>43565</v>
      </c>
      <c r="L7" s="545">
        <v>43656</v>
      </c>
      <c r="M7" s="545">
        <v>43686</v>
      </c>
      <c r="N7" s="445">
        <v>20</v>
      </c>
      <c r="O7" s="445" t="s">
        <v>4</v>
      </c>
      <c r="P7" s="445">
        <v>20</v>
      </c>
      <c r="Q7" s="780" t="s">
        <v>2310</v>
      </c>
      <c r="R7" s="1026" t="s">
        <v>2758</v>
      </c>
      <c r="S7" s="450" t="s">
        <v>1579</v>
      </c>
    </row>
    <row r="8" spans="1:20" s="1" customFormat="1" ht="30.1" customHeight="1" x14ac:dyDescent="0.25">
      <c r="A8" s="1248">
        <v>5</v>
      </c>
      <c r="B8" s="1251" t="s">
        <v>1513</v>
      </c>
      <c r="C8" s="1251" t="s">
        <v>1514</v>
      </c>
      <c r="D8" s="1236" t="s">
        <v>348</v>
      </c>
      <c r="E8" s="1256">
        <v>11035361</v>
      </c>
      <c r="F8" s="450" t="s">
        <v>362</v>
      </c>
      <c r="G8" s="1236" t="s">
        <v>481</v>
      </c>
      <c r="H8" s="450" t="s">
        <v>1439</v>
      </c>
      <c r="I8" s="1259" t="s">
        <v>1949</v>
      </c>
      <c r="J8" s="1263">
        <v>3145598195</v>
      </c>
      <c r="K8" s="1245">
        <v>43565</v>
      </c>
      <c r="L8" s="1240">
        <v>43656</v>
      </c>
      <c r="M8" s="1240">
        <v>43686</v>
      </c>
      <c r="N8" s="450">
        <v>20</v>
      </c>
      <c r="O8" s="450" t="s">
        <v>4</v>
      </c>
      <c r="P8" s="450">
        <v>20</v>
      </c>
      <c r="Q8" s="1039" t="s">
        <v>10</v>
      </c>
      <c r="R8" s="1242" t="s">
        <v>2756</v>
      </c>
      <c r="S8" s="1238" t="s">
        <v>1579</v>
      </c>
    </row>
    <row r="9" spans="1:20" s="1" customFormat="1" ht="33.299999999999997" customHeight="1" x14ac:dyDescent="0.25">
      <c r="A9" s="1250"/>
      <c r="B9" s="1253"/>
      <c r="C9" s="1253"/>
      <c r="D9" s="1237"/>
      <c r="E9" s="1258"/>
      <c r="F9" s="450" t="s">
        <v>362</v>
      </c>
      <c r="G9" s="1237"/>
      <c r="H9" s="450" t="s">
        <v>1439</v>
      </c>
      <c r="I9" s="1261"/>
      <c r="J9" s="1264"/>
      <c r="K9" s="1247"/>
      <c r="L9" s="1241"/>
      <c r="M9" s="1241"/>
      <c r="N9" s="450">
        <v>12</v>
      </c>
      <c r="O9" s="450" t="s">
        <v>215</v>
      </c>
      <c r="P9" s="450">
        <v>12</v>
      </c>
      <c r="Q9" s="1039" t="s">
        <v>44</v>
      </c>
      <c r="R9" s="1243"/>
      <c r="S9" s="1239"/>
    </row>
    <row r="10" spans="1:20" s="1" customFormat="1" ht="30.1" customHeight="1" x14ac:dyDescent="0.25">
      <c r="A10" s="441">
        <v>6</v>
      </c>
      <c r="B10" s="764" t="s">
        <v>1510</v>
      </c>
      <c r="C10" s="764" t="s">
        <v>1511</v>
      </c>
      <c r="D10" s="483" t="s">
        <v>348</v>
      </c>
      <c r="E10" s="446">
        <v>25764524</v>
      </c>
      <c r="F10" s="483" t="s">
        <v>362</v>
      </c>
      <c r="G10" s="483" t="s">
        <v>1512</v>
      </c>
      <c r="H10" s="483" t="s">
        <v>1439</v>
      </c>
      <c r="I10" s="449" t="s">
        <v>2029</v>
      </c>
      <c r="J10" s="453">
        <v>3107283625</v>
      </c>
      <c r="K10" s="443">
        <v>43565</v>
      </c>
      <c r="L10" s="513">
        <v>43656</v>
      </c>
      <c r="M10" s="513">
        <v>43686</v>
      </c>
      <c r="N10" s="453">
        <v>20</v>
      </c>
      <c r="O10" s="453" t="s">
        <v>4</v>
      </c>
      <c r="P10" s="483">
        <v>20</v>
      </c>
      <c r="Q10" s="1039" t="s">
        <v>707</v>
      </c>
      <c r="R10" s="1026" t="s">
        <v>2758</v>
      </c>
      <c r="S10" s="483"/>
      <c r="T10" s="447"/>
    </row>
    <row r="11" spans="1:20" ht="30.1" customHeight="1" x14ac:dyDescent="0.25">
      <c r="A11" s="441">
        <v>7</v>
      </c>
      <c r="B11" s="765" t="s">
        <v>1743</v>
      </c>
      <c r="C11" s="765" t="s">
        <v>2064</v>
      </c>
      <c r="D11" s="440" t="s">
        <v>348</v>
      </c>
      <c r="E11" s="442">
        <v>6881520</v>
      </c>
      <c r="F11" s="495" t="s">
        <v>362</v>
      </c>
      <c r="G11" s="495" t="s">
        <v>1744</v>
      </c>
      <c r="H11" s="495" t="s">
        <v>14</v>
      </c>
      <c r="I11" s="449" t="s">
        <v>2069</v>
      </c>
      <c r="J11" s="440">
        <v>3107406040</v>
      </c>
      <c r="K11" s="443">
        <v>43583</v>
      </c>
      <c r="L11" s="506">
        <v>43674</v>
      </c>
      <c r="M11" s="506">
        <v>43704</v>
      </c>
      <c r="N11" s="440">
        <v>20</v>
      </c>
      <c r="O11" s="440" t="s">
        <v>4</v>
      </c>
      <c r="P11" s="440">
        <v>20</v>
      </c>
      <c r="Q11" s="765" t="s">
        <v>2313</v>
      </c>
      <c r="R11" s="1026" t="s">
        <v>2758</v>
      </c>
      <c r="S11" s="444"/>
    </row>
    <row r="12" spans="1:20" s="1" customFormat="1" ht="36" customHeight="1" x14ac:dyDescent="0.25">
      <c r="A12" s="504">
        <v>8</v>
      </c>
      <c r="B12" s="764" t="s">
        <v>1753</v>
      </c>
      <c r="C12" s="764" t="s">
        <v>1754</v>
      </c>
      <c r="D12" s="503" t="s">
        <v>348</v>
      </c>
      <c r="E12" s="505">
        <v>25839798</v>
      </c>
      <c r="F12" s="503" t="s">
        <v>362</v>
      </c>
      <c r="G12" s="503" t="s">
        <v>1755</v>
      </c>
      <c r="H12" s="503" t="s">
        <v>9</v>
      </c>
      <c r="I12" s="449" t="s">
        <v>2071</v>
      </c>
      <c r="J12" s="512" t="s">
        <v>2072</v>
      </c>
      <c r="K12" s="443">
        <v>43584</v>
      </c>
      <c r="L12" s="545">
        <v>43675</v>
      </c>
      <c r="M12" s="545">
        <v>43705</v>
      </c>
      <c r="N12" s="503">
        <v>20</v>
      </c>
      <c r="O12" s="503" t="s">
        <v>4</v>
      </c>
      <c r="P12" s="503">
        <v>20</v>
      </c>
      <c r="Q12" s="1039" t="s">
        <v>832</v>
      </c>
      <c r="R12" s="1026" t="s">
        <v>2758</v>
      </c>
      <c r="S12" s="503"/>
    </row>
    <row r="13" spans="1:20" ht="30.1" customHeight="1" x14ac:dyDescent="0.25">
      <c r="A13" s="1248">
        <v>9</v>
      </c>
      <c r="B13" s="1251" t="s">
        <v>2263</v>
      </c>
      <c r="C13" s="1251" t="s">
        <v>1658</v>
      </c>
      <c r="D13" s="1236" t="s">
        <v>355</v>
      </c>
      <c r="E13" s="1256">
        <v>1068748202</v>
      </c>
      <c r="F13" s="508" t="s">
        <v>362</v>
      </c>
      <c r="G13" s="1236" t="s">
        <v>676</v>
      </c>
      <c r="H13" s="508" t="s">
        <v>1439</v>
      </c>
      <c r="I13" s="1259" t="s">
        <v>2085</v>
      </c>
      <c r="J13" s="1242">
        <v>3215510527</v>
      </c>
      <c r="K13" s="1245">
        <v>43573</v>
      </c>
      <c r="L13" s="1240">
        <v>43664</v>
      </c>
      <c r="M13" s="1240">
        <v>43694</v>
      </c>
      <c r="N13" s="508">
        <v>20</v>
      </c>
      <c r="O13" s="508" t="s">
        <v>4</v>
      </c>
      <c r="P13" s="507">
        <v>20</v>
      </c>
      <c r="Q13" s="671" t="s">
        <v>10</v>
      </c>
      <c r="R13" s="1236" t="s">
        <v>2775</v>
      </c>
      <c r="S13" s="1238">
        <v>43577</v>
      </c>
    </row>
    <row r="14" spans="1:20" ht="30.1" customHeight="1" x14ac:dyDescent="0.25">
      <c r="A14" s="1249"/>
      <c r="B14" s="1252"/>
      <c r="C14" s="1252"/>
      <c r="D14" s="1255"/>
      <c r="E14" s="1257"/>
      <c r="F14" s="508" t="s">
        <v>362</v>
      </c>
      <c r="G14" s="1255"/>
      <c r="H14" s="508" t="s">
        <v>1439</v>
      </c>
      <c r="I14" s="1260"/>
      <c r="J14" s="1244"/>
      <c r="K14" s="1246"/>
      <c r="L14" s="1254"/>
      <c r="M14" s="1254"/>
      <c r="N14" s="508">
        <v>12</v>
      </c>
      <c r="O14" s="508" t="s">
        <v>215</v>
      </c>
      <c r="P14" s="507">
        <v>12</v>
      </c>
      <c r="Q14" s="671" t="s">
        <v>649</v>
      </c>
      <c r="R14" s="1255"/>
      <c r="S14" s="1262"/>
    </row>
    <row r="15" spans="1:20" ht="30.1" customHeight="1" x14ac:dyDescent="0.25">
      <c r="A15" s="1250"/>
      <c r="B15" s="1253"/>
      <c r="C15" s="1253"/>
      <c r="D15" s="1237"/>
      <c r="E15" s="1258"/>
      <c r="F15" s="508" t="s">
        <v>362</v>
      </c>
      <c r="G15" s="1237"/>
      <c r="H15" s="508" t="s">
        <v>1439</v>
      </c>
      <c r="I15" s="1261"/>
      <c r="J15" s="1243"/>
      <c r="K15" s="1247"/>
      <c r="L15" s="1241"/>
      <c r="M15" s="1241"/>
      <c r="N15" s="508">
        <v>12</v>
      </c>
      <c r="O15" s="508" t="s">
        <v>8</v>
      </c>
      <c r="P15" s="507">
        <v>12</v>
      </c>
      <c r="Q15" s="671" t="s">
        <v>381</v>
      </c>
      <c r="R15" s="1237"/>
      <c r="S15" s="1239"/>
    </row>
    <row r="16" spans="1:20" s="448" customFormat="1" ht="42.8" customHeight="1" x14ac:dyDescent="0.25">
      <c r="A16" s="514">
        <v>10</v>
      </c>
      <c r="B16" s="723" t="s">
        <v>2060</v>
      </c>
      <c r="C16" s="723" t="s">
        <v>2061</v>
      </c>
      <c r="D16" s="515" t="s">
        <v>348</v>
      </c>
      <c r="E16" s="516">
        <v>41768690</v>
      </c>
      <c r="F16" s="515" t="s">
        <v>362</v>
      </c>
      <c r="G16" s="515" t="s">
        <v>2062</v>
      </c>
      <c r="H16" s="515" t="s">
        <v>14</v>
      </c>
      <c r="I16" s="515" t="s">
        <v>2063</v>
      </c>
      <c r="J16" s="515">
        <v>3234346608</v>
      </c>
      <c r="K16" s="447">
        <v>43608</v>
      </c>
      <c r="L16" s="513">
        <v>43608</v>
      </c>
      <c r="M16" s="513">
        <v>43638</v>
      </c>
      <c r="N16" s="515">
        <v>20</v>
      </c>
      <c r="O16" s="515" t="s">
        <v>5</v>
      </c>
      <c r="P16" s="515">
        <v>20</v>
      </c>
      <c r="Q16" s="671" t="s">
        <v>2313</v>
      </c>
      <c r="R16" s="515" t="s">
        <v>2086</v>
      </c>
      <c r="S16" s="515"/>
    </row>
    <row r="17" spans="1:19" s="537" customFormat="1" ht="39.4" customHeight="1" x14ac:dyDescent="0.25">
      <c r="A17" s="519">
        <v>11</v>
      </c>
      <c r="B17" s="764" t="s">
        <v>1501</v>
      </c>
      <c r="C17" s="764" t="s">
        <v>1502</v>
      </c>
      <c r="D17" s="520" t="s">
        <v>348</v>
      </c>
      <c r="E17" s="521">
        <v>11035192</v>
      </c>
      <c r="F17" s="520" t="s">
        <v>362</v>
      </c>
      <c r="G17" s="520" t="s">
        <v>1503</v>
      </c>
      <c r="H17" s="520" t="s">
        <v>1439</v>
      </c>
      <c r="I17" s="449" t="s">
        <v>2092</v>
      </c>
      <c r="J17" s="518" t="s">
        <v>2093</v>
      </c>
      <c r="K17" s="443">
        <v>43565</v>
      </c>
      <c r="L17" s="517">
        <v>43656</v>
      </c>
      <c r="M17" s="517">
        <v>43686</v>
      </c>
      <c r="N17" s="518">
        <v>20</v>
      </c>
      <c r="O17" s="518" t="s">
        <v>4</v>
      </c>
      <c r="P17" s="518">
        <v>20</v>
      </c>
      <c r="Q17" s="671" t="s">
        <v>10</v>
      </c>
      <c r="R17" s="1026" t="s">
        <v>2758</v>
      </c>
      <c r="S17" s="447">
        <v>43565</v>
      </c>
    </row>
    <row r="18" spans="1:19" s="537" customFormat="1" ht="42.8" customHeight="1" x14ac:dyDescent="0.25">
      <c r="A18" s="614">
        <v>12</v>
      </c>
      <c r="B18" s="765" t="s">
        <v>379</v>
      </c>
      <c r="C18" s="765" t="s">
        <v>378</v>
      </c>
      <c r="D18" s="613" t="s">
        <v>348</v>
      </c>
      <c r="E18" s="442">
        <v>25908304</v>
      </c>
      <c r="F18" s="613" t="s">
        <v>362</v>
      </c>
      <c r="G18" s="613" t="s">
        <v>494</v>
      </c>
      <c r="H18" s="613" t="s">
        <v>110</v>
      </c>
      <c r="I18" s="613" t="s">
        <v>1204</v>
      </c>
      <c r="J18" s="611" t="s">
        <v>1205</v>
      </c>
      <c r="K18" s="443">
        <v>43662</v>
      </c>
      <c r="L18" s="612">
        <v>43658</v>
      </c>
      <c r="M18" s="612">
        <v>43688</v>
      </c>
      <c r="N18" s="611">
        <v>16</v>
      </c>
      <c r="O18" s="443" t="s">
        <v>4</v>
      </c>
      <c r="P18" s="613"/>
      <c r="Q18" s="672" t="s">
        <v>111</v>
      </c>
      <c r="R18" s="618" t="s">
        <v>2006</v>
      </c>
      <c r="S18" s="444"/>
    </row>
    <row r="19" spans="1:19" s="537" customFormat="1" ht="42.8" customHeight="1" x14ac:dyDescent="0.25">
      <c r="A19" s="538">
        <v>13</v>
      </c>
      <c r="B19" s="777" t="s">
        <v>1496</v>
      </c>
      <c r="C19" s="777" t="s">
        <v>1497</v>
      </c>
      <c r="D19" s="539" t="s">
        <v>348</v>
      </c>
      <c r="E19" s="540">
        <v>25954450</v>
      </c>
      <c r="F19" s="539" t="s">
        <v>362</v>
      </c>
      <c r="G19" s="539" t="s">
        <v>1498</v>
      </c>
      <c r="H19" s="539" t="s">
        <v>1439</v>
      </c>
      <c r="I19" s="541" t="s">
        <v>2094</v>
      </c>
      <c r="J19" s="518" t="s">
        <v>2095</v>
      </c>
      <c r="K19" s="443">
        <v>43565</v>
      </c>
      <c r="L19" s="517">
        <v>43656</v>
      </c>
      <c r="M19" s="517">
        <v>43686</v>
      </c>
      <c r="N19" s="518">
        <v>20</v>
      </c>
      <c r="O19" s="518" t="s">
        <v>4</v>
      </c>
      <c r="P19" s="518">
        <v>20</v>
      </c>
      <c r="Q19" s="539" t="s">
        <v>10</v>
      </c>
      <c r="R19" s="1052" t="s">
        <v>2758</v>
      </c>
      <c r="S19" s="542">
        <v>43566</v>
      </c>
    </row>
    <row r="20" spans="1:19" s="1" customFormat="1" ht="30.1" customHeight="1" x14ac:dyDescent="0.25">
      <c r="A20" s="1271"/>
      <c r="B20" s="1273" t="s">
        <v>354</v>
      </c>
      <c r="C20" s="1251" t="s">
        <v>1354</v>
      </c>
      <c r="D20" s="1251" t="s">
        <v>348</v>
      </c>
      <c r="E20" s="1279">
        <v>1003408012</v>
      </c>
      <c r="F20" s="764" t="s">
        <v>362</v>
      </c>
      <c r="G20" s="1251" t="s">
        <v>1355</v>
      </c>
      <c r="H20" s="764" t="s">
        <v>14</v>
      </c>
      <c r="I20" s="1277" t="s">
        <v>399</v>
      </c>
      <c r="J20" s="1275"/>
      <c r="K20" s="1275"/>
      <c r="L20" s="1275">
        <v>1</v>
      </c>
      <c r="M20" s="1275">
        <v>30</v>
      </c>
      <c r="N20" s="764">
        <v>20</v>
      </c>
      <c r="O20" s="764" t="s">
        <v>4</v>
      </c>
      <c r="P20" s="764"/>
      <c r="Q20" s="764" t="s">
        <v>2298</v>
      </c>
      <c r="R20" s="1251" t="s">
        <v>2103</v>
      </c>
      <c r="S20" s="780"/>
    </row>
    <row r="21" spans="1:19" s="1" customFormat="1" ht="30.1" customHeight="1" x14ac:dyDescent="0.25">
      <c r="A21" s="1272"/>
      <c r="B21" s="1274"/>
      <c r="C21" s="1253"/>
      <c r="D21" s="1253"/>
      <c r="E21" s="1280"/>
      <c r="F21" s="764" t="s">
        <v>362</v>
      </c>
      <c r="G21" s="1253"/>
      <c r="H21" s="764" t="s">
        <v>14</v>
      </c>
      <c r="I21" s="1278"/>
      <c r="J21" s="1276"/>
      <c r="K21" s="1276"/>
      <c r="L21" s="1276"/>
      <c r="M21" s="1276"/>
      <c r="N21" s="764">
        <v>8</v>
      </c>
      <c r="O21" s="764" t="s">
        <v>8</v>
      </c>
      <c r="P21" s="764"/>
      <c r="Q21" s="774" t="s">
        <v>2299</v>
      </c>
      <c r="R21" s="1253"/>
      <c r="S21" s="780"/>
    </row>
    <row r="22" spans="1:19" ht="30.1" customHeight="1" x14ac:dyDescent="0.25">
      <c r="A22" s="519"/>
      <c r="B22" s="518"/>
      <c r="C22" s="518"/>
      <c r="D22" s="518"/>
      <c r="E22" s="442"/>
      <c r="F22" s="518"/>
      <c r="G22" s="518"/>
      <c r="H22" s="518"/>
      <c r="I22" s="518"/>
      <c r="J22" s="518"/>
      <c r="K22" s="443"/>
      <c r="L22" s="452"/>
      <c r="M22" s="452"/>
      <c r="N22" s="518"/>
      <c r="O22" s="518"/>
      <c r="P22" s="518"/>
      <c r="Q22" s="672"/>
      <c r="R22" s="518"/>
      <c r="S22" s="444"/>
    </row>
    <row r="23" spans="1:19" ht="30.1" customHeight="1" x14ac:dyDescent="0.25">
      <c r="A23" s="519"/>
      <c r="B23" s="518"/>
      <c r="C23" s="518"/>
      <c r="D23" s="518"/>
      <c r="E23" s="442"/>
      <c r="F23" s="518"/>
      <c r="G23" s="518"/>
      <c r="H23" s="518"/>
      <c r="I23" s="518"/>
      <c r="J23" s="518"/>
      <c r="K23" s="443"/>
      <c r="L23" s="452"/>
      <c r="M23" s="452"/>
      <c r="N23" s="518"/>
      <c r="O23" s="518"/>
      <c r="P23" s="518"/>
      <c r="Q23" s="672"/>
      <c r="R23" s="518"/>
      <c r="S23" s="444"/>
    </row>
    <row r="24" spans="1:19" ht="30.1" customHeight="1" x14ac:dyDescent="0.25">
      <c r="A24" s="519"/>
      <c r="B24" s="518"/>
      <c r="C24" s="518"/>
      <c r="D24" s="518"/>
      <c r="E24" s="442"/>
      <c r="F24" s="518"/>
      <c r="G24" s="518"/>
      <c r="H24" s="518"/>
      <c r="I24" s="518"/>
      <c r="J24" s="518"/>
      <c r="K24" s="443"/>
      <c r="L24" s="452"/>
      <c r="M24" s="452"/>
      <c r="N24" s="518"/>
      <c r="O24" s="518"/>
      <c r="P24" s="518"/>
      <c r="Q24" s="672"/>
      <c r="R24" s="518"/>
      <c r="S24" s="444"/>
    </row>
    <row r="25" spans="1:19" ht="30.1" customHeight="1" x14ac:dyDescent="0.25">
      <c r="A25" s="519"/>
      <c r="B25" s="518"/>
      <c r="C25" s="518"/>
      <c r="D25" s="518"/>
      <c r="E25" s="442"/>
      <c r="F25" s="518"/>
      <c r="G25" s="518"/>
      <c r="H25" s="518"/>
      <c r="I25" s="518"/>
      <c r="J25" s="518"/>
      <c r="K25" s="443"/>
      <c r="L25" s="452"/>
      <c r="M25" s="452"/>
      <c r="N25" s="518"/>
      <c r="O25" s="518"/>
      <c r="P25" s="518"/>
      <c r="Q25" s="672"/>
      <c r="R25" s="518"/>
      <c r="S25" s="444"/>
    </row>
    <row r="26" spans="1:19" ht="30.1" customHeight="1" x14ac:dyDescent="0.25">
      <c r="A26" s="519"/>
      <c r="B26" s="518"/>
      <c r="C26" s="518"/>
      <c r="D26" s="518"/>
      <c r="E26" s="442"/>
      <c r="F26" s="518"/>
      <c r="G26" s="518"/>
      <c r="H26" s="518"/>
      <c r="I26" s="518"/>
      <c r="J26" s="518"/>
      <c r="K26" s="443"/>
      <c r="L26" s="452"/>
      <c r="M26" s="452"/>
      <c r="N26" s="518"/>
      <c r="O26" s="518"/>
      <c r="P26" s="518"/>
      <c r="Q26" s="672"/>
      <c r="R26" s="518"/>
      <c r="S26" s="444"/>
    </row>
    <row r="27" spans="1:19" ht="30.1" customHeight="1" x14ac:dyDescent="0.25">
      <c r="A27" s="519"/>
      <c r="B27" s="518"/>
      <c r="C27" s="518"/>
      <c r="D27" s="518"/>
      <c r="E27" s="442"/>
      <c r="F27" s="518"/>
      <c r="G27" s="518"/>
      <c r="H27" s="518"/>
      <c r="I27" s="518"/>
      <c r="J27" s="518"/>
      <c r="K27" s="443"/>
      <c r="L27" s="452"/>
      <c r="M27" s="452"/>
      <c r="N27" s="518"/>
      <c r="O27" s="518"/>
      <c r="P27" s="518"/>
      <c r="Q27" s="672"/>
      <c r="R27" s="518"/>
      <c r="S27" s="444"/>
    </row>
  </sheetData>
  <autoFilter ref="B1:T21"/>
  <mergeCells count="64">
    <mergeCell ref="R20:R21"/>
    <mergeCell ref="A20:A21"/>
    <mergeCell ref="B20:B21"/>
    <mergeCell ref="C20:C21"/>
    <mergeCell ref="M20:M21"/>
    <mergeCell ref="L20:L21"/>
    <mergeCell ref="J20:J21"/>
    <mergeCell ref="G20:G21"/>
    <mergeCell ref="D20:D21"/>
    <mergeCell ref="K20:K21"/>
    <mergeCell ref="I20:I21"/>
    <mergeCell ref="E20:E21"/>
    <mergeCell ref="L2:L3"/>
    <mergeCell ref="M2:M3"/>
    <mergeCell ref="S2:S3"/>
    <mergeCell ref="G2:G3"/>
    <mergeCell ref="I2:I3"/>
    <mergeCell ref="J2:J3"/>
    <mergeCell ref="K2:K3"/>
    <mergeCell ref="R2:R3"/>
    <mergeCell ref="G4:G5"/>
    <mergeCell ref="I4:I5"/>
    <mergeCell ref="A2:A3"/>
    <mergeCell ref="B2:B3"/>
    <mergeCell ref="C2:C3"/>
    <mergeCell ref="D2:D3"/>
    <mergeCell ref="E2:E3"/>
    <mergeCell ref="B4:B5"/>
    <mergeCell ref="A4:A5"/>
    <mergeCell ref="C4:C5"/>
    <mergeCell ref="D4:D5"/>
    <mergeCell ref="E4:E5"/>
    <mergeCell ref="G8:G9"/>
    <mergeCell ref="I8:I9"/>
    <mergeCell ref="J8:J9"/>
    <mergeCell ref="K8:K9"/>
    <mergeCell ref="A8:A9"/>
    <mergeCell ref="B8:B9"/>
    <mergeCell ref="C8:C9"/>
    <mergeCell ref="D8:D9"/>
    <mergeCell ref="E8:E9"/>
    <mergeCell ref="S8:S9"/>
    <mergeCell ref="R8:R9"/>
    <mergeCell ref="L8:L9"/>
    <mergeCell ref="M8:M9"/>
    <mergeCell ref="R13:R15"/>
    <mergeCell ref="S13:S15"/>
    <mergeCell ref="M13:M15"/>
    <mergeCell ref="J13:J15"/>
    <mergeCell ref="K13:K15"/>
    <mergeCell ref="A13:A15"/>
    <mergeCell ref="B13:B15"/>
    <mergeCell ref="L13:L15"/>
    <mergeCell ref="C13:C15"/>
    <mergeCell ref="D13:D15"/>
    <mergeCell ref="E13:E15"/>
    <mergeCell ref="G13:G15"/>
    <mergeCell ref="I13:I15"/>
    <mergeCell ref="S4:S5"/>
    <mergeCell ref="J4:J5"/>
    <mergeCell ref="K4:K5"/>
    <mergeCell ref="L4:L5"/>
    <mergeCell ref="M4:M5"/>
    <mergeCell ref="R4:R5"/>
  </mergeCells>
  <pageMargins left="0.25" right="0.25" top="0.75" bottom="0.75" header="0.3" footer="0.3"/>
  <pageSetup scale="46"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39997558519241921"/>
    <pageSetUpPr fitToPage="1"/>
  </sheetPr>
  <dimension ref="A1:T232"/>
  <sheetViews>
    <sheetView zoomScale="85" zoomScaleNormal="85" workbookViewId="0">
      <pane ySplit="1" topLeftCell="A2" activePane="bottomLeft" state="frozen"/>
      <selection pane="bottomLeft" activeCell="F165" sqref="F165"/>
    </sheetView>
  </sheetViews>
  <sheetFormatPr baseColWidth="10" defaultColWidth="11.375" defaultRowHeight="30.1" customHeight="1" x14ac:dyDescent="0.25"/>
  <cols>
    <col min="1" max="1" width="5" style="5" customWidth="1"/>
    <col min="2" max="2" width="17.625" style="1" customWidth="1"/>
    <col min="3" max="3" width="22.375" style="1" customWidth="1"/>
    <col min="4" max="4" width="4.25" style="1" customWidth="1"/>
    <col min="5" max="5" width="14.875" style="145" customWidth="1"/>
    <col min="6" max="7" width="14.375" style="1" customWidth="1"/>
    <col min="8" max="8" width="14.75" style="316" customWidth="1"/>
    <col min="9" max="9" width="14.75" style="986" customWidth="1"/>
    <col min="10" max="10" width="10.375" style="1020" customWidth="1"/>
    <col min="11" max="11" width="5.875" style="860" customWidth="1"/>
    <col min="12" max="12" width="5.375" style="860" customWidth="1"/>
    <col min="13" max="13" width="7.375" style="1004" customWidth="1"/>
    <col min="14" max="14" width="7.375" style="1" customWidth="1"/>
    <col min="15" max="15" width="20.375" style="674" customWidth="1"/>
    <col min="16" max="16" width="45.125" style="1" customWidth="1"/>
    <col min="17" max="17" width="23.75" style="333" customWidth="1"/>
    <col min="18" max="16384" width="11.375" style="1"/>
  </cols>
  <sheetData>
    <row r="1" spans="1:17" ht="30.1" customHeight="1" x14ac:dyDescent="0.25">
      <c r="A1" s="46" t="s">
        <v>337</v>
      </c>
      <c r="B1" s="47" t="s">
        <v>338</v>
      </c>
      <c r="C1" s="47" t="s">
        <v>339</v>
      </c>
      <c r="D1" s="47" t="s">
        <v>340</v>
      </c>
      <c r="E1" s="158" t="s">
        <v>341</v>
      </c>
      <c r="F1" s="47" t="s">
        <v>342</v>
      </c>
      <c r="G1" s="845" t="s">
        <v>472</v>
      </c>
      <c r="H1" s="47" t="s">
        <v>12</v>
      </c>
      <c r="I1" s="47" t="s">
        <v>2650</v>
      </c>
      <c r="J1" s="1006" t="s">
        <v>0</v>
      </c>
      <c r="K1" s="982" t="s">
        <v>1</v>
      </c>
      <c r="L1" s="979" t="s">
        <v>2</v>
      </c>
      <c r="M1" s="996" t="s">
        <v>345</v>
      </c>
      <c r="N1" s="47" t="s">
        <v>346</v>
      </c>
      <c r="O1" s="47" t="s">
        <v>389</v>
      </c>
      <c r="P1" s="47" t="s">
        <v>3</v>
      </c>
      <c r="Q1" s="328" t="s">
        <v>834</v>
      </c>
    </row>
    <row r="2" spans="1:17" ht="30.1" customHeight="1" x14ac:dyDescent="0.25">
      <c r="A2" s="1334">
        <v>1</v>
      </c>
      <c r="B2" s="1335" t="s">
        <v>391</v>
      </c>
      <c r="C2" s="1335" t="s">
        <v>392</v>
      </c>
      <c r="D2" s="1302" t="s">
        <v>348</v>
      </c>
      <c r="E2" s="1339">
        <v>26174568</v>
      </c>
      <c r="F2" s="174" t="s">
        <v>353</v>
      </c>
      <c r="G2" s="1337" t="s">
        <v>481</v>
      </c>
      <c r="H2" s="1032" t="s">
        <v>9</v>
      </c>
      <c r="I2" s="1316" t="s">
        <v>2653</v>
      </c>
      <c r="J2" s="1287" t="s">
        <v>2654</v>
      </c>
      <c r="K2" s="1317">
        <v>1</v>
      </c>
      <c r="L2" s="1317">
        <v>30</v>
      </c>
      <c r="M2" s="240">
        <v>12</v>
      </c>
      <c r="N2" s="148" t="s">
        <v>4</v>
      </c>
      <c r="O2" s="669" t="s">
        <v>948</v>
      </c>
      <c r="P2" s="1030"/>
      <c r="Q2" s="325"/>
    </row>
    <row r="3" spans="1:17" ht="30.1" customHeight="1" x14ac:dyDescent="0.25">
      <c r="A3" s="1334"/>
      <c r="B3" s="1335"/>
      <c r="C3" s="1335"/>
      <c r="D3" s="1302"/>
      <c r="E3" s="1339"/>
      <c r="F3" s="174" t="s">
        <v>353</v>
      </c>
      <c r="G3" s="1337"/>
      <c r="H3" s="1032" t="s">
        <v>9</v>
      </c>
      <c r="I3" s="1293"/>
      <c r="J3" s="1291"/>
      <c r="K3" s="1317"/>
      <c r="L3" s="1317"/>
      <c r="M3" s="240">
        <v>12</v>
      </c>
      <c r="N3" s="148" t="s">
        <v>215</v>
      </c>
      <c r="O3" s="668" t="s">
        <v>364</v>
      </c>
      <c r="P3" s="1030"/>
      <c r="Q3" s="325"/>
    </row>
    <row r="4" spans="1:17" ht="30.1" customHeight="1" x14ac:dyDescent="0.25">
      <c r="A4" s="1334"/>
      <c r="B4" s="1335"/>
      <c r="C4" s="1335"/>
      <c r="D4" s="1302"/>
      <c r="E4" s="1339"/>
      <c r="F4" s="174" t="s">
        <v>353</v>
      </c>
      <c r="G4" s="1337"/>
      <c r="H4" s="1032" t="s">
        <v>9</v>
      </c>
      <c r="I4" s="1293"/>
      <c r="J4" s="1288"/>
      <c r="K4" s="1317"/>
      <c r="L4" s="1317"/>
      <c r="M4" s="240">
        <v>12</v>
      </c>
      <c r="N4" s="148" t="s">
        <v>8</v>
      </c>
      <c r="O4" s="669" t="s">
        <v>381</v>
      </c>
      <c r="P4" s="1030"/>
      <c r="Q4" s="325"/>
    </row>
    <row r="5" spans="1:17" ht="30.1" customHeight="1" x14ac:dyDescent="0.25">
      <c r="A5" s="150">
        <v>2</v>
      </c>
      <c r="B5" s="747" t="s">
        <v>393</v>
      </c>
      <c r="C5" s="747" t="s">
        <v>394</v>
      </c>
      <c r="D5" s="151" t="s">
        <v>348</v>
      </c>
      <c r="E5" s="152">
        <v>78301572</v>
      </c>
      <c r="F5" s="174" t="s">
        <v>395</v>
      </c>
      <c r="G5" s="846" t="s">
        <v>501</v>
      </c>
      <c r="H5" s="1032" t="s">
        <v>15</v>
      </c>
      <c r="I5" s="851"/>
      <c r="J5" s="1007" t="s">
        <v>396</v>
      </c>
      <c r="K5" s="978">
        <v>1</v>
      </c>
      <c r="L5" s="978">
        <v>30</v>
      </c>
      <c r="M5" s="240">
        <v>12</v>
      </c>
      <c r="N5" s="148" t="s">
        <v>4</v>
      </c>
      <c r="O5" s="669" t="s">
        <v>16</v>
      </c>
      <c r="P5" s="1032" t="s">
        <v>1931</v>
      </c>
      <c r="Q5" s="53"/>
    </row>
    <row r="6" spans="1:17" ht="33.799999999999997" customHeight="1" x14ac:dyDescent="0.25">
      <c r="A6" s="1334">
        <v>3</v>
      </c>
      <c r="B6" s="1335" t="s">
        <v>397</v>
      </c>
      <c r="C6" s="1335" t="s">
        <v>398</v>
      </c>
      <c r="D6" s="1302" t="s">
        <v>348</v>
      </c>
      <c r="E6" s="1339">
        <v>1067922440</v>
      </c>
      <c r="F6" s="219" t="s">
        <v>362</v>
      </c>
      <c r="G6" s="1337" t="s">
        <v>489</v>
      </c>
      <c r="H6" s="1032" t="s">
        <v>14</v>
      </c>
      <c r="I6" s="1307" t="s">
        <v>2725</v>
      </c>
      <c r="J6" s="1287">
        <v>3106613592</v>
      </c>
      <c r="K6" s="1317">
        <v>8</v>
      </c>
      <c r="L6" s="1317">
        <v>7</v>
      </c>
      <c r="M6" s="997">
        <v>20</v>
      </c>
      <c r="N6" s="48" t="s">
        <v>4</v>
      </c>
      <c r="O6" s="48" t="s">
        <v>2313</v>
      </c>
      <c r="P6" s="1391" t="s">
        <v>2277</v>
      </c>
      <c r="Q6" s="1326"/>
    </row>
    <row r="7" spans="1:17" ht="25.5" customHeight="1" x14ac:dyDescent="0.25">
      <c r="A7" s="1334"/>
      <c r="B7" s="1335"/>
      <c r="C7" s="1335"/>
      <c r="D7" s="1302"/>
      <c r="E7" s="1339"/>
      <c r="F7" s="219" t="s">
        <v>362</v>
      </c>
      <c r="G7" s="1337"/>
      <c r="H7" s="1032" t="s">
        <v>14</v>
      </c>
      <c r="I7" s="1309"/>
      <c r="J7" s="1291"/>
      <c r="K7" s="1318"/>
      <c r="L7" s="1317"/>
      <c r="M7" s="997">
        <v>4</v>
      </c>
      <c r="N7" s="48" t="s">
        <v>8</v>
      </c>
      <c r="O7" s="48" t="s">
        <v>2299</v>
      </c>
      <c r="P7" s="1392"/>
      <c r="Q7" s="1326"/>
    </row>
    <row r="8" spans="1:17" ht="25.5" customHeight="1" x14ac:dyDescent="0.25">
      <c r="A8" s="1334"/>
      <c r="B8" s="1335"/>
      <c r="C8" s="1335"/>
      <c r="D8" s="1302"/>
      <c r="E8" s="1339"/>
      <c r="F8" s="620" t="s">
        <v>362</v>
      </c>
      <c r="G8" s="1337"/>
      <c r="H8" s="1032" t="s">
        <v>14</v>
      </c>
      <c r="I8" s="1316"/>
      <c r="J8" s="1291"/>
      <c r="K8" s="1317"/>
      <c r="L8" s="1317"/>
      <c r="M8" s="997">
        <v>1</v>
      </c>
      <c r="N8" s="48" t="s">
        <v>214</v>
      </c>
      <c r="O8" s="48" t="s">
        <v>209</v>
      </c>
      <c r="P8" s="1392"/>
      <c r="Q8" s="617"/>
    </row>
    <row r="9" spans="1:17" s="2" customFormat="1" ht="30.1" customHeight="1" x14ac:dyDescent="0.25">
      <c r="A9" s="1334"/>
      <c r="B9" s="1335"/>
      <c r="C9" s="1335"/>
      <c r="D9" s="1302"/>
      <c r="E9" s="1339"/>
      <c r="F9" s="219" t="s">
        <v>362</v>
      </c>
      <c r="G9" s="1337"/>
      <c r="H9" s="1032" t="s">
        <v>14</v>
      </c>
      <c r="I9" s="1293"/>
      <c r="J9" s="1288"/>
      <c r="K9" s="1317"/>
      <c r="L9" s="1317"/>
      <c r="M9" s="240">
        <v>12</v>
      </c>
      <c r="N9" s="148" t="s">
        <v>215</v>
      </c>
      <c r="O9" s="669" t="s">
        <v>543</v>
      </c>
      <c r="P9" s="1393"/>
      <c r="Q9" s="53"/>
    </row>
    <row r="10" spans="1:17" s="2" customFormat="1" ht="30.1" customHeight="1" x14ac:dyDescent="0.25">
      <c r="A10" s="1334">
        <v>4</v>
      </c>
      <c r="B10" s="1335" t="s">
        <v>400</v>
      </c>
      <c r="C10" s="1335" t="s">
        <v>401</v>
      </c>
      <c r="D10" s="1302" t="s">
        <v>348</v>
      </c>
      <c r="E10" s="1339">
        <v>1003644606</v>
      </c>
      <c r="F10" s="484" t="s">
        <v>362</v>
      </c>
      <c r="G10" s="1337" t="s">
        <v>484</v>
      </c>
      <c r="H10" s="1032" t="s">
        <v>402</v>
      </c>
      <c r="I10" s="1383"/>
      <c r="J10" s="1294">
        <v>3215976449</v>
      </c>
      <c r="K10" s="1317">
        <v>5</v>
      </c>
      <c r="L10" s="1317">
        <v>4</v>
      </c>
      <c r="M10" s="240">
        <v>16</v>
      </c>
      <c r="N10" s="484" t="s">
        <v>4</v>
      </c>
      <c r="O10" s="669" t="s">
        <v>619</v>
      </c>
      <c r="P10" s="1335" t="s">
        <v>2783</v>
      </c>
      <c r="Q10" s="1367" t="s">
        <v>1872</v>
      </c>
    </row>
    <row r="11" spans="1:17" s="2" customFormat="1" ht="30.1" customHeight="1" x14ac:dyDescent="0.25">
      <c r="A11" s="1334"/>
      <c r="B11" s="1335"/>
      <c r="C11" s="1335"/>
      <c r="D11" s="1302"/>
      <c r="E11" s="1339"/>
      <c r="F11" s="484" t="s">
        <v>362</v>
      </c>
      <c r="G11" s="1337"/>
      <c r="H11" s="1032" t="s">
        <v>402</v>
      </c>
      <c r="I11" s="1383"/>
      <c r="J11" s="1295"/>
      <c r="K11" s="1317"/>
      <c r="L11" s="1317"/>
      <c r="M11" s="240">
        <v>16</v>
      </c>
      <c r="N11" s="484" t="s">
        <v>215</v>
      </c>
      <c r="O11" s="669" t="s">
        <v>2401</v>
      </c>
      <c r="P11" s="1335"/>
      <c r="Q11" s="1367"/>
    </row>
    <row r="12" spans="1:17" s="2" customFormat="1" ht="31.6" customHeight="1" x14ac:dyDescent="0.25">
      <c r="A12" s="1334"/>
      <c r="B12" s="1335"/>
      <c r="C12" s="1335"/>
      <c r="D12" s="1302"/>
      <c r="E12" s="1339"/>
      <c r="F12" s="484" t="s">
        <v>362</v>
      </c>
      <c r="G12" s="1337"/>
      <c r="H12" s="1032" t="s">
        <v>402</v>
      </c>
      <c r="I12" s="1383"/>
      <c r="J12" s="1296"/>
      <c r="K12" s="1317"/>
      <c r="L12" s="1317"/>
      <c r="M12" s="240">
        <v>30</v>
      </c>
      <c r="N12" s="484" t="s">
        <v>5</v>
      </c>
      <c r="O12" s="783" t="s">
        <v>619</v>
      </c>
      <c r="P12" s="1335"/>
      <c r="Q12" s="1367"/>
    </row>
    <row r="13" spans="1:17" ht="18.7" customHeight="1" x14ac:dyDescent="0.25">
      <c r="A13" s="1334">
        <v>5</v>
      </c>
      <c r="B13" s="1335" t="s">
        <v>405</v>
      </c>
      <c r="C13" s="1335" t="s">
        <v>406</v>
      </c>
      <c r="D13" s="1302" t="s">
        <v>348</v>
      </c>
      <c r="E13" s="1336">
        <v>1067938627</v>
      </c>
      <c r="F13" s="219" t="s">
        <v>362</v>
      </c>
      <c r="G13" s="1337" t="s">
        <v>507</v>
      </c>
      <c r="H13" s="1032" t="s">
        <v>14</v>
      </c>
      <c r="I13" s="1384" t="s">
        <v>2725</v>
      </c>
      <c r="J13" s="1299"/>
      <c r="K13" s="1317">
        <v>12</v>
      </c>
      <c r="L13" s="1317">
        <v>11</v>
      </c>
      <c r="M13" s="240">
        <v>60</v>
      </c>
      <c r="N13" s="148" t="s">
        <v>5</v>
      </c>
      <c r="O13" s="146" t="s">
        <v>2314</v>
      </c>
      <c r="P13" s="1319" t="s">
        <v>2785</v>
      </c>
      <c r="Q13" s="53"/>
    </row>
    <row r="14" spans="1:17" ht="18.7" customHeight="1" x14ac:dyDescent="0.25">
      <c r="A14" s="1334"/>
      <c r="B14" s="1335"/>
      <c r="C14" s="1335"/>
      <c r="D14" s="1302"/>
      <c r="E14" s="1336"/>
      <c r="F14" s="219" t="s">
        <v>362</v>
      </c>
      <c r="G14" s="1337"/>
      <c r="H14" s="1032" t="s">
        <v>14</v>
      </c>
      <c r="I14" s="1385"/>
      <c r="J14" s="1300"/>
      <c r="K14" s="1317"/>
      <c r="L14" s="1317"/>
      <c r="M14" s="240">
        <v>20</v>
      </c>
      <c r="N14" s="148" t="s">
        <v>4</v>
      </c>
      <c r="O14" s="146" t="s">
        <v>2298</v>
      </c>
      <c r="P14" s="1327"/>
      <c r="Q14" s="1326"/>
    </row>
    <row r="15" spans="1:17" ht="18" customHeight="1" x14ac:dyDescent="0.25">
      <c r="A15" s="1334"/>
      <c r="B15" s="1335"/>
      <c r="C15" s="1335"/>
      <c r="D15" s="1302"/>
      <c r="E15" s="1336"/>
      <c r="F15" s="219" t="s">
        <v>362</v>
      </c>
      <c r="G15" s="1337"/>
      <c r="H15" s="1032" t="s">
        <v>14</v>
      </c>
      <c r="I15" s="1386"/>
      <c r="J15" s="1300"/>
      <c r="K15" s="1318"/>
      <c r="L15" s="1317"/>
      <c r="M15" s="240">
        <v>4</v>
      </c>
      <c r="N15" s="148" t="s">
        <v>8</v>
      </c>
      <c r="O15" s="146" t="s">
        <v>2299</v>
      </c>
      <c r="P15" s="1327"/>
      <c r="Q15" s="1326"/>
    </row>
    <row r="16" spans="1:17" ht="16.5" customHeight="1" x14ac:dyDescent="0.25">
      <c r="A16" s="1334"/>
      <c r="B16" s="1335"/>
      <c r="C16" s="1335"/>
      <c r="D16" s="1302"/>
      <c r="E16" s="1336"/>
      <c r="F16" s="219" t="s">
        <v>362</v>
      </c>
      <c r="G16" s="1337"/>
      <c r="H16" s="1032" t="s">
        <v>14</v>
      </c>
      <c r="I16" s="1387"/>
      <c r="J16" s="1300"/>
      <c r="K16" s="1317"/>
      <c r="L16" s="1317"/>
      <c r="M16" s="240">
        <v>1</v>
      </c>
      <c r="N16" s="148" t="s">
        <v>214</v>
      </c>
      <c r="O16" s="146" t="s">
        <v>209</v>
      </c>
      <c r="P16" s="1327"/>
      <c r="Q16" s="53"/>
    </row>
    <row r="17" spans="1:17" ht="20.25" customHeight="1" x14ac:dyDescent="0.25">
      <c r="A17" s="1334"/>
      <c r="B17" s="1335"/>
      <c r="C17" s="1335"/>
      <c r="D17" s="1302"/>
      <c r="E17" s="1336"/>
      <c r="F17" s="219" t="s">
        <v>362</v>
      </c>
      <c r="G17" s="1337"/>
      <c r="H17" s="1032" t="s">
        <v>14</v>
      </c>
      <c r="I17" s="1384"/>
      <c r="J17" s="1301"/>
      <c r="K17" s="1317"/>
      <c r="L17" s="1317"/>
      <c r="M17" s="240">
        <v>4</v>
      </c>
      <c r="N17" s="148" t="s">
        <v>215</v>
      </c>
      <c r="O17" s="146" t="s">
        <v>996</v>
      </c>
      <c r="P17" s="1320"/>
      <c r="Q17" s="53"/>
    </row>
    <row r="18" spans="1:17" ht="22.6" customHeight="1" x14ac:dyDescent="0.25">
      <c r="A18" s="1334">
        <v>6</v>
      </c>
      <c r="B18" s="1335" t="s">
        <v>407</v>
      </c>
      <c r="C18" s="1335" t="s">
        <v>408</v>
      </c>
      <c r="D18" s="1302" t="s">
        <v>348</v>
      </c>
      <c r="E18" s="1339">
        <v>1003004997</v>
      </c>
      <c r="F18" s="219" t="s">
        <v>362</v>
      </c>
      <c r="G18" s="1337" t="s">
        <v>489</v>
      </c>
      <c r="H18" s="1032" t="s">
        <v>14</v>
      </c>
      <c r="I18" s="1384" t="s">
        <v>2725</v>
      </c>
      <c r="J18" s="1299"/>
      <c r="K18" s="1317">
        <v>4</v>
      </c>
      <c r="L18" s="1317">
        <v>3</v>
      </c>
      <c r="M18" s="240">
        <v>1</v>
      </c>
      <c r="N18" s="148" t="s">
        <v>214</v>
      </c>
      <c r="O18" s="146" t="s">
        <v>209</v>
      </c>
      <c r="P18" s="1319" t="s">
        <v>2776</v>
      </c>
      <c r="Q18" s="53"/>
    </row>
    <row r="19" spans="1:17" ht="21.1" customHeight="1" x14ac:dyDescent="0.25">
      <c r="A19" s="1334"/>
      <c r="B19" s="1335"/>
      <c r="C19" s="1335"/>
      <c r="D19" s="1302"/>
      <c r="E19" s="1339"/>
      <c r="F19" s="219" t="s">
        <v>362</v>
      </c>
      <c r="G19" s="1337"/>
      <c r="H19" s="1032" t="s">
        <v>14</v>
      </c>
      <c r="I19" s="1385"/>
      <c r="J19" s="1300"/>
      <c r="K19" s="1317"/>
      <c r="L19" s="1317"/>
      <c r="M19" s="240">
        <v>15</v>
      </c>
      <c r="N19" s="148" t="s">
        <v>5</v>
      </c>
      <c r="O19" s="146" t="s">
        <v>2313</v>
      </c>
      <c r="P19" s="1327"/>
      <c r="Q19" s="53"/>
    </row>
    <row r="20" spans="1:17" ht="21.75" customHeight="1" x14ac:dyDescent="0.25">
      <c r="A20" s="1334"/>
      <c r="B20" s="1335"/>
      <c r="C20" s="1335"/>
      <c r="D20" s="1302"/>
      <c r="E20" s="1339"/>
      <c r="F20" s="219" t="s">
        <v>362</v>
      </c>
      <c r="G20" s="1337"/>
      <c r="H20" s="1032" t="s">
        <v>14</v>
      </c>
      <c r="I20" s="1386"/>
      <c r="J20" s="1300"/>
      <c r="K20" s="1318"/>
      <c r="L20" s="1317"/>
      <c r="M20" s="240">
        <v>4</v>
      </c>
      <c r="N20" s="148" t="s">
        <v>8</v>
      </c>
      <c r="O20" s="146" t="s">
        <v>2299</v>
      </c>
      <c r="P20" s="1327"/>
      <c r="Q20" s="53"/>
    </row>
    <row r="21" spans="1:17" ht="20.25" customHeight="1" x14ac:dyDescent="0.25">
      <c r="A21" s="1334"/>
      <c r="B21" s="1335"/>
      <c r="C21" s="1335"/>
      <c r="D21" s="1302"/>
      <c r="E21" s="1339"/>
      <c r="F21" s="219" t="s">
        <v>362</v>
      </c>
      <c r="G21" s="1337"/>
      <c r="H21" s="1032" t="s">
        <v>14</v>
      </c>
      <c r="I21" s="1387"/>
      <c r="J21" s="1300"/>
      <c r="K21" s="1317"/>
      <c r="L21" s="1317"/>
      <c r="M21" s="240">
        <v>15</v>
      </c>
      <c r="N21" s="148" t="s">
        <v>4</v>
      </c>
      <c r="O21" s="146" t="s">
        <v>2313</v>
      </c>
      <c r="P21" s="1327"/>
      <c r="Q21" s="53"/>
    </row>
    <row r="22" spans="1:17" ht="21.75" customHeight="1" x14ac:dyDescent="0.25">
      <c r="A22" s="1334"/>
      <c r="B22" s="1335"/>
      <c r="C22" s="1335"/>
      <c r="D22" s="1302"/>
      <c r="E22" s="1339"/>
      <c r="F22" s="219" t="s">
        <v>362</v>
      </c>
      <c r="G22" s="1337"/>
      <c r="H22" s="1032" t="s">
        <v>14</v>
      </c>
      <c r="I22" s="1384"/>
      <c r="J22" s="1301"/>
      <c r="K22" s="1317"/>
      <c r="L22" s="1317"/>
      <c r="M22" s="240">
        <v>4</v>
      </c>
      <c r="N22" s="148" t="s">
        <v>215</v>
      </c>
      <c r="O22" s="146" t="s">
        <v>996</v>
      </c>
      <c r="P22" s="1320"/>
      <c r="Q22" s="53"/>
    </row>
    <row r="23" spans="1:17" ht="21.1" customHeight="1" x14ac:dyDescent="0.25">
      <c r="A23" s="1334">
        <v>7</v>
      </c>
      <c r="B23" s="1335" t="s">
        <v>411</v>
      </c>
      <c r="C23" s="1335" t="s">
        <v>412</v>
      </c>
      <c r="D23" s="1302" t="s">
        <v>348</v>
      </c>
      <c r="E23" s="1339">
        <v>15725655</v>
      </c>
      <c r="F23" s="219" t="s">
        <v>349</v>
      </c>
      <c r="G23" s="1337" t="s">
        <v>807</v>
      </c>
      <c r="H23" s="1032" t="s">
        <v>24</v>
      </c>
      <c r="I23" s="1293"/>
      <c r="J23" s="1287">
        <v>3008807535</v>
      </c>
      <c r="K23" s="1317">
        <v>1</v>
      </c>
      <c r="L23" s="1317">
        <v>30</v>
      </c>
      <c r="M23" s="240">
        <v>16</v>
      </c>
      <c r="N23" s="148" t="s">
        <v>4</v>
      </c>
      <c r="O23" s="783" t="s">
        <v>126</v>
      </c>
      <c r="P23" s="1388" t="s">
        <v>2495</v>
      </c>
      <c r="Q23" s="53"/>
    </row>
    <row r="24" spans="1:17" ht="21.75" customHeight="1" x14ac:dyDescent="0.25">
      <c r="A24" s="1334"/>
      <c r="B24" s="1335"/>
      <c r="C24" s="1335"/>
      <c r="D24" s="1302"/>
      <c r="E24" s="1339"/>
      <c r="F24" s="219" t="s">
        <v>349</v>
      </c>
      <c r="G24" s="1337"/>
      <c r="H24" s="1032" t="s">
        <v>24</v>
      </c>
      <c r="I24" s="1293"/>
      <c r="J24" s="1288"/>
      <c r="K24" s="1317"/>
      <c r="L24" s="1317"/>
      <c r="M24" s="240">
        <v>16</v>
      </c>
      <c r="N24" s="148" t="s">
        <v>215</v>
      </c>
      <c r="O24" s="783" t="s">
        <v>129</v>
      </c>
      <c r="P24" s="1388"/>
      <c r="Q24" s="53"/>
    </row>
    <row r="25" spans="1:17" ht="30.1" customHeight="1" x14ac:dyDescent="0.25">
      <c r="A25" s="1334">
        <v>8</v>
      </c>
      <c r="B25" s="1335" t="s">
        <v>413</v>
      </c>
      <c r="C25" s="1335" t="s">
        <v>414</v>
      </c>
      <c r="D25" s="1302" t="s">
        <v>355</v>
      </c>
      <c r="E25" s="1339">
        <v>1063160266</v>
      </c>
      <c r="F25" s="219" t="s">
        <v>349</v>
      </c>
      <c r="G25" s="1337" t="s">
        <v>484</v>
      </c>
      <c r="H25" s="1032" t="s">
        <v>21</v>
      </c>
      <c r="I25" s="1293" t="s">
        <v>2655</v>
      </c>
      <c r="J25" s="1287">
        <v>3206873139</v>
      </c>
      <c r="K25" s="1317">
        <v>1</v>
      </c>
      <c r="L25" s="1317">
        <v>30</v>
      </c>
      <c r="M25" s="240">
        <v>20</v>
      </c>
      <c r="N25" s="148" t="s">
        <v>4</v>
      </c>
      <c r="O25" s="889" t="s">
        <v>540</v>
      </c>
      <c r="P25" s="1360" t="s">
        <v>2497</v>
      </c>
      <c r="Q25" s="53"/>
    </row>
    <row r="26" spans="1:17" ht="30.1" customHeight="1" x14ac:dyDescent="0.25">
      <c r="A26" s="1334"/>
      <c r="B26" s="1335"/>
      <c r="C26" s="1335"/>
      <c r="D26" s="1302"/>
      <c r="E26" s="1339"/>
      <c r="F26" s="219" t="s">
        <v>349</v>
      </c>
      <c r="G26" s="1337"/>
      <c r="H26" s="1032" t="s">
        <v>21</v>
      </c>
      <c r="I26" s="1293"/>
      <c r="J26" s="1291"/>
      <c r="K26" s="1317"/>
      <c r="L26" s="1317"/>
      <c r="M26" s="240">
        <v>20</v>
      </c>
      <c r="N26" s="148" t="s">
        <v>8</v>
      </c>
      <c r="O26" s="669" t="s">
        <v>221</v>
      </c>
      <c r="P26" s="1361"/>
      <c r="Q26" s="53"/>
    </row>
    <row r="27" spans="1:17" ht="30.1" customHeight="1" x14ac:dyDescent="0.25">
      <c r="A27" s="1334"/>
      <c r="B27" s="1335"/>
      <c r="C27" s="1335"/>
      <c r="D27" s="1302"/>
      <c r="E27" s="1339"/>
      <c r="F27" s="219" t="s">
        <v>349</v>
      </c>
      <c r="G27" s="1337"/>
      <c r="H27" s="1032" t="s">
        <v>21</v>
      </c>
      <c r="I27" s="1293"/>
      <c r="J27" s="1288"/>
      <c r="K27" s="1317"/>
      <c r="L27" s="1317"/>
      <c r="M27" s="240">
        <v>20</v>
      </c>
      <c r="N27" s="148" t="s">
        <v>215</v>
      </c>
      <c r="O27" s="669" t="s">
        <v>207</v>
      </c>
      <c r="P27" s="1362"/>
      <c r="Q27" s="53"/>
    </row>
    <row r="28" spans="1:17" ht="30.1" customHeight="1" x14ac:dyDescent="0.25">
      <c r="A28" s="1334">
        <v>9</v>
      </c>
      <c r="B28" s="1335" t="s">
        <v>416</v>
      </c>
      <c r="C28" s="1335" t="s">
        <v>417</v>
      </c>
      <c r="D28" s="1302" t="s">
        <v>355</v>
      </c>
      <c r="E28" s="1339">
        <v>1063286269</v>
      </c>
      <c r="F28" s="219" t="s">
        <v>349</v>
      </c>
      <c r="G28" s="1337" t="s">
        <v>808</v>
      </c>
      <c r="H28" s="1032" t="s">
        <v>15</v>
      </c>
      <c r="I28" s="1293"/>
      <c r="J28" s="1287" t="s">
        <v>418</v>
      </c>
      <c r="K28" s="1317">
        <v>1</v>
      </c>
      <c r="L28" s="1317">
        <v>30</v>
      </c>
      <c r="M28" s="240">
        <v>180</v>
      </c>
      <c r="N28" s="148" t="s">
        <v>5</v>
      </c>
      <c r="O28" s="669" t="s">
        <v>16</v>
      </c>
      <c r="P28" s="1360" t="s">
        <v>2499</v>
      </c>
      <c r="Q28" s="53"/>
    </row>
    <row r="29" spans="1:17" ht="30.1" customHeight="1" x14ac:dyDescent="0.25">
      <c r="A29" s="1334"/>
      <c r="B29" s="1335"/>
      <c r="C29" s="1335"/>
      <c r="D29" s="1302"/>
      <c r="E29" s="1339"/>
      <c r="F29" s="219" t="s">
        <v>349</v>
      </c>
      <c r="G29" s="1337"/>
      <c r="H29" s="1032" t="s">
        <v>15</v>
      </c>
      <c r="I29" s="1293"/>
      <c r="J29" s="1291"/>
      <c r="K29" s="1317"/>
      <c r="L29" s="1317"/>
      <c r="M29" s="240">
        <v>20</v>
      </c>
      <c r="N29" s="148" t="s">
        <v>4</v>
      </c>
      <c r="O29" s="669" t="s">
        <v>16</v>
      </c>
      <c r="P29" s="1361"/>
      <c r="Q29" s="53"/>
    </row>
    <row r="30" spans="1:17" ht="30.1" customHeight="1" x14ac:dyDescent="0.25">
      <c r="A30" s="1334"/>
      <c r="B30" s="1335"/>
      <c r="C30" s="1335"/>
      <c r="D30" s="1302"/>
      <c r="E30" s="1339"/>
      <c r="F30" s="754" t="s">
        <v>349</v>
      </c>
      <c r="G30" s="1337"/>
      <c r="H30" s="1032" t="s">
        <v>15</v>
      </c>
      <c r="I30" s="1293"/>
      <c r="J30" s="1291"/>
      <c r="K30" s="1317"/>
      <c r="L30" s="1317"/>
      <c r="M30" s="240">
        <v>12</v>
      </c>
      <c r="N30" s="754" t="s">
        <v>215</v>
      </c>
      <c r="O30" s="754" t="s">
        <v>650</v>
      </c>
      <c r="P30" s="1361"/>
      <c r="Q30" s="756"/>
    </row>
    <row r="31" spans="1:17" ht="30.1" customHeight="1" x14ac:dyDescent="0.25">
      <c r="A31" s="1334"/>
      <c r="B31" s="1335"/>
      <c r="C31" s="1335"/>
      <c r="D31" s="1302"/>
      <c r="E31" s="1339"/>
      <c r="F31" s="219" t="s">
        <v>349</v>
      </c>
      <c r="G31" s="1337"/>
      <c r="H31" s="1032" t="s">
        <v>15</v>
      </c>
      <c r="I31" s="1293"/>
      <c r="J31" s="1288"/>
      <c r="K31" s="1317"/>
      <c r="L31" s="1317"/>
      <c r="M31" s="415">
        <v>12</v>
      </c>
      <c r="N31" s="762" t="s">
        <v>8</v>
      </c>
      <c r="O31" s="762" t="s">
        <v>367</v>
      </c>
      <c r="P31" s="1362"/>
      <c r="Q31" s="53" t="s">
        <v>2515</v>
      </c>
    </row>
    <row r="32" spans="1:17" ht="30.1" customHeight="1" x14ac:dyDescent="0.25">
      <c r="A32" s="1329">
        <v>10</v>
      </c>
      <c r="B32" s="1360" t="s">
        <v>419</v>
      </c>
      <c r="C32" s="1360" t="s">
        <v>420</v>
      </c>
      <c r="D32" s="1281" t="s">
        <v>348</v>
      </c>
      <c r="E32" s="1283">
        <v>32270273</v>
      </c>
      <c r="F32" s="544" t="s">
        <v>349</v>
      </c>
      <c r="G32" s="1381" t="s">
        <v>481</v>
      </c>
      <c r="H32" s="1032" t="s">
        <v>14</v>
      </c>
      <c r="I32" s="1307" t="s">
        <v>2726</v>
      </c>
      <c r="J32" s="1287" t="s">
        <v>421</v>
      </c>
      <c r="K32" s="1289">
        <v>1</v>
      </c>
      <c r="L32" s="1289">
        <v>30</v>
      </c>
      <c r="M32" s="240">
        <v>20</v>
      </c>
      <c r="N32" s="544" t="s">
        <v>215</v>
      </c>
      <c r="O32" s="669" t="s">
        <v>543</v>
      </c>
      <c r="P32" s="1360" t="s">
        <v>2498</v>
      </c>
      <c r="Q32" s="543"/>
    </row>
    <row r="33" spans="1:17" ht="30.1" customHeight="1" x14ac:dyDescent="0.25">
      <c r="A33" s="1330"/>
      <c r="B33" s="1362"/>
      <c r="C33" s="1362"/>
      <c r="D33" s="1282"/>
      <c r="E33" s="1284"/>
      <c r="F33" s="219" t="s">
        <v>349</v>
      </c>
      <c r="G33" s="1382"/>
      <c r="H33" s="1032" t="s">
        <v>14</v>
      </c>
      <c r="I33" s="1316"/>
      <c r="J33" s="1288"/>
      <c r="K33" s="1290"/>
      <c r="L33" s="1290"/>
      <c r="M33" s="240">
        <v>20</v>
      </c>
      <c r="N33" s="148" t="s">
        <v>4</v>
      </c>
      <c r="O33" s="783" t="s">
        <v>2300</v>
      </c>
      <c r="P33" s="1362"/>
      <c r="Q33" s="402"/>
    </row>
    <row r="34" spans="1:17" ht="30.1" customHeight="1" x14ac:dyDescent="0.25">
      <c r="A34" s="150">
        <v>11</v>
      </c>
      <c r="B34" s="747" t="s">
        <v>422</v>
      </c>
      <c r="C34" s="747" t="s">
        <v>423</v>
      </c>
      <c r="D34" s="151" t="s">
        <v>348</v>
      </c>
      <c r="E34" s="152">
        <v>1007557031</v>
      </c>
      <c r="F34" s="219" t="s">
        <v>362</v>
      </c>
      <c r="G34" s="430" t="s">
        <v>481</v>
      </c>
      <c r="H34" s="1032" t="s">
        <v>25</v>
      </c>
      <c r="I34" s="852"/>
      <c r="J34" s="1005">
        <v>3184441237</v>
      </c>
      <c r="K34" s="978">
        <v>1</v>
      </c>
      <c r="L34" s="978">
        <v>30</v>
      </c>
      <c r="M34" s="240">
        <v>20</v>
      </c>
      <c r="N34" s="148" t="s">
        <v>4</v>
      </c>
      <c r="O34" s="783" t="s">
        <v>26</v>
      </c>
      <c r="P34" s="1032" t="s">
        <v>2556</v>
      </c>
      <c r="Q34" s="53"/>
    </row>
    <row r="35" spans="1:17" ht="30.1" customHeight="1" x14ac:dyDescent="0.25">
      <c r="A35" s="1334">
        <v>12</v>
      </c>
      <c r="B35" s="1335" t="s">
        <v>424</v>
      </c>
      <c r="C35" s="1335" t="s">
        <v>425</v>
      </c>
      <c r="D35" s="1302" t="s">
        <v>348</v>
      </c>
      <c r="E35" s="1339">
        <v>25751068</v>
      </c>
      <c r="F35" s="180" t="s">
        <v>357</v>
      </c>
      <c r="G35" s="1337" t="s">
        <v>809</v>
      </c>
      <c r="H35" s="1032" t="s">
        <v>14</v>
      </c>
      <c r="I35" s="1383" t="s">
        <v>2727</v>
      </c>
      <c r="J35" s="1294">
        <v>7850717</v>
      </c>
      <c r="K35" s="1376">
        <v>1</v>
      </c>
      <c r="L35" s="1376">
        <v>30</v>
      </c>
      <c r="M35" s="240">
        <v>30</v>
      </c>
      <c r="N35" s="148" t="s">
        <v>4</v>
      </c>
      <c r="O35" s="146" t="s">
        <v>2298</v>
      </c>
      <c r="P35" s="1378" t="s">
        <v>989</v>
      </c>
      <c r="Q35" s="53"/>
    </row>
    <row r="36" spans="1:17" ht="30.1" customHeight="1" x14ac:dyDescent="0.25">
      <c r="A36" s="1334"/>
      <c r="B36" s="1335"/>
      <c r="C36" s="1335"/>
      <c r="D36" s="1302"/>
      <c r="E36" s="1339"/>
      <c r="F36" s="180" t="s">
        <v>357</v>
      </c>
      <c r="G36" s="1337"/>
      <c r="H36" s="1032" t="s">
        <v>14</v>
      </c>
      <c r="I36" s="1389"/>
      <c r="J36" s="1295"/>
      <c r="K36" s="1376"/>
      <c r="L36" s="1376"/>
      <c r="M36" s="240">
        <v>12</v>
      </c>
      <c r="N36" s="148" t="s">
        <v>215</v>
      </c>
      <c r="O36" s="146" t="s">
        <v>543</v>
      </c>
      <c r="P36" s="1379"/>
      <c r="Q36" s="53"/>
    </row>
    <row r="37" spans="1:17" ht="30.1" customHeight="1" x14ac:dyDescent="0.25">
      <c r="A37" s="1334"/>
      <c r="B37" s="1335"/>
      <c r="C37" s="1335"/>
      <c r="D37" s="1302"/>
      <c r="E37" s="1339"/>
      <c r="F37" s="180" t="s">
        <v>357</v>
      </c>
      <c r="G37" s="1337"/>
      <c r="H37" s="1032" t="s">
        <v>14</v>
      </c>
      <c r="I37" s="1390"/>
      <c r="J37" s="1296"/>
      <c r="K37" s="1377"/>
      <c r="L37" s="1376"/>
      <c r="M37" s="240">
        <v>12</v>
      </c>
      <c r="N37" s="148" t="s">
        <v>8</v>
      </c>
      <c r="O37" s="146" t="s">
        <v>2299</v>
      </c>
      <c r="P37" s="1380"/>
      <c r="Q37" s="53"/>
    </row>
    <row r="38" spans="1:17" ht="30.1" customHeight="1" x14ac:dyDescent="0.25">
      <c r="A38" s="150">
        <v>13</v>
      </c>
      <c r="B38" s="746" t="s">
        <v>426</v>
      </c>
      <c r="C38" s="746" t="s">
        <v>427</v>
      </c>
      <c r="D38" s="151" t="s">
        <v>348</v>
      </c>
      <c r="E38" s="152">
        <v>25955012</v>
      </c>
      <c r="F38" s="218" t="s">
        <v>349</v>
      </c>
      <c r="G38" s="847" t="s">
        <v>803</v>
      </c>
      <c r="H38" s="1030" t="s">
        <v>21</v>
      </c>
      <c r="I38" s="984" t="s">
        <v>2728</v>
      </c>
      <c r="J38" s="1008" t="s">
        <v>428</v>
      </c>
      <c r="K38" s="978">
        <v>1</v>
      </c>
      <c r="L38" s="978">
        <v>30</v>
      </c>
      <c r="M38" s="239">
        <v>20</v>
      </c>
      <c r="N38" s="151" t="s">
        <v>4</v>
      </c>
      <c r="O38" s="782" t="s">
        <v>707</v>
      </c>
      <c r="P38" s="239" t="s">
        <v>2503</v>
      </c>
      <c r="Q38" s="482">
        <v>20000</v>
      </c>
    </row>
    <row r="39" spans="1:17" ht="30.1" customHeight="1" x14ac:dyDescent="0.25">
      <c r="A39" s="19">
        <v>14</v>
      </c>
      <c r="B39" s="147" t="s">
        <v>429</v>
      </c>
      <c r="C39" s="147" t="s">
        <v>430</v>
      </c>
      <c r="D39" s="147"/>
      <c r="E39" s="144"/>
      <c r="F39" s="216"/>
      <c r="G39" s="848" t="s">
        <v>507</v>
      </c>
      <c r="H39" s="1023" t="s">
        <v>14</v>
      </c>
      <c r="I39" s="853"/>
      <c r="J39" s="1009"/>
      <c r="K39" s="981">
        <v>11</v>
      </c>
      <c r="L39" s="981">
        <v>10</v>
      </c>
      <c r="M39" s="998">
        <v>120</v>
      </c>
      <c r="N39" s="147" t="s">
        <v>431</v>
      </c>
      <c r="O39" s="782" t="s">
        <v>2298</v>
      </c>
      <c r="P39" s="1023" t="s">
        <v>432</v>
      </c>
      <c r="Q39" s="329"/>
    </row>
    <row r="40" spans="1:17" ht="20.25" customHeight="1" x14ac:dyDescent="0.25">
      <c r="A40" s="1334">
        <v>15</v>
      </c>
      <c r="B40" s="1302" t="s">
        <v>433</v>
      </c>
      <c r="C40" s="1302" t="s">
        <v>434</v>
      </c>
      <c r="D40" s="1302" t="s">
        <v>348</v>
      </c>
      <c r="E40" s="1339">
        <v>78675759</v>
      </c>
      <c r="F40" s="218" t="s">
        <v>362</v>
      </c>
      <c r="G40" s="1328" t="s">
        <v>508</v>
      </c>
      <c r="H40" s="1030" t="s">
        <v>14</v>
      </c>
      <c r="I40" s="1293" t="s">
        <v>2632</v>
      </c>
      <c r="J40" s="1287"/>
      <c r="K40" s="1374">
        <v>12</v>
      </c>
      <c r="L40" s="1374">
        <v>11</v>
      </c>
      <c r="M40" s="239">
        <v>15</v>
      </c>
      <c r="N40" s="160" t="s">
        <v>5</v>
      </c>
      <c r="O40" s="50" t="s">
        <v>2298</v>
      </c>
      <c r="P40" s="1302" t="s">
        <v>2777</v>
      </c>
      <c r="Q40" s="1326" t="s">
        <v>1192</v>
      </c>
    </row>
    <row r="41" spans="1:17" ht="18.7" customHeight="1" x14ac:dyDescent="0.25">
      <c r="A41" s="1334"/>
      <c r="B41" s="1302"/>
      <c r="C41" s="1302"/>
      <c r="D41" s="1302"/>
      <c r="E41" s="1339"/>
      <c r="F41" s="218" t="s">
        <v>362</v>
      </c>
      <c r="G41" s="1328"/>
      <c r="H41" s="1030" t="s">
        <v>14</v>
      </c>
      <c r="I41" s="1307"/>
      <c r="J41" s="1291"/>
      <c r="K41" s="1374"/>
      <c r="L41" s="1374"/>
      <c r="M41" s="239">
        <v>15</v>
      </c>
      <c r="N41" s="160" t="s">
        <v>4</v>
      </c>
      <c r="O41" s="50" t="s">
        <v>2298</v>
      </c>
      <c r="P41" s="1302"/>
      <c r="Q41" s="1326"/>
    </row>
    <row r="42" spans="1:17" ht="20.25" customHeight="1" x14ac:dyDescent="0.25">
      <c r="A42" s="1334"/>
      <c r="B42" s="1302"/>
      <c r="C42" s="1302"/>
      <c r="D42" s="1302"/>
      <c r="E42" s="1339"/>
      <c r="F42" s="218" t="s">
        <v>362</v>
      </c>
      <c r="G42" s="1328"/>
      <c r="H42" s="1030" t="s">
        <v>14</v>
      </c>
      <c r="I42" s="1309"/>
      <c r="J42" s="1291"/>
      <c r="K42" s="1375"/>
      <c r="L42" s="1374"/>
      <c r="M42" s="239">
        <v>4</v>
      </c>
      <c r="N42" s="160" t="s">
        <v>8</v>
      </c>
      <c r="O42" s="50" t="s">
        <v>2299</v>
      </c>
      <c r="P42" s="1302"/>
      <c r="Q42" s="1326"/>
    </row>
    <row r="43" spans="1:17" ht="22.6" customHeight="1" x14ac:dyDescent="0.25">
      <c r="A43" s="1334"/>
      <c r="B43" s="1302"/>
      <c r="C43" s="1302"/>
      <c r="D43" s="1302"/>
      <c r="E43" s="1339"/>
      <c r="F43" s="218" t="s">
        <v>362</v>
      </c>
      <c r="G43" s="1328"/>
      <c r="H43" s="1030" t="s">
        <v>14</v>
      </c>
      <c r="I43" s="1316"/>
      <c r="J43" s="1291"/>
      <c r="K43" s="1374"/>
      <c r="L43" s="1374"/>
      <c r="M43" s="239">
        <v>1</v>
      </c>
      <c r="N43" s="160" t="s">
        <v>214</v>
      </c>
      <c r="O43" s="50" t="s">
        <v>209</v>
      </c>
      <c r="P43" s="1302"/>
      <c r="Q43" s="1326"/>
    </row>
    <row r="44" spans="1:17" ht="19.55" customHeight="1" x14ac:dyDescent="0.25">
      <c r="A44" s="1334"/>
      <c r="B44" s="1302"/>
      <c r="C44" s="1302"/>
      <c r="D44" s="1302"/>
      <c r="E44" s="1339"/>
      <c r="F44" s="218" t="s">
        <v>362</v>
      </c>
      <c r="G44" s="1328"/>
      <c r="H44" s="1030" t="s">
        <v>14</v>
      </c>
      <c r="I44" s="1293"/>
      <c r="J44" s="1288"/>
      <c r="K44" s="1374"/>
      <c r="L44" s="1374"/>
      <c r="M44" s="239">
        <v>4</v>
      </c>
      <c r="N44" s="160" t="s">
        <v>215</v>
      </c>
      <c r="O44" s="50" t="s">
        <v>543</v>
      </c>
      <c r="P44" s="1302"/>
      <c r="Q44" s="1326"/>
    </row>
    <row r="45" spans="1:17" s="2" customFormat="1" ht="24.8" customHeight="1" x14ac:dyDescent="0.25">
      <c r="A45" s="1334">
        <v>16</v>
      </c>
      <c r="B45" s="1302" t="s">
        <v>435</v>
      </c>
      <c r="C45" s="1302" t="s">
        <v>436</v>
      </c>
      <c r="D45" s="1302" t="s">
        <v>348</v>
      </c>
      <c r="E45" s="1339">
        <v>1003358375</v>
      </c>
      <c r="F45" s="218" t="s">
        <v>362</v>
      </c>
      <c r="G45" s="1328" t="s">
        <v>502</v>
      </c>
      <c r="H45" s="1030" t="s">
        <v>110</v>
      </c>
      <c r="I45" s="1383"/>
      <c r="J45" s="1294" t="s">
        <v>437</v>
      </c>
      <c r="K45" s="1317">
        <v>1</v>
      </c>
      <c r="L45" s="1317">
        <v>30</v>
      </c>
      <c r="M45" s="239">
        <v>60</v>
      </c>
      <c r="N45" s="151" t="s">
        <v>5</v>
      </c>
      <c r="O45" s="782" t="s">
        <v>111</v>
      </c>
      <c r="P45" s="1335" t="s">
        <v>2555</v>
      </c>
      <c r="Q45" s="1369"/>
    </row>
    <row r="46" spans="1:17" s="2" customFormat="1" ht="24.8" customHeight="1" x14ac:dyDescent="0.25">
      <c r="A46" s="1334"/>
      <c r="B46" s="1302"/>
      <c r="C46" s="1302"/>
      <c r="D46" s="1302"/>
      <c r="E46" s="1339"/>
      <c r="F46" s="485" t="s">
        <v>362</v>
      </c>
      <c r="G46" s="1328"/>
      <c r="H46" s="1030" t="s">
        <v>110</v>
      </c>
      <c r="I46" s="1383"/>
      <c r="J46" s="1295"/>
      <c r="K46" s="1317"/>
      <c r="L46" s="1317"/>
      <c r="M46" s="239">
        <v>20</v>
      </c>
      <c r="N46" s="485" t="s">
        <v>215</v>
      </c>
      <c r="O46" s="782" t="s">
        <v>614</v>
      </c>
      <c r="P46" s="1335"/>
      <c r="Q46" s="1370"/>
    </row>
    <row r="47" spans="1:17" ht="27" customHeight="1" x14ac:dyDescent="0.25">
      <c r="A47" s="1334"/>
      <c r="B47" s="1302"/>
      <c r="C47" s="1302"/>
      <c r="D47" s="1302"/>
      <c r="E47" s="1339"/>
      <c r="F47" s="218" t="s">
        <v>362</v>
      </c>
      <c r="G47" s="1328"/>
      <c r="H47" s="1030" t="s">
        <v>110</v>
      </c>
      <c r="I47" s="1383"/>
      <c r="J47" s="1296"/>
      <c r="K47" s="1317"/>
      <c r="L47" s="1317"/>
      <c r="M47" s="239">
        <v>60</v>
      </c>
      <c r="N47" s="151" t="s">
        <v>4</v>
      </c>
      <c r="O47" s="782" t="s">
        <v>111</v>
      </c>
      <c r="P47" s="1335"/>
      <c r="Q47" s="1371"/>
    </row>
    <row r="48" spans="1:17" ht="27" customHeight="1" x14ac:dyDescent="0.25">
      <c r="A48" s="1334">
        <v>17</v>
      </c>
      <c r="B48" s="1302" t="s">
        <v>438</v>
      </c>
      <c r="C48" s="1302" t="s">
        <v>439</v>
      </c>
      <c r="D48" s="1302" t="s">
        <v>348</v>
      </c>
      <c r="E48" s="1339">
        <v>1067097250</v>
      </c>
      <c r="F48" s="218" t="s">
        <v>349</v>
      </c>
      <c r="G48" s="1328"/>
      <c r="H48" s="1030" t="s">
        <v>384</v>
      </c>
      <c r="I48" s="1293"/>
      <c r="J48" s="1287">
        <v>3007763838</v>
      </c>
      <c r="K48" s="1317">
        <v>1</v>
      </c>
      <c r="L48" s="1317">
        <v>30</v>
      </c>
      <c r="M48" s="239">
        <v>20</v>
      </c>
      <c r="N48" s="151" t="s">
        <v>8</v>
      </c>
      <c r="O48" s="782" t="s">
        <v>461</v>
      </c>
      <c r="P48" s="1326" t="s">
        <v>2502</v>
      </c>
      <c r="Q48" s="49"/>
    </row>
    <row r="49" spans="1:20" ht="27" customHeight="1" x14ac:dyDescent="0.25">
      <c r="A49" s="1334"/>
      <c r="B49" s="1302"/>
      <c r="C49" s="1302"/>
      <c r="D49" s="1302"/>
      <c r="E49" s="1339"/>
      <c r="F49" s="218" t="s">
        <v>349</v>
      </c>
      <c r="G49" s="1328"/>
      <c r="H49" s="1030" t="s">
        <v>384</v>
      </c>
      <c r="I49" s="1293"/>
      <c r="J49" s="1288"/>
      <c r="K49" s="1317"/>
      <c r="L49" s="1317"/>
      <c r="M49" s="239">
        <v>20</v>
      </c>
      <c r="N49" s="151" t="s">
        <v>4</v>
      </c>
      <c r="O49" s="782" t="s">
        <v>2501</v>
      </c>
      <c r="P49" s="1326"/>
      <c r="Q49" s="49">
        <v>30</v>
      </c>
    </row>
    <row r="50" spans="1:20" ht="47.25" customHeight="1" x14ac:dyDescent="0.25">
      <c r="A50" s="150">
        <v>18</v>
      </c>
      <c r="B50" s="746" t="s">
        <v>440</v>
      </c>
      <c r="C50" s="746" t="s">
        <v>441</v>
      </c>
      <c r="D50" s="151" t="s">
        <v>348</v>
      </c>
      <c r="E50" s="152">
        <v>50919775</v>
      </c>
      <c r="F50" s="218" t="s">
        <v>349</v>
      </c>
      <c r="G50" s="847"/>
      <c r="H50" s="1030" t="s">
        <v>14</v>
      </c>
      <c r="I50" s="852" t="s">
        <v>2656</v>
      </c>
      <c r="J50" s="1005">
        <v>3007763838</v>
      </c>
      <c r="K50" s="978">
        <v>1</v>
      </c>
      <c r="L50" s="978">
        <v>30</v>
      </c>
      <c r="M50" s="239">
        <v>40</v>
      </c>
      <c r="N50" s="151" t="s">
        <v>4</v>
      </c>
      <c r="O50" s="782" t="s">
        <v>390</v>
      </c>
      <c r="P50" s="1031" t="s">
        <v>2496</v>
      </c>
      <c r="Q50" s="325" t="s">
        <v>2500</v>
      </c>
    </row>
    <row r="51" spans="1:20" ht="30.1" customHeight="1" x14ac:dyDescent="0.25">
      <c r="A51" s="753">
        <v>19</v>
      </c>
      <c r="B51" s="758" t="s">
        <v>442</v>
      </c>
      <c r="C51" s="758" t="s">
        <v>443</v>
      </c>
      <c r="D51" s="758" t="s">
        <v>348</v>
      </c>
      <c r="E51" s="757">
        <v>25843953</v>
      </c>
      <c r="F51" s="220" t="s">
        <v>349</v>
      </c>
      <c r="G51" s="430" t="s">
        <v>516</v>
      </c>
      <c r="H51" s="784" t="s">
        <v>22</v>
      </c>
      <c r="I51" s="854"/>
      <c r="J51" s="1010"/>
      <c r="K51" s="978">
        <v>1</v>
      </c>
      <c r="L51" s="978">
        <v>30</v>
      </c>
      <c r="M51" s="999">
        <v>20</v>
      </c>
      <c r="N51" s="51" t="s">
        <v>4</v>
      </c>
      <c r="O51" s="782" t="s">
        <v>23</v>
      </c>
      <c r="P51" s="1031" t="s">
        <v>2496</v>
      </c>
      <c r="Q51" s="760" t="s">
        <v>833</v>
      </c>
    </row>
    <row r="52" spans="1:20" ht="30.1" customHeight="1" x14ac:dyDescent="0.25">
      <c r="A52" s="1334">
        <v>20</v>
      </c>
      <c r="B52" s="1302" t="s">
        <v>444</v>
      </c>
      <c r="C52" s="1302" t="s">
        <v>445</v>
      </c>
      <c r="D52" s="1302" t="s">
        <v>348</v>
      </c>
      <c r="E52" s="1339">
        <v>25839044</v>
      </c>
      <c r="F52" s="218" t="s">
        <v>446</v>
      </c>
      <c r="G52" s="1328" t="s">
        <v>493</v>
      </c>
      <c r="H52" s="1030" t="s">
        <v>9</v>
      </c>
      <c r="I52" s="1293"/>
      <c r="J52" s="1287" t="s">
        <v>447</v>
      </c>
      <c r="K52" s="1317">
        <v>1</v>
      </c>
      <c r="L52" s="1317">
        <v>30</v>
      </c>
      <c r="M52" s="239">
        <v>12</v>
      </c>
      <c r="N52" s="151" t="s">
        <v>5</v>
      </c>
      <c r="O52" s="782" t="s">
        <v>7</v>
      </c>
      <c r="P52" s="1302"/>
      <c r="Q52" s="1326"/>
    </row>
    <row r="53" spans="1:20" ht="30.1" customHeight="1" x14ac:dyDescent="0.25">
      <c r="A53" s="1334"/>
      <c r="B53" s="1302"/>
      <c r="C53" s="1302"/>
      <c r="D53" s="1302"/>
      <c r="E53" s="1339"/>
      <c r="F53" s="218" t="s">
        <v>446</v>
      </c>
      <c r="G53" s="1328"/>
      <c r="H53" s="1030" t="s">
        <v>9</v>
      </c>
      <c r="I53" s="1293"/>
      <c r="J53" s="1291"/>
      <c r="K53" s="1317"/>
      <c r="L53" s="1317"/>
      <c r="M53" s="239">
        <v>20</v>
      </c>
      <c r="N53" s="151" t="s">
        <v>4</v>
      </c>
      <c r="O53" s="782" t="s">
        <v>7</v>
      </c>
      <c r="P53" s="1302"/>
      <c r="Q53" s="1326"/>
    </row>
    <row r="54" spans="1:20" ht="30.1" customHeight="1" x14ac:dyDescent="0.25">
      <c r="A54" s="1334"/>
      <c r="B54" s="1302"/>
      <c r="C54" s="1302"/>
      <c r="D54" s="1302"/>
      <c r="E54" s="1339"/>
      <c r="F54" s="218" t="s">
        <v>446</v>
      </c>
      <c r="G54" s="1328"/>
      <c r="H54" s="1030" t="s">
        <v>9</v>
      </c>
      <c r="I54" s="1293"/>
      <c r="J54" s="1288"/>
      <c r="K54" s="1317"/>
      <c r="L54" s="1317"/>
      <c r="M54" s="239">
        <v>8</v>
      </c>
      <c r="N54" s="151" t="s">
        <v>215</v>
      </c>
      <c r="O54" s="782" t="s">
        <v>364</v>
      </c>
      <c r="P54" s="1302"/>
      <c r="Q54" s="325"/>
    </row>
    <row r="55" spans="1:20" ht="41.45" customHeight="1" x14ac:dyDescent="0.25">
      <c r="A55" s="150">
        <v>21</v>
      </c>
      <c r="B55" s="746" t="s">
        <v>552</v>
      </c>
      <c r="C55" s="746" t="s">
        <v>553</v>
      </c>
      <c r="D55" s="151" t="s">
        <v>348</v>
      </c>
      <c r="E55" s="152">
        <v>22156814</v>
      </c>
      <c r="F55" s="218" t="s">
        <v>349</v>
      </c>
      <c r="G55" s="847" t="s">
        <v>554</v>
      </c>
      <c r="H55" s="1030" t="s">
        <v>14</v>
      </c>
      <c r="I55" s="852" t="s">
        <v>2657</v>
      </c>
      <c r="J55" s="1005">
        <v>3108391638</v>
      </c>
      <c r="K55" s="978">
        <v>1</v>
      </c>
      <c r="L55" s="978">
        <v>30</v>
      </c>
      <c r="M55" s="239">
        <v>12</v>
      </c>
      <c r="N55" s="151" t="s">
        <v>4</v>
      </c>
      <c r="O55" s="782" t="s">
        <v>822</v>
      </c>
      <c r="P55" s="1031" t="s">
        <v>2496</v>
      </c>
      <c r="Q55" s="325"/>
    </row>
    <row r="56" spans="1:20" ht="30.1" customHeight="1" x14ac:dyDescent="0.25">
      <c r="A56" s="150">
        <v>22</v>
      </c>
      <c r="B56" s="747" t="s">
        <v>628</v>
      </c>
      <c r="C56" s="747" t="s">
        <v>629</v>
      </c>
      <c r="D56" s="148" t="s">
        <v>348</v>
      </c>
      <c r="E56" s="52">
        <v>26060033</v>
      </c>
      <c r="F56" s="219" t="s">
        <v>362</v>
      </c>
      <c r="G56" s="430" t="s">
        <v>493</v>
      </c>
      <c r="H56" s="1032" t="s">
        <v>233</v>
      </c>
      <c r="I56" s="852" t="s">
        <v>2658</v>
      </c>
      <c r="J56" s="1005">
        <v>3014842627</v>
      </c>
      <c r="K56" s="978">
        <v>12</v>
      </c>
      <c r="L56" s="978">
        <v>11</v>
      </c>
      <c r="M56" s="240">
        <v>12</v>
      </c>
      <c r="N56" s="53" t="s">
        <v>215</v>
      </c>
      <c r="O56" s="783" t="s">
        <v>129</v>
      </c>
      <c r="P56" s="1059" t="s">
        <v>2784</v>
      </c>
      <c r="Q56" s="431"/>
    </row>
    <row r="57" spans="1:20" s="7" customFormat="1" ht="30.1" customHeight="1" x14ac:dyDescent="0.25">
      <c r="A57" s="767">
        <v>23</v>
      </c>
      <c r="B57" s="768" t="s">
        <v>712</v>
      </c>
      <c r="C57" s="768" t="s">
        <v>713</v>
      </c>
      <c r="D57" s="768" t="s">
        <v>348</v>
      </c>
      <c r="E57" s="769">
        <v>25949685</v>
      </c>
      <c r="F57" s="768" t="s">
        <v>349</v>
      </c>
      <c r="G57" s="717" t="s">
        <v>714</v>
      </c>
      <c r="H57" s="1041" t="s">
        <v>21</v>
      </c>
      <c r="I57" s="855" t="s">
        <v>2659</v>
      </c>
      <c r="J57" s="1011" t="s">
        <v>2660</v>
      </c>
      <c r="K57" s="978">
        <v>1</v>
      </c>
      <c r="L57" s="978">
        <v>30</v>
      </c>
      <c r="M57" s="415">
        <v>16</v>
      </c>
      <c r="N57" s="766" t="s">
        <v>4</v>
      </c>
      <c r="O57" s="783" t="s">
        <v>335</v>
      </c>
      <c r="P57" s="1041" t="s">
        <v>2504</v>
      </c>
      <c r="Q57" s="766" t="s">
        <v>2543</v>
      </c>
      <c r="R57" s="149"/>
      <c r="S57" s="10"/>
      <c r="T57" s="91"/>
    </row>
    <row r="58" spans="1:20" s="7" customFormat="1" ht="30.1" customHeight="1" x14ac:dyDescent="0.25">
      <c r="A58" s="1334">
        <v>24</v>
      </c>
      <c r="B58" s="1335" t="s">
        <v>375</v>
      </c>
      <c r="C58" s="1335" t="s">
        <v>374</v>
      </c>
      <c r="D58" s="1335" t="s">
        <v>348</v>
      </c>
      <c r="E58" s="1336">
        <v>26027649</v>
      </c>
      <c r="F58" s="219" t="s">
        <v>349</v>
      </c>
      <c r="G58" s="1337" t="s">
        <v>510</v>
      </c>
      <c r="H58" s="1032" t="s">
        <v>20</v>
      </c>
      <c r="I58" s="1338" t="s">
        <v>2661</v>
      </c>
      <c r="J58" s="1287">
        <v>3145141596</v>
      </c>
      <c r="K58" s="1317">
        <v>1</v>
      </c>
      <c r="L58" s="1317">
        <v>30</v>
      </c>
      <c r="M58" s="240">
        <v>20</v>
      </c>
      <c r="N58" s="53" t="s">
        <v>4</v>
      </c>
      <c r="O58" s="783" t="s">
        <v>2176</v>
      </c>
      <c r="P58" s="1360" t="s">
        <v>2279</v>
      </c>
      <c r="Q58" s="53"/>
      <c r="R58" s="149"/>
      <c r="S58" s="105"/>
      <c r="T58" s="91"/>
    </row>
    <row r="59" spans="1:20" s="7" customFormat="1" ht="30.1" customHeight="1" x14ac:dyDescent="0.25">
      <c r="A59" s="1334"/>
      <c r="B59" s="1335"/>
      <c r="C59" s="1335"/>
      <c r="D59" s="1335"/>
      <c r="E59" s="1336"/>
      <c r="F59" s="219" t="s">
        <v>349</v>
      </c>
      <c r="G59" s="1337"/>
      <c r="H59" s="1032" t="s">
        <v>20</v>
      </c>
      <c r="I59" s="1338"/>
      <c r="J59" s="1288"/>
      <c r="K59" s="1317"/>
      <c r="L59" s="1317"/>
      <c r="M59" s="240">
        <v>20</v>
      </c>
      <c r="N59" s="148" t="s">
        <v>215</v>
      </c>
      <c r="O59" s="783" t="s">
        <v>614</v>
      </c>
      <c r="P59" s="1361"/>
      <c r="Q59" s="53"/>
      <c r="R59" s="149"/>
      <c r="S59" s="124"/>
      <c r="T59" s="91"/>
    </row>
    <row r="60" spans="1:20" s="7" customFormat="1" ht="30.1" customHeight="1" x14ac:dyDescent="0.25">
      <c r="A60" s="1334">
        <v>25</v>
      </c>
      <c r="B60" s="1335" t="s">
        <v>372</v>
      </c>
      <c r="C60" s="1335" t="s">
        <v>371</v>
      </c>
      <c r="D60" s="1335" t="s">
        <v>348</v>
      </c>
      <c r="E60" s="1336">
        <v>1546849</v>
      </c>
      <c r="F60" s="219" t="s">
        <v>349</v>
      </c>
      <c r="G60" s="1337"/>
      <c r="H60" s="1032" t="s">
        <v>9</v>
      </c>
      <c r="I60" s="1338" t="s">
        <v>2662</v>
      </c>
      <c r="J60" s="1287">
        <v>3187664648</v>
      </c>
      <c r="K60" s="1317">
        <v>1</v>
      </c>
      <c r="L60" s="1317">
        <v>30</v>
      </c>
      <c r="M60" s="240">
        <v>12</v>
      </c>
      <c r="N60" s="148" t="s">
        <v>4</v>
      </c>
      <c r="O60" s="783" t="s">
        <v>7</v>
      </c>
      <c r="P60" s="1281" t="s">
        <v>2502</v>
      </c>
      <c r="Q60" s="53"/>
      <c r="R60" s="149"/>
      <c r="S60" s="10"/>
      <c r="T60" s="1373"/>
    </row>
    <row r="61" spans="1:20" s="7" customFormat="1" ht="30.1" customHeight="1" x14ac:dyDescent="0.25">
      <c r="A61" s="1334"/>
      <c r="B61" s="1335"/>
      <c r="C61" s="1335"/>
      <c r="D61" s="1335"/>
      <c r="E61" s="1336"/>
      <c r="F61" s="219" t="s">
        <v>349</v>
      </c>
      <c r="G61" s="1337"/>
      <c r="H61" s="1032" t="s">
        <v>9</v>
      </c>
      <c r="I61" s="1338"/>
      <c r="J61" s="1291"/>
      <c r="K61" s="1317"/>
      <c r="L61" s="1317"/>
      <c r="M61" s="240">
        <v>30</v>
      </c>
      <c r="N61" s="148" t="s">
        <v>5</v>
      </c>
      <c r="O61" s="783" t="s">
        <v>7</v>
      </c>
      <c r="P61" s="1305"/>
      <c r="Q61" s="53"/>
      <c r="R61" s="149"/>
      <c r="S61" s="10"/>
      <c r="T61" s="1373"/>
    </row>
    <row r="62" spans="1:20" s="7" customFormat="1" ht="30.1" customHeight="1" x14ac:dyDescent="0.25">
      <c r="A62" s="1334"/>
      <c r="B62" s="1335"/>
      <c r="C62" s="1335"/>
      <c r="D62" s="1335"/>
      <c r="E62" s="1336"/>
      <c r="F62" s="219" t="s">
        <v>349</v>
      </c>
      <c r="G62" s="1337"/>
      <c r="H62" s="1032" t="s">
        <v>9</v>
      </c>
      <c r="I62" s="1338"/>
      <c r="J62" s="1288"/>
      <c r="K62" s="1317"/>
      <c r="L62" s="1317"/>
      <c r="M62" s="240">
        <v>12</v>
      </c>
      <c r="N62" s="148" t="s">
        <v>215</v>
      </c>
      <c r="O62" s="783" t="s">
        <v>364</v>
      </c>
      <c r="P62" s="1305"/>
      <c r="Q62" s="53"/>
      <c r="R62" s="149"/>
      <c r="S62" s="10"/>
      <c r="T62" s="1373"/>
    </row>
    <row r="63" spans="1:20" s="7" customFormat="1" ht="30.1" customHeight="1" x14ac:dyDescent="0.25">
      <c r="A63" s="150">
        <v>26</v>
      </c>
      <c r="B63" s="747" t="s">
        <v>605</v>
      </c>
      <c r="C63" s="747" t="s">
        <v>606</v>
      </c>
      <c r="D63" s="148" t="s">
        <v>348</v>
      </c>
      <c r="E63" s="52">
        <v>1003717867</v>
      </c>
      <c r="F63" s="219" t="s">
        <v>349</v>
      </c>
      <c r="G63" s="430" t="s">
        <v>607</v>
      </c>
      <c r="H63" s="1032" t="s">
        <v>96</v>
      </c>
      <c r="I63" s="856" t="s">
        <v>2663</v>
      </c>
      <c r="J63" s="1005" t="s">
        <v>2664</v>
      </c>
      <c r="K63" s="996">
        <v>1</v>
      </c>
      <c r="L63" s="978">
        <v>30</v>
      </c>
      <c r="M63" s="240">
        <v>12</v>
      </c>
      <c r="N63" s="53" t="s">
        <v>4</v>
      </c>
      <c r="O63" s="783" t="s">
        <v>822</v>
      </c>
      <c r="P63" s="1032" t="s">
        <v>2504</v>
      </c>
      <c r="Q63" s="53"/>
      <c r="R63" s="149"/>
      <c r="S63" s="92" t="s">
        <v>415</v>
      </c>
      <c r="T63" s="91"/>
    </row>
    <row r="64" spans="1:20" s="4" customFormat="1" ht="38.75" customHeight="1" x14ac:dyDescent="0.25">
      <c r="A64" s="1334">
        <v>27</v>
      </c>
      <c r="B64" s="1302" t="s">
        <v>360</v>
      </c>
      <c r="C64" s="1302" t="s">
        <v>361</v>
      </c>
      <c r="D64" s="1302" t="s">
        <v>348</v>
      </c>
      <c r="E64" s="1339">
        <v>23097219</v>
      </c>
      <c r="F64" s="218" t="s">
        <v>349</v>
      </c>
      <c r="G64" s="1328" t="s">
        <v>481</v>
      </c>
      <c r="H64" s="1030" t="s">
        <v>14</v>
      </c>
      <c r="I64" s="1321" t="s">
        <v>2665</v>
      </c>
      <c r="J64" s="1297">
        <v>3007984914</v>
      </c>
      <c r="K64" s="1317">
        <v>1</v>
      </c>
      <c r="L64" s="1317">
        <v>30</v>
      </c>
      <c r="M64" s="239">
        <v>12</v>
      </c>
      <c r="N64" s="151" t="s">
        <v>4</v>
      </c>
      <c r="O64" s="782" t="s">
        <v>2301</v>
      </c>
      <c r="P64" s="1281" t="s">
        <v>2494</v>
      </c>
      <c r="Q64" s="755"/>
      <c r="R64" s="759"/>
      <c r="S64" s="90"/>
      <c r="T64" s="90"/>
    </row>
    <row r="65" spans="1:20" s="4" customFormat="1" ht="21.75" customHeight="1" x14ac:dyDescent="0.25">
      <c r="A65" s="1334"/>
      <c r="B65" s="1302"/>
      <c r="C65" s="1302"/>
      <c r="D65" s="1302"/>
      <c r="E65" s="1339"/>
      <c r="F65" s="218" t="s">
        <v>349</v>
      </c>
      <c r="G65" s="1328"/>
      <c r="H65" s="1030" t="s">
        <v>14</v>
      </c>
      <c r="I65" s="1321"/>
      <c r="J65" s="1298"/>
      <c r="K65" s="1317"/>
      <c r="L65" s="1317"/>
      <c r="M65" s="239">
        <v>12</v>
      </c>
      <c r="N65" s="151" t="s">
        <v>215</v>
      </c>
      <c r="O65" s="668" t="s">
        <v>926</v>
      </c>
      <c r="P65" s="1305"/>
      <c r="Q65" s="325"/>
      <c r="R65" s="90"/>
      <c r="S65" s="90"/>
      <c r="T65" s="90"/>
    </row>
    <row r="66" spans="1:20" s="7" customFormat="1" ht="30.1" customHeight="1" x14ac:dyDescent="0.25">
      <c r="A66" s="1334">
        <v>28</v>
      </c>
      <c r="B66" s="1335" t="s">
        <v>538</v>
      </c>
      <c r="C66" s="1335" t="s">
        <v>539</v>
      </c>
      <c r="D66" s="1335" t="s">
        <v>348</v>
      </c>
      <c r="E66" s="1336">
        <v>26022651</v>
      </c>
      <c r="F66" s="174" t="s">
        <v>353</v>
      </c>
      <c r="G66" s="1337" t="s">
        <v>493</v>
      </c>
      <c r="H66" s="1032" t="s">
        <v>20</v>
      </c>
      <c r="I66" s="1338" t="s">
        <v>2666</v>
      </c>
      <c r="J66" s="1287" t="s">
        <v>2667</v>
      </c>
      <c r="K66" s="1317">
        <v>1</v>
      </c>
      <c r="L66" s="1317">
        <v>30</v>
      </c>
      <c r="M66" s="240">
        <v>12</v>
      </c>
      <c r="N66" s="148" t="s">
        <v>4</v>
      </c>
      <c r="O66" s="669" t="s">
        <v>2176</v>
      </c>
      <c r="P66" s="1335" t="s">
        <v>2336</v>
      </c>
      <c r="Q66" s="53"/>
      <c r="R66" s="157"/>
      <c r="S66" s="1365"/>
      <c r="T66" s="91"/>
    </row>
    <row r="67" spans="1:20" s="7" customFormat="1" ht="30.1" customHeight="1" x14ac:dyDescent="0.25">
      <c r="A67" s="1334"/>
      <c r="B67" s="1335"/>
      <c r="C67" s="1335"/>
      <c r="D67" s="1335"/>
      <c r="E67" s="1336"/>
      <c r="F67" s="174" t="s">
        <v>353</v>
      </c>
      <c r="G67" s="1337"/>
      <c r="H67" s="1032" t="s">
        <v>20</v>
      </c>
      <c r="I67" s="1338"/>
      <c r="J67" s="1291"/>
      <c r="K67" s="1317"/>
      <c r="L67" s="1317"/>
      <c r="M67" s="1000"/>
      <c r="N67" s="174" t="s">
        <v>5</v>
      </c>
      <c r="O67" s="174" t="s">
        <v>2176</v>
      </c>
      <c r="P67" s="1335"/>
      <c r="Q67" s="53"/>
      <c r="R67" s="157"/>
      <c r="S67" s="1365"/>
      <c r="T67" s="91"/>
    </row>
    <row r="68" spans="1:20" s="7" customFormat="1" ht="30.1" customHeight="1" x14ac:dyDescent="0.25">
      <c r="A68" s="1334"/>
      <c r="B68" s="1335"/>
      <c r="C68" s="1335"/>
      <c r="D68" s="1335"/>
      <c r="E68" s="1336"/>
      <c r="F68" s="174" t="s">
        <v>353</v>
      </c>
      <c r="G68" s="1337"/>
      <c r="H68" s="1032" t="s">
        <v>20</v>
      </c>
      <c r="I68" s="1338"/>
      <c r="J68" s="1288"/>
      <c r="K68" s="1317"/>
      <c r="L68" s="1317"/>
      <c r="M68" s="240">
        <v>12</v>
      </c>
      <c r="N68" s="148" t="s">
        <v>215</v>
      </c>
      <c r="O68" s="669" t="s">
        <v>614</v>
      </c>
      <c r="P68" s="1335"/>
      <c r="Q68" s="53"/>
      <c r="R68" s="157"/>
      <c r="S68" s="1365"/>
      <c r="T68" s="91"/>
    </row>
    <row r="69" spans="1:20" s="4" customFormat="1" ht="30.1" customHeight="1" x14ac:dyDescent="0.25">
      <c r="A69" s="1334">
        <v>29</v>
      </c>
      <c r="B69" s="1302" t="s">
        <v>350</v>
      </c>
      <c r="C69" s="1302" t="s">
        <v>351</v>
      </c>
      <c r="D69" s="1302" t="s">
        <v>348</v>
      </c>
      <c r="E69" s="1339">
        <v>1134329040</v>
      </c>
      <c r="F69" s="218" t="s">
        <v>362</v>
      </c>
      <c r="G69" s="1328" t="s">
        <v>506</v>
      </c>
      <c r="H69" s="1030" t="s">
        <v>14</v>
      </c>
      <c r="I69" s="1321" t="s">
        <v>2668</v>
      </c>
      <c r="J69" s="1287">
        <v>3225970377</v>
      </c>
      <c r="K69" s="1317">
        <v>7</v>
      </c>
      <c r="L69" s="1317">
        <v>6</v>
      </c>
      <c r="M69" s="239">
        <v>12</v>
      </c>
      <c r="N69" s="151" t="s">
        <v>215</v>
      </c>
      <c r="O69" s="668" t="s">
        <v>996</v>
      </c>
      <c r="P69" s="1302" t="s">
        <v>2249</v>
      </c>
      <c r="Q69" s="325"/>
      <c r="R69" s="90"/>
      <c r="S69" s="90"/>
      <c r="T69" s="90"/>
    </row>
    <row r="70" spans="1:20" s="4" customFormat="1" ht="30.1" customHeight="1" x14ac:dyDescent="0.25">
      <c r="A70" s="1334"/>
      <c r="B70" s="1302"/>
      <c r="C70" s="1302"/>
      <c r="D70" s="1302"/>
      <c r="E70" s="1339"/>
      <c r="F70" s="218" t="s">
        <v>362</v>
      </c>
      <c r="G70" s="1328"/>
      <c r="H70" s="1030" t="s">
        <v>14</v>
      </c>
      <c r="I70" s="1321"/>
      <c r="J70" s="1288"/>
      <c r="K70" s="1317"/>
      <c r="L70" s="1317"/>
      <c r="M70" s="239">
        <v>20</v>
      </c>
      <c r="N70" s="151" t="s">
        <v>4</v>
      </c>
      <c r="O70" s="782" t="s">
        <v>2466</v>
      </c>
      <c r="P70" s="1302"/>
      <c r="Q70" s="325"/>
      <c r="R70" s="90"/>
      <c r="S70" s="90"/>
      <c r="T70" s="90"/>
    </row>
    <row r="71" spans="1:20" ht="34.5" customHeight="1" x14ac:dyDescent="0.25">
      <c r="A71" s="150">
        <v>30</v>
      </c>
      <c r="B71" s="747" t="s">
        <v>904</v>
      </c>
      <c r="C71" s="747" t="s">
        <v>905</v>
      </c>
      <c r="D71" s="151" t="s">
        <v>348</v>
      </c>
      <c r="E71" s="152">
        <v>25803606</v>
      </c>
      <c r="F71" s="219" t="s">
        <v>906</v>
      </c>
      <c r="G71" s="430" t="s">
        <v>493</v>
      </c>
      <c r="H71" s="1032" t="s">
        <v>20</v>
      </c>
      <c r="I71" s="852"/>
      <c r="J71" s="1005" t="s">
        <v>907</v>
      </c>
      <c r="K71" s="978">
        <v>1</v>
      </c>
      <c r="L71" s="978">
        <v>30</v>
      </c>
      <c r="M71" s="240">
        <v>20</v>
      </c>
      <c r="N71" s="148" t="s">
        <v>4</v>
      </c>
      <c r="O71" s="783" t="s">
        <v>2176</v>
      </c>
      <c r="P71" s="1032" t="s">
        <v>1163</v>
      </c>
      <c r="Q71" s="53"/>
    </row>
    <row r="72" spans="1:20" ht="30.1" customHeight="1" x14ac:dyDescent="0.25">
      <c r="A72" s="150">
        <v>32</v>
      </c>
      <c r="B72" s="747" t="s">
        <v>912</v>
      </c>
      <c r="C72" s="747" t="s">
        <v>913</v>
      </c>
      <c r="D72" s="151" t="s">
        <v>348</v>
      </c>
      <c r="E72" s="152">
        <v>10991986</v>
      </c>
      <c r="F72" s="219" t="s">
        <v>906</v>
      </c>
      <c r="G72" s="846" t="s">
        <v>914</v>
      </c>
      <c r="H72" s="1032" t="s">
        <v>15</v>
      </c>
      <c r="I72" s="852"/>
      <c r="J72" s="977">
        <v>3214483439</v>
      </c>
      <c r="K72" s="978">
        <v>1</v>
      </c>
      <c r="L72" s="978">
        <v>30</v>
      </c>
      <c r="M72" s="240">
        <v>30</v>
      </c>
      <c r="N72" s="148" t="s">
        <v>4</v>
      </c>
      <c r="O72" s="783" t="s">
        <v>16</v>
      </c>
      <c r="P72" s="1032" t="s">
        <v>915</v>
      </c>
      <c r="Q72" s="325"/>
    </row>
    <row r="73" spans="1:20" ht="30.1" customHeight="1" x14ac:dyDescent="0.25">
      <c r="A73" s="1334">
        <v>33</v>
      </c>
      <c r="B73" s="1335" t="s">
        <v>916</v>
      </c>
      <c r="C73" s="1335" t="s">
        <v>917</v>
      </c>
      <c r="D73" s="1302" t="s">
        <v>348</v>
      </c>
      <c r="E73" s="1339">
        <v>22760251</v>
      </c>
      <c r="F73" s="220" t="s">
        <v>906</v>
      </c>
      <c r="G73" s="1368" t="s">
        <v>493</v>
      </c>
      <c r="H73" s="1032" t="s">
        <v>9</v>
      </c>
      <c r="I73" s="1383"/>
      <c r="J73" s="1383" t="s">
        <v>918</v>
      </c>
      <c r="K73" s="1317">
        <v>1</v>
      </c>
      <c r="L73" s="1317">
        <v>30</v>
      </c>
      <c r="M73" s="240">
        <v>20</v>
      </c>
      <c r="N73" s="148" t="s">
        <v>4</v>
      </c>
      <c r="O73" s="783" t="s">
        <v>7</v>
      </c>
      <c r="P73" s="1335" t="s">
        <v>995</v>
      </c>
      <c r="Q73" s="1367"/>
    </row>
    <row r="74" spans="1:20" ht="30.1" customHeight="1" x14ac:dyDescent="0.25">
      <c r="A74" s="1334"/>
      <c r="B74" s="1335"/>
      <c r="C74" s="1335"/>
      <c r="D74" s="1302"/>
      <c r="E74" s="1339"/>
      <c r="F74" s="220" t="s">
        <v>906</v>
      </c>
      <c r="G74" s="1368"/>
      <c r="H74" s="1032" t="s">
        <v>9</v>
      </c>
      <c r="I74" s="1383"/>
      <c r="J74" s="1383"/>
      <c r="K74" s="1317"/>
      <c r="L74" s="1317"/>
      <c r="M74" s="240">
        <v>20</v>
      </c>
      <c r="N74" s="148" t="s">
        <v>8</v>
      </c>
      <c r="O74" s="782" t="s">
        <v>381</v>
      </c>
      <c r="P74" s="1335"/>
      <c r="Q74" s="1367"/>
    </row>
    <row r="75" spans="1:20" s="115" customFormat="1" ht="30.1" customHeight="1" x14ac:dyDescent="0.25">
      <c r="A75" s="1334">
        <v>34</v>
      </c>
      <c r="B75" s="1335" t="s">
        <v>919</v>
      </c>
      <c r="C75" s="1335" t="s">
        <v>920</v>
      </c>
      <c r="D75" s="1302" t="s">
        <v>348</v>
      </c>
      <c r="E75" s="1339">
        <v>6863365</v>
      </c>
      <c r="F75" s="219" t="s">
        <v>906</v>
      </c>
      <c r="G75" s="1337" t="s">
        <v>921</v>
      </c>
      <c r="H75" s="1032" t="s">
        <v>14</v>
      </c>
      <c r="I75" s="1293"/>
      <c r="J75" s="1293">
        <v>3008151227</v>
      </c>
      <c r="K75" s="1317">
        <v>2</v>
      </c>
      <c r="L75" s="1317">
        <v>1</v>
      </c>
      <c r="M75" s="239">
        <v>30</v>
      </c>
      <c r="N75" s="151" t="s">
        <v>5</v>
      </c>
      <c r="O75" s="146" t="s">
        <v>2298</v>
      </c>
      <c r="P75" s="1335" t="s">
        <v>1188</v>
      </c>
      <c r="Q75" s="1367" t="s">
        <v>2334</v>
      </c>
    </row>
    <row r="76" spans="1:20" s="115" customFormat="1" ht="30.1" customHeight="1" x14ac:dyDescent="0.25">
      <c r="A76" s="1334"/>
      <c r="B76" s="1335"/>
      <c r="C76" s="1335"/>
      <c r="D76" s="1302"/>
      <c r="E76" s="1339"/>
      <c r="F76" s="219" t="s">
        <v>906</v>
      </c>
      <c r="G76" s="1337"/>
      <c r="H76" s="1032" t="s">
        <v>14</v>
      </c>
      <c r="I76" s="1293"/>
      <c r="J76" s="1293"/>
      <c r="K76" s="1317"/>
      <c r="L76" s="1317"/>
      <c r="M76" s="239">
        <v>30</v>
      </c>
      <c r="N76" s="151" t="s">
        <v>4</v>
      </c>
      <c r="O76" s="146" t="s">
        <v>2298</v>
      </c>
      <c r="P76" s="1335"/>
      <c r="Q76" s="1367"/>
    </row>
    <row r="77" spans="1:20" s="115" customFormat="1" ht="30.1" customHeight="1" x14ac:dyDescent="0.25">
      <c r="A77" s="1334"/>
      <c r="B77" s="1335"/>
      <c r="C77" s="1335"/>
      <c r="D77" s="1302"/>
      <c r="E77" s="1339"/>
      <c r="F77" s="219" t="s">
        <v>906</v>
      </c>
      <c r="G77" s="1337"/>
      <c r="H77" s="1032" t="s">
        <v>14</v>
      </c>
      <c r="I77" s="1293"/>
      <c r="J77" s="1293"/>
      <c r="K77" s="1317"/>
      <c r="L77" s="1317"/>
      <c r="M77" s="239">
        <v>12</v>
      </c>
      <c r="N77" s="151" t="s">
        <v>215</v>
      </c>
      <c r="O77" s="146" t="s">
        <v>543</v>
      </c>
      <c r="P77" s="1335"/>
      <c r="Q77" s="1367"/>
    </row>
    <row r="78" spans="1:20" ht="23.95" customHeight="1" x14ac:dyDescent="0.25">
      <c r="A78" s="1334">
        <v>35</v>
      </c>
      <c r="B78" s="1394" t="s">
        <v>376</v>
      </c>
      <c r="C78" s="1394" t="s">
        <v>922</v>
      </c>
      <c r="D78" s="1394" t="s">
        <v>348</v>
      </c>
      <c r="E78" s="1395">
        <v>78037181</v>
      </c>
      <c r="F78" s="414" t="s">
        <v>923</v>
      </c>
      <c r="G78" s="1328" t="s">
        <v>924</v>
      </c>
      <c r="H78" s="1038" t="s">
        <v>22</v>
      </c>
      <c r="I78" s="1292"/>
      <c r="J78" s="1292">
        <v>3045339349</v>
      </c>
      <c r="K78" s="1358">
        <v>1</v>
      </c>
      <c r="L78" s="1358">
        <v>30</v>
      </c>
      <c r="M78" s="1001">
        <v>20</v>
      </c>
      <c r="N78" s="414" t="s">
        <v>4</v>
      </c>
      <c r="O78" s="670" t="s">
        <v>23</v>
      </c>
      <c r="P78" s="1302" t="s">
        <v>925</v>
      </c>
      <c r="Q78" s="1366"/>
    </row>
    <row r="79" spans="1:20" ht="23.95" customHeight="1" x14ac:dyDescent="0.25">
      <c r="A79" s="1334"/>
      <c r="B79" s="1394"/>
      <c r="C79" s="1394"/>
      <c r="D79" s="1394"/>
      <c r="E79" s="1395"/>
      <c r="F79" s="414" t="s">
        <v>923</v>
      </c>
      <c r="G79" s="1328"/>
      <c r="H79" s="1038" t="s">
        <v>22</v>
      </c>
      <c r="I79" s="1292"/>
      <c r="J79" s="1292"/>
      <c r="K79" s="1358"/>
      <c r="L79" s="1358"/>
      <c r="M79" s="1001">
        <v>60</v>
      </c>
      <c r="N79" s="414" t="s">
        <v>5</v>
      </c>
      <c r="O79" s="670" t="s">
        <v>23</v>
      </c>
      <c r="P79" s="1302"/>
      <c r="Q79" s="1366"/>
    </row>
    <row r="80" spans="1:20" ht="23.95" customHeight="1" x14ac:dyDescent="0.25">
      <c r="A80" s="1334"/>
      <c r="B80" s="1394"/>
      <c r="C80" s="1394"/>
      <c r="D80" s="1394"/>
      <c r="E80" s="1395"/>
      <c r="F80" s="414" t="s">
        <v>923</v>
      </c>
      <c r="G80" s="1328"/>
      <c r="H80" s="1038" t="s">
        <v>22</v>
      </c>
      <c r="I80" s="1292"/>
      <c r="J80" s="1292"/>
      <c r="K80" s="1358"/>
      <c r="L80" s="1358"/>
      <c r="M80" s="1001">
        <v>20</v>
      </c>
      <c r="N80" s="414" t="s">
        <v>215</v>
      </c>
      <c r="O80" s="670" t="s">
        <v>926</v>
      </c>
      <c r="P80" s="1302"/>
      <c r="Q80" s="1366"/>
    </row>
    <row r="81" spans="1:17" s="115" customFormat="1" ht="30.1" customHeight="1" x14ac:dyDescent="0.25">
      <c r="A81" s="1334">
        <v>36</v>
      </c>
      <c r="B81" s="1302" t="s">
        <v>927</v>
      </c>
      <c r="C81" s="1302" t="s">
        <v>928</v>
      </c>
      <c r="D81" s="1302" t="s">
        <v>348</v>
      </c>
      <c r="E81" s="1339">
        <v>78027242</v>
      </c>
      <c r="F81" s="218" t="s">
        <v>906</v>
      </c>
      <c r="G81" s="1312" t="s">
        <v>494</v>
      </c>
      <c r="H81" s="1030" t="s">
        <v>9</v>
      </c>
      <c r="I81" s="1293"/>
      <c r="J81" s="1293">
        <v>3113286434</v>
      </c>
      <c r="K81" s="1317">
        <v>1</v>
      </c>
      <c r="L81" s="1317">
        <v>30</v>
      </c>
      <c r="M81" s="239">
        <v>20</v>
      </c>
      <c r="N81" s="151" t="s">
        <v>4</v>
      </c>
      <c r="O81" s="668" t="s">
        <v>7</v>
      </c>
      <c r="P81" s="1359" t="s">
        <v>2605</v>
      </c>
      <c r="Q81" s="1326"/>
    </row>
    <row r="82" spans="1:17" s="115" customFormat="1" ht="30.1" customHeight="1" x14ac:dyDescent="0.25">
      <c r="A82" s="1334"/>
      <c r="B82" s="1302"/>
      <c r="C82" s="1302"/>
      <c r="D82" s="1302"/>
      <c r="E82" s="1339"/>
      <c r="F82" s="218" t="s">
        <v>906</v>
      </c>
      <c r="G82" s="1313"/>
      <c r="H82" s="1030" t="s">
        <v>9</v>
      </c>
      <c r="I82" s="1293"/>
      <c r="J82" s="1293"/>
      <c r="K82" s="1317"/>
      <c r="L82" s="1317"/>
      <c r="M82" s="239">
        <v>20</v>
      </c>
      <c r="N82" s="151" t="s">
        <v>5</v>
      </c>
      <c r="O82" s="668" t="s">
        <v>7</v>
      </c>
      <c r="P82" s="1359"/>
      <c r="Q82" s="1326"/>
    </row>
    <row r="83" spans="1:17" s="115" customFormat="1" ht="30.1" customHeight="1" x14ac:dyDescent="0.25">
      <c r="A83" s="1334"/>
      <c r="B83" s="1302"/>
      <c r="C83" s="1302"/>
      <c r="D83" s="1302"/>
      <c r="E83" s="1339"/>
      <c r="F83" s="218" t="s">
        <v>906</v>
      </c>
      <c r="G83" s="1313"/>
      <c r="H83" s="1030" t="s">
        <v>9</v>
      </c>
      <c r="I83" s="1293"/>
      <c r="J83" s="1293"/>
      <c r="K83" s="1317"/>
      <c r="L83" s="1317"/>
      <c r="M83" s="239">
        <v>20</v>
      </c>
      <c r="N83" s="151" t="s">
        <v>215</v>
      </c>
      <c r="O83" s="668" t="s">
        <v>364</v>
      </c>
      <c r="P83" s="1359"/>
      <c r="Q83" s="1326"/>
    </row>
    <row r="84" spans="1:17" s="115" customFormat="1" ht="30.1" customHeight="1" x14ac:dyDescent="0.25">
      <c r="A84" s="1334"/>
      <c r="B84" s="1302"/>
      <c r="C84" s="1302"/>
      <c r="D84" s="1302"/>
      <c r="E84" s="1339"/>
      <c r="F84" s="399" t="s">
        <v>906</v>
      </c>
      <c r="G84" s="1313"/>
      <c r="H84" s="1030" t="s">
        <v>9</v>
      </c>
      <c r="I84" s="1293"/>
      <c r="J84" s="1293"/>
      <c r="K84" s="1317"/>
      <c r="L84" s="1317"/>
      <c r="M84" s="239">
        <v>20</v>
      </c>
      <c r="N84" s="399" t="s">
        <v>214</v>
      </c>
      <c r="O84" s="668" t="s">
        <v>209</v>
      </c>
      <c r="P84" s="1359"/>
      <c r="Q84" s="1326"/>
    </row>
    <row r="85" spans="1:17" s="7" customFormat="1" ht="30.1" customHeight="1" x14ac:dyDescent="0.25">
      <c r="A85" s="1334">
        <v>37</v>
      </c>
      <c r="B85" s="1335" t="s">
        <v>929</v>
      </c>
      <c r="C85" s="1335" t="s">
        <v>930</v>
      </c>
      <c r="D85" s="1335" t="s">
        <v>348</v>
      </c>
      <c r="E85" s="1336">
        <v>30571313</v>
      </c>
      <c r="F85" s="219" t="s">
        <v>906</v>
      </c>
      <c r="G85" s="1337" t="s">
        <v>931</v>
      </c>
      <c r="H85" s="1032" t="s">
        <v>20</v>
      </c>
      <c r="I85" s="1293" t="s">
        <v>2669</v>
      </c>
      <c r="J85" s="1287">
        <v>3003157807</v>
      </c>
      <c r="K85" s="1317">
        <v>1</v>
      </c>
      <c r="L85" s="1317">
        <v>30</v>
      </c>
      <c r="M85" s="240">
        <v>12</v>
      </c>
      <c r="N85" s="155" t="s">
        <v>4</v>
      </c>
      <c r="O85" s="669" t="s">
        <v>2176</v>
      </c>
      <c r="P85" s="1360" t="s">
        <v>1206</v>
      </c>
      <c r="Q85" s="1367"/>
    </row>
    <row r="86" spans="1:17" s="7" customFormat="1" ht="30.1" customHeight="1" x14ac:dyDescent="0.25">
      <c r="A86" s="1334"/>
      <c r="B86" s="1335"/>
      <c r="C86" s="1335"/>
      <c r="D86" s="1335"/>
      <c r="E86" s="1336"/>
      <c r="F86" s="219" t="s">
        <v>906</v>
      </c>
      <c r="G86" s="1337"/>
      <c r="H86" s="1032" t="s">
        <v>20</v>
      </c>
      <c r="I86" s="1293"/>
      <c r="J86" s="1291"/>
      <c r="K86" s="1363"/>
      <c r="L86" s="1317"/>
      <c r="M86" s="240">
        <v>12</v>
      </c>
      <c r="N86" s="155" t="s">
        <v>8</v>
      </c>
      <c r="O86" s="669" t="s">
        <v>373</v>
      </c>
      <c r="P86" s="1361"/>
      <c r="Q86" s="1367"/>
    </row>
    <row r="87" spans="1:17" s="7" customFormat="1" ht="30.1" customHeight="1" x14ac:dyDescent="0.25">
      <c r="A87" s="1334"/>
      <c r="B87" s="1335"/>
      <c r="C87" s="1335"/>
      <c r="D87" s="1335"/>
      <c r="E87" s="1336"/>
      <c r="F87" s="219" t="s">
        <v>906</v>
      </c>
      <c r="G87" s="1337"/>
      <c r="H87" s="1032" t="s">
        <v>20</v>
      </c>
      <c r="I87" s="1293"/>
      <c r="J87" s="1288"/>
      <c r="K87" s="1363"/>
      <c r="L87" s="1317"/>
      <c r="M87" s="240">
        <v>12</v>
      </c>
      <c r="N87" s="155" t="s">
        <v>215</v>
      </c>
      <c r="O87" s="669" t="s">
        <v>614</v>
      </c>
      <c r="P87" s="1362"/>
      <c r="Q87" s="1367"/>
    </row>
    <row r="88" spans="1:17" s="90" customFormat="1" ht="30.1" customHeight="1" x14ac:dyDescent="0.25">
      <c r="A88" s="1334">
        <v>38</v>
      </c>
      <c r="B88" s="1372" t="s">
        <v>932</v>
      </c>
      <c r="C88" s="1372" t="s">
        <v>933</v>
      </c>
      <c r="D88" s="1302" t="s">
        <v>348</v>
      </c>
      <c r="E88" s="1339">
        <v>22301501</v>
      </c>
      <c r="F88" s="219" t="s">
        <v>906</v>
      </c>
      <c r="G88" s="1337" t="s">
        <v>934</v>
      </c>
      <c r="H88" s="1032" t="s">
        <v>14</v>
      </c>
      <c r="I88" s="1293"/>
      <c r="J88" s="1293">
        <v>3012237430</v>
      </c>
      <c r="K88" s="1317">
        <v>25</v>
      </c>
      <c r="L88" s="1317">
        <v>24</v>
      </c>
      <c r="M88" s="239">
        <v>12</v>
      </c>
      <c r="N88" s="148" t="s">
        <v>4</v>
      </c>
      <c r="O88" s="783" t="s">
        <v>2310</v>
      </c>
      <c r="P88" s="1302" t="s">
        <v>833</v>
      </c>
      <c r="Q88" s="1341" t="s">
        <v>833</v>
      </c>
    </row>
    <row r="89" spans="1:17" s="90" customFormat="1" ht="29.25" customHeight="1" x14ac:dyDescent="0.25">
      <c r="A89" s="1334"/>
      <c r="B89" s="1372"/>
      <c r="C89" s="1372"/>
      <c r="D89" s="1302"/>
      <c r="E89" s="1339"/>
      <c r="F89" s="219" t="s">
        <v>906</v>
      </c>
      <c r="G89" s="1337"/>
      <c r="H89" s="1032" t="s">
        <v>14</v>
      </c>
      <c r="I89" s="1293"/>
      <c r="J89" s="1293"/>
      <c r="K89" s="1317"/>
      <c r="L89" s="1317"/>
      <c r="M89" s="240">
        <v>8</v>
      </c>
      <c r="N89" s="148" t="s">
        <v>215</v>
      </c>
      <c r="O89" s="783" t="s">
        <v>543</v>
      </c>
      <c r="P89" s="1302"/>
      <c r="Q89" s="1341"/>
    </row>
    <row r="90" spans="1:17" s="90" customFormat="1" ht="30.1" customHeight="1" x14ac:dyDescent="0.25">
      <c r="A90" s="1334">
        <v>39</v>
      </c>
      <c r="B90" s="1340" t="s">
        <v>935</v>
      </c>
      <c r="C90" s="1340" t="s">
        <v>936</v>
      </c>
      <c r="D90" s="1302" t="s">
        <v>348</v>
      </c>
      <c r="E90" s="1339">
        <v>25784195</v>
      </c>
      <c r="F90" s="218" t="s">
        <v>906</v>
      </c>
      <c r="G90" s="1328" t="s">
        <v>481</v>
      </c>
      <c r="H90" s="1030" t="s">
        <v>14</v>
      </c>
      <c r="I90" s="1293" t="s">
        <v>2670</v>
      </c>
      <c r="J90" s="1287">
        <v>3215326011</v>
      </c>
      <c r="K90" s="1317">
        <v>1</v>
      </c>
      <c r="L90" s="1317">
        <v>30</v>
      </c>
      <c r="M90" s="239">
        <v>20</v>
      </c>
      <c r="N90" s="151" t="s">
        <v>4</v>
      </c>
      <c r="O90" s="782" t="s">
        <v>2466</v>
      </c>
      <c r="P90" s="1302" t="s">
        <v>937</v>
      </c>
      <c r="Q90" s="1326"/>
    </row>
    <row r="91" spans="1:17" s="90" customFormat="1" ht="30.1" customHeight="1" x14ac:dyDescent="0.25">
      <c r="A91" s="1334"/>
      <c r="B91" s="1340"/>
      <c r="C91" s="1340"/>
      <c r="D91" s="1302"/>
      <c r="E91" s="1339"/>
      <c r="F91" s="218" t="s">
        <v>906</v>
      </c>
      <c r="G91" s="1328"/>
      <c r="H91" s="1030" t="s">
        <v>14</v>
      </c>
      <c r="I91" s="1293"/>
      <c r="J91" s="1288"/>
      <c r="K91" s="1317"/>
      <c r="L91" s="1317"/>
      <c r="M91" s="1066">
        <v>20</v>
      </c>
      <c r="N91" s="1051" t="s">
        <v>215</v>
      </c>
      <c r="O91" s="1051" t="s">
        <v>996</v>
      </c>
      <c r="P91" s="1302"/>
      <c r="Q91" s="1326"/>
    </row>
    <row r="92" spans="1:17" ht="30.1" customHeight="1" x14ac:dyDescent="0.25">
      <c r="A92" s="150">
        <v>40</v>
      </c>
      <c r="B92" s="746" t="s">
        <v>938</v>
      </c>
      <c r="C92" s="746" t="s">
        <v>939</v>
      </c>
      <c r="D92" s="151" t="s">
        <v>348</v>
      </c>
      <c r="E92" s="152">
        <v>45425572</v>
      </c>
      <c r="F92" s="218" t="s">
        <v>906</v>
      </c>
      <c r="G92" s="847" t="s">
        <v>493</v>
      </c>
      <c r="H92" s="1030" t="s">
        <v>384</v>
      </c>
      <c r="I92" s="852"/>
      <c r="J92" s="977"/>
      <c r="K92" s="978">
        <v>1</v>
      </c>
      <c r="L92" s="978">
        <v>30</v>
      </c>
      <c r="M92" s="239">
        <v>12</v>
      </c>
      <c r="N92" s="151" t="s">
        <v>4</v>
      </c>
      <c r="O92" s="668" t="s">
        <v>382</v>
      </c>
      <c r="P92" s="1030" t="s">
        <v>940</v>
      </c>
      <c r="Q92" s="325"/>
    </row>
    <row r="93" spans="1:17" s="7" customFormat="1" ht="40.1" customHeight="1" x14ac:dyDescent="0.25">
      <c r="A93" s="150">
        <v>42</v>
      </c>
      <c r="B93" s="747" t="s">
        <v>946</v>
      </c>
      <c r="C93" s="747" t="s">
        <v>947</v>
      </c>
      <c r="D93" s="148" t="s">
        <v>348</v>
      </c>
      <c r="E93" s="52">
        <v>25756969</v>
      </c>
      <c r="F93" s="219" t="s">
        <v>906</v>
      </c>
      <c r="G93" s="430" t="s">
        <v>491</v>
      </c>
      <c r="H93" s="1032" t="s">
        <v>9</v>
      </c>
      <c r="I93" s="856" t="s">
        <v>2671</v>
      </c>
      <c r="J93" s="1005" t="s">
        <v>2672</v>
      </c>
      <c r="K93" s="978">
        <v>1</v>
      </c>
      <c r="L93" s="978">
        <v>30</v>
      </c>
      <c r="M93" s="240">
        <v>20</v>
      </c>
      <c r="N93" s="53" t="s">
        <v>4</v>
      </c>
      <c r="O93" s="669" t="s">
        <v>948</v>
      </c>
      <c r="P93" s="1032" t="s">
        <v>2132</v>
      </c>
      <c r="Q93" s="431"/>
    </row>
    <row r="94" spans="1:17" s="7" customFormat="1" ht="30.1" customHeight="1" x14ac:dyDescent="0.25">
      <c r="A94" s="1334">
        <v>43</v>
      </c>
      <c r="B94" s="1335" t="s">
        <v>949</v>
      </c>
      <c r="C94" s="1335" t="s">
        <v>950</v>
      </c>
      <c r="D94" s="1335" t="s">
        <v>348</v>
      </c>
      <c r="E94" s="1336">
        <v>15302849</v>
      </c>
      <c r="F94" s="219" t="s">
        <v>906</v>
      </c>
      <c r="G94" s="1337" t="s">
        <v>485</v>
      </c>
      <c r="H94" s="1032" t="s">
        <v>20</v>
      </c>
      <c r="I94" s="1338" t="s">
        <v>2673</v>
      </c>
      <c r="J94" s="1287" t="s">
        <v>2674</v>
      </c>
      <c r="K94" s="1317">
        <v>1</v>
      </c>
      <c r="L94" s="1317">
        <v>30</v>
      </c>
      <c r="M94" s="240">
        <v>20</v>
      </c>
      <c r="N94" s="148" t="s">
        <v>4</v>
      </c>
      <c r="O94" s="669" t="s">
        <v>2176</v>
      </c>
      <c r="P94" s="1335" t="s">
        <v>1187</v>
      </c>
      <c r="Q94" s="1342"/>
    </row>
    <row r="95" spans="1:17" s="7" customFormat="1" ht="30.1" customHeight="1" x14ac:dyDescent="0.25">
      <c r="A95" s="1334"/>
      <c r="B95" s="1335"/>
      <c r="C95" s="1335"/>
      <c r="D95" s="1335"/>
      <c r="E95" s="1336"/>
      <c r="F95" s="683" t="s">
        <v>906</v>
      </c>
      <c r="G95" s="1337"/>
      <c r="H95" s="1032" t="s">
        <v>20</v>
      </c>
      <c r="I95" s="1338"/>
      <c r="J95" s="1291"/>
      <c r="K95" s="1317"/>
      <c r="L95" s="1317"/>
      <c r="M95" s="1002">
        <v>14</v>
      </c>
      <c r="N95" s="686" t="s">
        <v>5</v>
      </c>
      <c r="O95" s="686" t="s">
        <v>2369</v>
      </c>
      <c r="P95" s="1335"/>
      <c r="Q95" s="1342"/>
    </row>
    <row r="96" spans="1:17" s="7" customFormat="1" ht="30.1" customHeight="1" x14ac:dyDescent="0.25">
      <c r="A96" s="1334"/>
      <c r="B96" s="1335"/>
      <c r="C96" s="1335"/>
      <c r="D96" s="1335"/>
      <c r="E96" s="1336"/>
      <c r="F96" s="219" t="s">
        <v>906</v>
      </c>
      <c r="G96" s="1337"/>
      <c r="H96" s="1032" t="s">
        <v>20</v>
      </c>
      <c r="I96" s="1338"/>
      <c r="J96" s="1288"/>
      <c r="K96" s="1317"/>
      <c r="L96" s="1317"/>
      <c r="M96" s="240">
        <v>20</v>
      </c>
      <c r="N96" s="148" t="s">
        <v>8</v>
      </c>
      <c r="O96" s="669" t="s">
        <v>461</v>
      </c>
      <c r="P96" s="1335"/>
      <c r="Q96" s="1342"/>
    </row>
    <row r="97" spans="1:18" s="90" customFormat="1" ht="30.1" customHeight="1" x14ac:dyDescent="0.25">
      <c r="A97" s="1334">
        <v>44</v>
      </c>
      <c r="B97" s="1340" t="s">
        <v>951</v>
      </c>
      <c r="C97" s="1340" t="s">
        <v>952</v>
      </c>
      <c r="D97" s="1302" t="s">
        <v>348</v>
      </c>
      <c r="E97" s="1339">
        <v>1067959980</v>
      </c>
      <c r="F97" s="219" t="s">
        <v>906</v>
      </c>
      <c r="G97" s="1328" t="s">
        <v>489</v>
      </c>
      <c r="H97" s="1030" t="s">
        <v>14</v>
      </c>
      <c r="I97" s="1303" t="s">
        <v>2675</v>
      </c>
      <c r="J97" s="1287">
        <v>3013110979</v>
      </c>
      <c r="K97" s="1317">
        <v>1</v>
      </c>
      <c r="L97" s="1317">
        <v>30</v>
      </c>
      <c r="M97" s="239">
        <v>20</v>
      </c>
      <c r="N97" s="151" t="s">
        <v>4</v>
      </c>
      <c r="O97" s="668" t="s">
        <v>390</v>
      </c>
      <c r="P97" s="1030" t="s">
        <v>2300</v>
      </c>
      <c r="Q97" s="325"/>
      <c r="R97" s="1364"/>
    </row>
    <row r="98" spans="1:18" s="90" customFormat="1" ht="30.1" customHeight="1" x14ac:dyDescent="0.25">
      <c r="A98" s="1334"/>
      <c r="B98" s="1340"/>
      <c r="C98" s="1340"/>
      <c r="D98" s="1302"/>
      <c r="E98" s="1339"/>
      <c r="F98" s="218" t="s">
        <v>906</v>
      </c>
      <c r="G98" s="1328"/>
      <c r="H98" s="1030" t="s">
        <v>14</v>
      </c>
      <c r="I98" s="1302"/>
      <c r="J98" s="1291"/>
      <c r="K98" s="1318"/>
      <c r="L98" s="1317"/>
      <c r="M98" s="239">
        <v>20</v>
      </c>
      <c r="N98" s="151" t="s">
        <v>8</v>
      </c>
      <c r="O98" s="668" t="s">
        <v>2299</v>
      </c>
      <c r="P98" s="1030" t="s">
        <v>953</v>
      </c>
      <c r="Q98" s="325"/>
      <c r="R98" s="1364"/>
    </row>
    <row r="99" spans="1:18" s="90" customFormat="1" ht="30.1" customHeight="1" x14ac:dyDescent="0.25">
      <c r="A99" s="1334"/>
      <c r="B99" s="1340"/>
      <c r="C99" s="1340"/>
      <c r="D99" s="1302"/>
      <c r="E99" s="1339"/>
      <c r="F99" s="218" t="s">
        <v>906</v>
      </c>
      <c r="G99" s="1328"/>
      <c r="H99" s="1030" t="s">
        <v>14</v>
      </c>
      <c r="I99" s="1322"/>
      <c r="J99" s="1288"/>
      <c r="K99" s="1317"/>
      <c r="L99" s="1317"/>
      <c r="M99" s="239">
        <v>20</v>
      </c>
      <c r="N99" s="151" t="s">
        <v>215</v>
      </c>
      <c r="O99" s="782" t="s">
        <v>543</v>
      </c>
      <c r="P99" s="1030"/>
      <c r="Q99" s="325"/>
      <c r="R99" s="1364"/>
    </row>
    <row r="100" spans="1:18" s="4" customFormat="1" ht="30.1" customHeight="1" x14ac:dyDescent="0.25">
      <c r="A100" s="1334">
        <v>45</v>
      </c>
      <c r="B100" s="1302" t="s">
        <v>603</v>
      </c>
      <c r="C100" s="1302" t="s">
        <v>604</v>
      </c>
      <c r="D100" s="1302" t="s">
        <v>348</v>
      </c>
      <c r="E100" s="1339">
        <v>50896806</v>
      </c>
      <c r="F100" s="218" t="s">
        <v>349</v>
      </c>
      <c r="G100" s="1328" t="s">
        <v>1224</v>
      </c>
      <c r="H100" s="1030" t="s">
        <v>14</v>
      </c>
      <c r="I100" s="1321" t="s">
        <v>2676</v>
      </c>
      <c r="J100" s="1287" t="s">
        <v>2677</v>
      </c>
      <c r="K100" s="1317">
        <v>1</v>
      </c>
      <c r="L100" s="1317">
        <v>30</v>
      </c>
      <c r="M100" s="239">
        <v>12</v>
      </c>
      <c r="N100" s="151" t="s">
        <v>4</v>
      </c>
      <c r="O100" s="782" t="s">
        <v>822</v>
      </c>
      <c r="P100" s="1281" t="s">
        <v>2494</v>
      </c>
      <c r="Q100" s="330"/>
      <c r="R100" s="90"/>
    </row>
    <row r="101" spans="1:18" s="4" customFormat="1" ht="30.1" customHeight="1" x14ac:dyDescent="0.25">
      <c r="A101" s="1334"/>
      <c r="B101" s="1302"/>
      <c r="C101" s="1302"/>
      <c r="D101" s="1302"/>
      <c r="E101" s="1339"/>
      <c r="F101" s="218" t="s">
        <v>349</v>
      </c>
      <c r="G101" s="1328"/>
      <c r="H101" s="1030" t="s">
        <v>14</v>
      </c>
      <c r="I101" s="1303"/>
      <c r="J101" s="1291"/>
      <c r="K101" s="1317"/>
      <c r="L101" s="1317"/>
      <c r="M101" s="239">
        <v>12</v>
      </c>
      <c r="N101" s="151" t="s">
        <v>215</v>
      </c>
      <c r="O101" s="782" t="s">
        <v>926</v>
      </c>
      <c r="P101" s="1305"/>
      <c r="Q101" s="330"/>
      <c r="R101" s="90"/>
    </row>
    <row r="102" spans="1:18" ht="30.1" customHeight="1" x14ac:dyDescent="0.25">
      <c r="A102" s="1334"/>
      <c r="B102" s="1302"/>
      <c r="C102" s="1302"/>
      <c r="D102" s="1302"/>
      <c r="E102" s="1339"/>
      <c r="F102" s="218" t="s">
        <v>349</v>
      </c>
      <c r="G102" s="1328"/>
      <c r="H102" s="1030" t="s">
        <v>14</v>
      </c>
      <c r="I102" s="1302"/>
      <c r="J102" s="1291"/>
      <c r="K102" s="1318"/>
      <c r="L102" s="1317"/>
      <c r="M102" s="239">
        <v>12</v>
      </c>
      <c r="N102" s="151" t="s">
        <v>8</v>
      </c>
      <c r="O102" s="782" t="s">
        <v>2299</v>
      </c>
      <c r="P102" s="1305"/>
      <c r="Q102" s="325"/>
    </row>
    <row r="103" spans="1:18" ht="30.1" customHeight="1" x14ac:dyDescent="0.25">
      <c r="A103" s="1334"/>
      <c r="B103" s="1302"/>
      <c r="C103" s="1302"/>
      <c r="D103" s="1302"/>
      <c r="E103" s="1339"/>
      <c r="F103" s="356" t="s">
        <v>349</v>
      </c>
      <c r="G103" s="1328"/>
      <c r="H103" s="1030" t="s">
        <v>14</v>
      </c>
      <c r="I103" s="1322"/>
      <c r="J103" s="1288"/>
      <c r="K103" s="1317"/>
      <c r="L103" s="1317"/>
      <c r="M103" s="239">
        <v>30</v>
      </c>
      <c r="N103" s="151" t="s">
        <v>5</v>
      </c>
      <c r="O103" s="782" t="s">
        <v>822</v>
      </c>
      <c r="P103" s="1282"/>
      <c r="Q103" s="325"/>
    </row>
    <row r="104" spans="1:18" s="773" customFormat="1" ht="30.1" customHeight="1" x14ac:dyDescent="0.25">
      <c r="A104" s="1346">
        <v>48</v>
      </c>
      <c r="B104" s="1349" t="s">
        <v>1344</v>
      </c>
      <c r="C104" s="1349" t="s">
        <v>1345</v>
      </c>
      <c r="D104" s="1349" t="s">
        <v>348</v>
      </c>
      <c r="E104" s="1352">
        <v>2824732</v>
      </c>
      <c r="F104" s="772" t="s">
        <v>362</v>
      </c>
      <c r="G104" s="1355" t="s">
        <v>489</v>
      </c>
      <c r="H104" s="1024" t="s">
        <v>14</v>
      </c>
      <c r="I104" s="1343" t="s">
        <v>1346</v>
      </c>
      <c r="J104" s="1014"/>
      <c r="K104" s="1289">
        <v>5</v>
      </c>
      <c r="L104" s="1289">
        <v>4</v>
      </c>
      <c r="M104" s="1003">
        <v>30</v>
      </c>
      <c r="N104" s="772" t="s">
        <v>4</v>
      </c>
      <c r="O104" s="772" t="s">
        <v>390</v>
      </c>
      <c r="P104" s="1034" t="s">
        <v>2467</v>
      </c>
      <c r="Q104" s="1323" t="s">
        <v>2553</v>
      </c>
    </row>
    <row r="105" spans="1:18" s="773" customFormat="1" ht="30.1" customHeight="1" x14ac:dyDescent="0.25">
      <c r="A105" s="1347"/>
      <c r="B105" s="1350"/>
      <c r="C105" s="1350"/>
      <c r="D105" s="1350"/>
      <c r="E105" s="1353"/>
      <c r="F105" s="772" t="s">
        <v>362</v>
      </c>
      <c r="G105" s="1356"/>
      <c r="H105" s="1024" t="s">
        <v>14</v>
      </c>
      <c r="I105" s="1344"/>
      <c r="J105" s="1015"/>
      <c r="K105" s="1306"/>
      <c r="L105" s="1306"/>
      <c r="M105" s="1003">
        <v>90</v>
      </c>
      <c r="N105" s="772" t="s">
        <v>5</v>
      </c>
      <c r="O105" s="772" t="s">
        <v>390</v>
      </c>
      <c r="P105" s="1034" t="s">
        <v>2264</v>
      </c>
      <c r="Q105" s="1324"/>
    </row>
    <row r="106" spans="1:18" s="773" customFormat="1" ht="30.1" customHeight="1" x14ac:dyDescent="0.25">
      <c r="A106" s="1348"/>
      <c r="B106" s="1351"/>
      <c r="C106" s="1351"/>
      <c r="D106" s="1351"/>
      <c r="E106" s="1354"/>
      <c r="F106" s="772" t="s">
        <v>362</v>
      </c>
      <c r="G106" s="1357"/>
      <c r="H106" s="1024" t="s">
        <v>14</v>
      </c>
      <c r="I106" s="1345"/>
      <c r="J106" s="1016"/>
      <c r="K106" s="1290"/>
      <c r="L106" s="1290"/>
      <c r="M106" s="1003">
        <v>30</v>
      </c>
      <c r="N106" s="772" t="s">
        <v>215</v>
      </c>
      <c r="O106" s="772" t="s">
        <v>543</v>
      </c>
      <c r="P106" s="1035"/>
      <c r="Q106" s="1325"/>
    </row>
    <row r="107" spans="1:18" ht="30.1" customHeight="1" x14ac:dyDescent="0.25">
      <c r="A107" s="1329">
        <v>50</v>
      </c>
      <c r="B107" s="1281" t="s">
        <v>1357</v>
      </c>
      <c r="C107" s="1281" t="s">
        <v>1358</v>
      </c>
      <c r="D107" s="1281" t="s">
        <v>348</v>
      </c>
      <c r="E107" s="1283">
        <v>25775640</v>
      </c>
      <c r="F107" s="217" t="s">
        <v>349</v>
      </c>
      <c r="G107" s="1312" t="s">
        <v>1359</v>
      </c>
      <c r="H107" s="1030" t="s">
        <v>14</v>
      </c>
      <c r="I107" s="1307" t="s">
        <v>2678</v>
      </c>
      <c r="J107" s="1012"/>
      <c r="K107" s="1289">
        <v>1</v>
      </c>
      <c r="L107" s="1289">
        <v>30</v>
      </c>
      <c r="M107" s="239">
        <v>12</v>
      </c>
      <c r="N107" s="109" t="s">
        <v>4</v>
      </c>
      <c r="O107" s="782" t="s">
        <v>2300</v>
      </c>
      <c r="P107" s="1281" t="s">
        <v>2504</v>
      </c>
      <c r="Q107" s="325"/>
    </row>
    <row r="108" spans="1:18" ht="30.1" customHeight="1" x14ac:dyDescent="0.25">
      <c r="A108" s="1333"/>
      <c r="B108" s="1305"/>
      <c r="C108" s="1305"/>
      <c r="D108" s="1305"/>
      <c r="E108" s="1315"/>
      <c r="F108" s="396" t="s">
        <v>349</v>
      </c>
      <c r="G108" s="1313"/>
      <c r="H108" s="1030" t="s">
        <v>14</v>
      </c>
      <c r="I108" s="1308"/>
      <c r="J108" s="1017">
        <v>3205137646</v>
      </c>
      <c r="K108" s="1306"/>
      <c r="L108" s="1306"/>
      <c r="M108" s="239">
        <v>20</v>
      </c>
      <c r="N108" s="397" t="s">
        <v>215</v>
      </c>
      <c r="O108" s="782" t="s">
        <v>926</v>
      </c>
      <c r="P108" s="1305"/>
      <c r="Q108" s="398"/>
    </row>
    <row r="109" spans="1:18" ht="30.1" customHeight="1" x14ac:dyDescent="0.25">
      <c r="A109" s="1330"/>
      <c r="B109" s="1282"/>
      <c r="C109" s="1282"/>
      <c r="D109" s="1282"/>
      <c r="E109" s="1284"/>
      <c r="F109" s="217" t="s">
        <v>349</v>
      </c>
      <c r="G109" s="1314"/>
      <c r="H109" s="1030" t="s">
        <v>14</v>
      </c>
      <c r="I109" s="1316"/>
      <c r="J109" s="1013"/>
      <c r="K109" s="1290"/>
      <c r="L109" s="1290"/>
      <c r="M109" s="239">
        <v>30</v>
      </c>
      <c r="N109" s="109" t="s">
        <v>5</v>
      </c>
      <c r="O109" s="782" t="s">
        <v>2300</v>
      </c>
      <c r="P109" s="1282"/>
      <c r="Q109" s="325"/>
    </row>
    <row r="110" spans="1:18" ht="30.1" customHeight="1" x14ac:dyDescent="0.25">
      <c r="A110" s="1329">
        <v>51</v>
      </c>
      <c r="B110" s="1281" t="s">
        <v>1376</v>
      </c>
      <c r="C110" s="1281" t="s">
        <v>1377</v>
      </c>
      <c r="D110" s="1281" t="s">
        <v>348</v>
      </c>
      <c r="E110" s="1283">
        <v>1062973771</v>
      </c>
      <c r="F110" s="218" t="s">
        <v>362</v>
      </c>
      <c r="G110" s="1312" t="s">
        <v>489</v>
      </c>
      <c r="H110" s="1030" t="s">
        <v>14</v>
      </c>
      <c r="I110" s="1307" t="s">
        <v>1378</v>
      </c>
      <c r="J110" s="1012"/>
      <c r="K110" s="1289">
        <v>1</v>
      </c>
      <c r="L110" s="1289">
        <v>30</v>
      </c>
      <c r="M110" s="239">
        <v>15</v>
      </c>
      <c r="N110" s="109" t="s">
        <v>4</v>
      </c>
      <c r="O110" s="782" t="s">
        <v>2298</v>
      </c>
      <c r="P110" s="1281" t="s">
        <v>2755</v>
      </c>
      <c r="Q110" s="325"/>
    </row>
    <row r="111" spans="1:18" ht="30.1" customHeight="1" x14ac:dyDescent="0.25">
      <c r="A111" s="1333"/>
      <c r="B111" s="1305"/>
      <c r="C111" s="1305"/>
      <c r="D111" s="1305"/>
      <c r="E111" s="1315"/>
      <c r="F111" s="218" t="s">
        <v>362</v>
      </c>
      <c r="G111" s="1313"/>
      <c r="H111" s="1030" t="s">
        <v>14</v>
      </c>
      <c r="I111" s="1308"/>
      <c r="J111" s="1017"/>
      <c r="K111" s="1306"/>
      <c r="L111" s="1306"/>
      <c r="M111" s="239">
        <v>4</v>
      </c>
      <c r="N111" s="109" t="s">
        <v>215</v>
      </c>
      <c r="O111" s="782" t="s">
        <v>996</v>
      </c>
      <c r="P111" s="1305"/>
      <c r="Q111" s="325">
        <v>43557</v>
      </c>
    </row>
    <row r="112" spans="1:18" ht="30.1" customHeight="1" x14ac:dyDescent="0.25">
      <c r="A112" s="1333"/>
      <c r="B112" s="1305"/>
      <c r="C112" s="1305"/>
      <c r="D112" s="1305"/>
      <c r="E112" s="1315"/>
      <c r="F112" s="684" t="s">
        <v>362</v>
      </c>
      <c r="G112" s="1313"/>
      <c r="H112" s="1030" t="s">
        <v>14</v>
      </c>
      <c r="I112" s="1308"/>
      <c r="J112" s="1017"/>
      <c r="K112" s="1306"/>
      <c r="L112" s="1306"/>
      <c r="M112" s="239">
        <v>15</v>
      </c>
      <c r="N112" s="684" t="s">
        <v>5</v>
      </c>
      <c r="O112" s="782" t="s">
        <v>2298</v>
      </c>
      <c r="P112" s="1305"/>
      <c r="Q112" s="685"/>
    </row>
    <row r="113" spans="1:20" ht="30.1" customHeight="1" x14ac:dyDescent="0.25">
      <c r="A113" s="1333"/>
      <c r="B113" s="1305"/>
      <c r="C113" s="1305"/>
      <c r="D113" s="1305"/>
      <c r="E113" s="1315"/>
      <c r="F113" s="381" t="s">
        <v>362</v>
      </c>
      <c r="G113" s="1313"/>
      <c r="H113" s="1030" t="s">
        <v>14</v>
      </c>
      <c r="I113" s="1308"/>
      <c r="J113" s="1017"/>
      <c r="K113" s="1306"/>
      <c r="L113" s="1306"/>
      <c r="M113" s="239">
        <v>1</v>
      </c>
      <c r="N113" s="381" t="s">
        <v>214</v>
      </c>
      <c r="O113" s="782" t="s">
        <v>209</v>
      </c>
      <c r="P113" s="1305"/>
      <c r="Q113" s="382"/>
    </row>
    <row r="114" spans="1:20" ht="38.75" customHeight="1" x14ac:dyDescent="0.25">
      <c r="A114" s="1330"/>
      <c r="B114" s="1282"/>
      <c r="C114" s="1282"/>
      <c r="D114" s="1282"/>
      <c r="E114" s="1284"/>
      <c r="F114" s="218" t="s">
        <v>362</v>
      </c>
      <c r="G114" s="1314"/>
      <c r="H114" s="1030" t="s">
        <v>14</v>
      </c>
      <c r="I114" s="1309"/>
      <c r="J114" s="1013"/>
      <c r="K114" s="1304"/>
      <c r="L114" s="1290"/>
      <c r="M114" s="239">
        <v>4</v>
      </c>
      <c r="N114" s="109" t="s">
        <v>8</v>
      </c>
      <c r="O114" s="782" t="s">
        <v>2299</v>
      </c>
      <c r="P114" s="1282"/>
      <c r="Q114" s="325"/>
    </row>
    <row r="115" spans="1:20" s="211" customFormat="1" ht="30.1" customHeight="1" x14ac:dyDescent="0.25">
      <c r="A115" s="206">
        <v>52</v>
      </c>
      <c r="B115" s="747" t="s">
        <v>149</v>
      </c>
      <c r="C115" s="747" t="s">
        <v>448</v>
      </c>
      <c r="D115" s="205" t="s">
        <v>348</v>
      </c>
      <c r="E115" s="207">
        <v>1003288014</v>
      </c>
      <c r="F115" s="219" t="s">
        <v>349</v>
      </c>
      <c r="G115" s="430" t="s">
        <v>497</v>
      </c>
      <c r="H115" s="1032" t="s">
        <v>449</v>
      </c>
      <c r="I115" s="985" t="s">
        <v>2679</v>
      </c>
      <c r="J115" s="1018" t="s">
        <v>2680</v>
      </c>
      <c r="K115" s="978">
        <v>1</v>
      </c>
      <c r="L115" s="978">
        <v>30</v>
      </c>
      <c r="M115" s="240">
        <v>60</v>
      </c>
      <c r="N115" s="53" t="s">
        <v>4</v>
      </c>
      <c r="O115" s="783" t="s">
        <v>450</v>
      </c>
      <c r="P115" s="1032" t="s">
        <v>2280</v>
      </c>
      <c r="Q115" s="331"/>
      <c r="R115" s="213"/>
      <c r="S115" s="208"/>
      <c r="T115" s="212"/>
    </row>
    <row r="116" spans="1:20" s="211" customFormat="1" ht="30.1" customHeight="1" x14ac:dyDescent="0.25">
      <c r="A116" s="1329">
        <v>53</v>
      </c>
      <c r="B116" s="1281" t="s">
        <v>1415</v>
      </c>
      <c r="C116" s="1281" t="s">
        <v>1416</v>
      </c>
      <c r="D116" s="1281" t="s">
        <v>348</v>
      </c>
      <c r="E116" s="1283">
        <v>11165902</v>
      </c>
      <c r="F116" s="461" t="s">
        <v>362</v>
      </c>
      <c r="G116" s="1312" t="s">
        <v>486</v>
      </c>
      <c r="H116" s="1032" t="s">
        <v>14</v>
      </c>
      <c r="I116" s="1307" t="s">
        <v>2760</v>
      </c>
      <c r="J116" s="1287">
        <v>3146567945</v>
      </c>
      <c r="K116" s="1289">
        <v>3</v>
      </c>
      <c r="L116" s="1289">
        <v>2</v>
      </c>
      <c r="M116" s="240">
        <v>30</v>
      </c>
      <c r="N116" s="460" t="s">
        <v>5</v>
      </c>
      <c r="O116" s="783" t="s">
        <v>2466</v>
      </c>
      <c r="P116" s="1281" t="s">
        <v>2504</v>
      </c>
      <c r="Q116" s="1396" t="s">
        <v>1424</v>
      </c>
      <c r="R116" s="284"/>
      <c r="S116" s="284"/>
      <c r="T116" s="212"/>
    </row>
    <row r="117" spans="1:20" s="211" customFormat="1" ht="30.1" customHeight="1" x14ac:dyDescent="0.25">
      <c r="A117" s="1333"/>
      <c r="B117" s="1305"/>
      <c r="C117" s="1305"/>
      <c r="D117" s="1305"/>
      <c r="E117" s="1315"/>
      <c r="F117" s="492" t="s">
        <v>362</v>
      </c>
      <c r="G117" s="1313"/>
      <c r="H117" s="1032" t="s">
        <v>14</v>
      </c>
      <c r="I117" s="1308"/>
      <c r="J117" s="1291"/>
      <c r="K117" s="1306"/>
      <c r="L117" s="1306"/>
      <c r="M117" s="240">
        <v>12</v>
      </c>
      <c r="N117" s="491" t="s">
        <v>215</v>
      </c>
      <c r="O117" s="783" t="s">
        <v>996</v>
      </c>
      <c r="P117" s="1305"/>
      <c r="Q117" s="1397"/>
      <c r="R117" s="493"/>
      <c r="S117" s="493"/>
      <c r="T117" s="212"/>
    </row>
    <row r="118" spans="1:20" s="211" customFormat="1" ht="30.1" customHeight="1" x14ac:dyDescent="0.25">
      <c r="A118" s="1333"/>
      <c r="B118" s="1305"/>
      <c r="C118" s="1305"/>
      <c r="D118" s="1305"/>
      <c r="E118" s="1315"/>
      <c r="F118" s="992" t="s">
        <v>362</v>
      </c>
      <c r="G118" s="1313"/>
      <c r="H118" s="1036" t="s">
        <v>14</v>
      </c>
      <c r="I118" s="1308"/>
      <c r="J118" s="1288"/>
      <c r="K118" s="1306"/>
      <c r="L118" s="1306"/>
      <c r="M118" s="1044">
        <v>16</v>
      </c>
      <c r="N118" s="989" t="s">
        <v>4</v>
      </c>
      <c r="O118" s="989" t="s">
        <v>2466</v>
      </c>
      <c r="P118" s="1282"/>
      <c r="Q118" s="1397"/>
      <c r="R118" s="348"/>
      <c r="S118" s="348"/>
      <c r="T118" s="212"/>
    </row>
    <row r="119" spans="1:20" s="1047" customFormat="1" ht="36" customHeight="1" x14ac:dyDescent="0.25">
      <c r="A119" s="1334">
        <v>54</v>
      </c>
      <c r="B119" s="1302" t="s">
        <v>1417</v>
      </c>
      <c r="C119" s="1302" t="s">
        <v>1418</v>
      </c>
      <c r="D119" s="1302" t="s">
        <v>348</v>
      </c>
      <c r="E119" s="1283">
        <v>15042902</v>
      </c>
      <c r="F119" s="992" t="s">
        <v>362</v>
      </c>
      <c r="G119" s="1281" t="s">
        <v>497</v>
      </c>
      <c r="H119" s="1036" t="s">
        <v>14</v>
      </c>
      <c r="I119" s="1285" t="s">
        <v>2681</v>
      </c>
      <c r="J119" s="1287" t="s">
        <v>2682</v>
      </c>
      <c r="K119" s="1289">
        <v>1</v>
      </c>
      <c r="L119" s="1289">
        <v>30</v>
      </c>
      <c r="M119" s="239">
        <v>20</v>
      </c>
      <c r="N119" s="991" t="s">
        <v>4</v>
      </c>
      <c r="O119" s="991" t="s">
        <v>2300</v>
      </c>
      <c r="P119" s="1281" t="s">
        <v>2750</v>
      </c>
      <c r="Q119" s="1319">
        <v>43558</v>
      </c>
      <c r="R119" s="128"/>
      <c r="S119" s="128"/>
      <c r="T119" s="1046"/>
    </row>
    <row r="120" spans="1:20" s="316" customFormat="1" ht="36.700000000000003" customHeight="1" x14ac:dyDescent="0.25">
      <c r="A120" s="1334"/>
      <c r="B120" s="1302"/>
      <c r="C120" s="1302"/>
      <c r="D120" s="1302"/>
      <c r="E120" s="1284"/>
      <c r="F120" s="991" t="s">
        <v>362</v>
      </c>
      <c r="G120" s="1282"/>
      <c r="H120" s="1030" t="s">
        <v>14</v>
      </c>
      <c r="I120" s="1286"/>
      <c r="J120" s="1288"/>
      <c r="K120" s="1290"/>
      <c r="L120" s="1290"/>
      <c r="M120" s="239">
        <v>20</v>
      </c>
      <c r="N120" s="991" t="s">
        <v>5</v>
      </c>
      <c r="O120" s="991" t="s">
        <v>2300</v>
      </c>
      <c r="P120" s="1282"/>
      <c r="Q120" s="1320"/>
    </row>
    <row r="121" spans="1:20" ht="30.1" customHeight="1" x14ac:dyDescent="0.25">
      <c r="A121" s="1329">
        <v>55</v>
      </c>
      <c r="B121" s="1281" t="s">
        <v>1419</v>
      </c>
      <c r="C121" s="1281" t="s">
        <v>1420</v>
      </c>
      <c r="D121" s="1281" t="s">
        <v>348</v>
      </c>
      <c r="E121" s="1283">
        <v>22595432</v>
      </c>
      <c r="F121" s="990" t="s">
        <v>362</v>
      </c>
      <c r="G121" s="1312" t="s">
        <v>486</v>
      </c>
      <c r="H121" s="1029" t="s">
        <v>14</v>
      </c>
      <c r="I121" s="1307" t="s">
        <v>1421</v>
      </c>
      <c r="J121" s="1017"/>
      <c r="K121" s="1289">
        <v>2</v>
      </c>
      <c r="L121" s="1289">
        <v>1</v>
      </c>
      <c r="M121" s="1045">
        <v>60</v>
      </c>
      <c r="N121" s="990" t="s">
        <v>5</v>
      </c>
      <c r="O121" s="990" t="s">
        <v>2310</v>
      </c>
      <c r="P121" s="1281" t="s">
        <v>2554</v>
      </c>
      <c r="Q121" s="1319">
        <v>43558</v>
      </c>
    </row>
    <row r="122" spans="1:20" ht="30.1" customHeight="1" x14ac:dyDescent="0.25">
      <c r="A122" s="1330"/>
      <c r="B122" s="1282"/>
      <c r="C122" s="1282"/>
      <c r="D122" s="1282"/>
      <c r="E122" s="1284"/>
      <c r="F122" s="218" t="s">
        <v>362</v>
      </c>
      <c r="G122" s="1314"/>
      <c r="H122" s="1030" t="s">
        <v>14</v>
      </c>
      <c r="I122" s="1316"/>
      <c r="J122" s="1013"/>
      <c r="K122" s="1290"/>
      <c r="L122" s="1290"/>
      <c r="M122" s="239">
        <v>20</v>
      </c>
      <c r="N122" s="109" t="s">
        <v>4</v>
      </c>
      <c r="O122" s="782" t="s">
        <v>2310</v>
      </c>
      <c r="P122" s="1305"/>
      <c r="Q122" s="1320"/>
    </row>
    <row r="123" spans="1:20" ht="30.1" customHeight="1" x14ac:dyDescent="0.25">
      <c r="A123" s="1329">
        <v>56</v>
      </c>
      <c r="B123" s="1281" t="s">
        <v>1422</v>
      </c>
      <c r="C123" s="1281" t="s">
        <v>1423</v>
      </c>
      <c r="D123" s="1281" t="s">
        <v>348</v>
      </c>
      <c r="E123" s="1283">
        <v>26186475</v>
      </c>
      <c r="F123" s="231" t="s">
        <v>362</v>
      </c>
      <c r="G123" s="1312" t="s">
        <v>486</v>
      </c>
      <c r="H123" s="1030" t="s">
        <v>14</v>
      </c>
      <c r="I123" s="1307" t="s">
        <v>2683</v>
      </c>
      <c r="J123" s="1287" t="s">
        <v>2684</v>
      </c>
      <c r="K123" s="1289">
        <v>13</v>
      </c>
      <c r="L123" s="1289">
        <v>12</v>
      </c>
      <c r="M123" s="239">
        <v>20</v>
      </c>
      <c r="N123" s="231" t="s">
        <v>4</v>
      </c>
      <c r="O123" s="782" t="s">
        <v>2300</v>
      </c>
      <c r="P123" s="1281" t="s">
        <v>2249</v>
      </c>
      <c r="Q123" s="1319">
        <v>43558</v>
      </c>
    </row>
    <row r="124" spans="1:20" ht="30.1" customHeight="1" x14ac:dyDescent="0.25">
      <c r="A124" s="1330"/>
      <c r="B124" s="1282"/>
      <c r="C124" s="1282"/>
      <c r="D124" s="1282"/>
      <c r="E124" s="1284"/>
      <c r="F124" s="218" t="s">
        <v>362</v>
      </c>
      <c r="G124" s="1314"/>
      <c r="H124" s="1030" t="s">
        <v>14</v>
      </c>
      <c r="I124" s="1316"/>
      <c r="J124" s="1288"/>
      <c r="K124" s="1290"/>
      <c r="L124" s="1290"/>
      <c r="M124" s="239">
        <v>20</v>
      </c>
      <c r="N124" s="109" t="s">
        <v>5</v>
      </c>
      <c r="O124" s="782" t="s">
        <v>2300</v>
      </c>
      <c r="P124" s="1282"/>
      <c r="Q124" s="1320"/>
    </row>
    <row r="125" spans="1:20" ht="30.1" customHeight="1" x14ac:dyDescent="0.25">
      <c r="A125" s="1329">
        <v>57</v>
      </c>
      <c r="B125" s="1281" t="s">
        <v>1426</v>
      </c>
      <c r="C125" s="1360" t="s">
        <v>1427</v>
      </c>
      <c r="D125" s="1281" t="s">
        <v>348</v>
      </c>
      <c r="E125" s="1283">
        <v>1067923962</v>
      </c>
      <c r="F125" s="218" t="s">
        <v>362</v>
      </c>
      <c r="G125" s="1312" t="s">
        <v>497</v>
      </c>
      <c r="H125" s="1030" t="s">
        <v>14</v>
      </c>
      <c r="I125" s="1307" t="s">
        <v>2685</v>
      </c>
      <c r="J125" s="1287" t="s">
        <v>2686</v>
      </c>
      <c r="K125" s="1289">
        <v>4</v>
      </c>
      <c r="L125" s="1289">
        <v>3</v>
      </c>
      <c r="M125" s="239">
        <v>60</v>
      </c>
      <c r="N125" s="109" t="s">
        <v>4</v>
      </c>
      <c r="O125" s="782" t="s">
        <v>2300</v>
      </c>
      <c r="P125" s="1281" t="s">
        <v>2752</v>
      </c>
      <c r="Q125" s="1319">
        <v>43558</v>
      </c>
    </row>
    <row r="126" spans="1:20" ht="30.1" customHeight="1" x14ac:dyDescent="0.25">
      <c r="A126" s="1333"/>
      <c r="B126" s="1305"/>
      <c r="C126" s="1361"/>
      <c r="D126" s="1305"/>
      <c r="E126" s="1315"/>
      <c r="F126" s="218" t="s">
        <v>362</v>
      </c>
      <c r="G126" s="1313"/>
      <c r="H126" s="1030" t="s">
        <v>14</v>
      </c>
      <c r="I126" s="1308"/>
      <c r="J126" s="1291"/>
      <c r="K126" s="1306"/>
      <c r="L126" s="1306"/>
      <c r="M126" s="239">
        <v>30</v>
      </c>
      <c r="N126" s="109" t="s">
        <v>215</v>
      </c>
      <c r="O126" s="782" t="s">
        <v>996</v>
      </c>
      <c r="P126" s="1305"/>
      <c r="Q126" s="1327"/>
    </row>
    <row r="127" spans="1:20" ht="30.1" customHeight="1" x14ac:dyDescent="0.25">
      <c r="A127" s="1330"/>
      <c r="B127" s="1282"/>
      <c r="C127" s="1362"/>
      <c r="D127" s="1282"/>
      <c r="E127" s="1284"/>
      <c r="F127" s="218" t="s">
        <v>362</v>
      </c>
      <c r="G127" s="1314"/>
      <c r="H127" s="1030" t="s">
        <v>14</v>
      </c>
      <c r="I127" s="1309"/>
      <c r="J127" s="1288"/>
      <c r="K127" s="1304"/>
      <c r="L127" s="1290"/>
      <c r="M127" s="239">
        <v>12</v>
      </c>
      <c r="N127" s="109" t="s">
        <v>8</v>
      </c>
      <c r="O127" s="668" t="s">
        <v>2299</v>
      </c>
      <c r="P127" s="1282"/>
      <c r="Q127" s="1320"/>
    </row>
    <row r="128" spans="1:20" ht="30.1" customHeight="1" x14ac:dyDescent="0.25">
      <c r="A128" s="108">
        <v>59</v>
      </c>
      <c r="B128" s="746" t="s">
        <v>1437</v>
      </c>
      <c r="C128" s="746" t="s">
        <v>1438</v>
      </c>
      <c r="D128" s="109" t="s">
        <v>348</v>
      </c>
      <c r="E128" s="143">
        <v>1062680988</v>
      </c>
      <c r="F128" s="218" t="s">
        <v>362</v>
      </c>
      <c r="G128" s="847" t="s">
        <v>484</v>
      </c>
      <c r="H128" s="1030" t="s">
        <v>1439</v>
      </c>
      <c r="I128" s="969" t="s">
        <v>2687</v>
      </c>
      <c r="J128" s="1013">
        <v>3106567858</v>
      </c>
      <c r="K128" s="978">
        <v>13</v>
      </c>
      <c r="L128" s="978">
        <v>12</v>
      </c>
      <c r="M128" s="239">
        <v>20</v>
      </c>
      <c r="N128" s="109" t="s">
        <v>4</v>
      </c>
      <c r="O128" s="668" t="s">
        <v>10</v>
      </c>
      <c r="P128" s="1030" t="s">
        <v>2752</v>
      </c>
      <c r="Q128" s="325">
        <v>43560</v>
      </c>
    </row>
    <row r="129" spans="1:17" ht="30.1" customHeight="1" x14ac:dyDescent="0.25">
      <c r="A129" s="400">
        <v>60</v>
      </c>
      <c r="B129" s="746" t="s">
        <v>1472</v>
      </c>
      <c r="C129" s="746" t="s">
        <v>1473</v>
      </c>
      <c r="D129" s="109" t="s">
        <v>348</v>
      </c>
      <c r="E129" s="143">
        <v>26043336</v>
      </c>
      <c r="F129" s="218" t="s">
        <v>906</v>
      </c>
      <c r="G129" s="847" t="s">
        <v>1474</v>
      </c>
      <c r="H129" s="1030" t="s">
        <v>14</v>
      </c>
      <c r="I129" s="852" t="s">
        <v>2688</v>
      </c>
      <c r="J129" s="1005">
        <v>3126103468</v>
      </c>
      <c r="K129" s="978">
        <v>1</v>
      </c>
      <c r="L129" s="978">
        <v>30</v>
      </c>
      <c r="M129" s="239">
        <v>12</v>
      </c>
      <c r="N129" s="109" t="s">
        <v>4</v>
      </c>
      <c r="O129" s="782" t="s">
        <v>2305</v>
      </c>
      <c r="P129" s="1030"/>
      <c r="Q129" s="325">
        <v>43556</v>
      </c>
    </row>
    <row r="130" spans="1:17" ht="30.1" customHeight="1" x14ac:dyDescent="0.25">
      <c r="A130" s="1329">
        <v>61</v>
      </c>
      <c r="B130" s="1281" t="s">
        <v>1492</v>
      </c>
      <c r="C130" s="1281" t="s">
        <v>629</v>
      </c>
      <c r="D130" s="1281" t="s">
        <v>348</v>
      </c>
      <c r="E130" s="1283">
        <v>26022362</v>
      </c>
      <c r="F130" s="218" t="s">
        <v>362</v>
      </c>
      <c r="G130" s="1312" t="s">
        <v>481</v>
      </c>
      <c r="H130" s="1030" t="s">
        <v>14</v>
      </c>
      <c r="I130" s="1307" t="s">
        <v>2689</v>
      </c>
      <c r="J130" s="1287">
        <v>3146577181</v>
      </c>
      <c r="K130" s="1289">
        <v>10</v>
      </c>
      <c r="L130" s="1289">
        <v>9</v>
      </c>
      <c r="M130" s="239">
        <v>20</v>
      </c>
      <c r="N130" s="109" t="s">
        <v>4</v>
      </c>
      <c r="O130" s="782" t="s">
        <v>2310</v>
      </c>
      <c r="P130" s="1281" t="s">
        <v>2755</v>
      </c>
      <c r="Q130" s="1319" t="s">
        <v>2285</v>
      </c>
    </row>
    <row r="131" spans="1:17" ht="30.1" customHeight="1" x14ac:dyDescent="0.25">
      <c r="A131" s="1330"/>
      <c r="B131" s="1282"/>
      <c r="C131" s="1282"/>
      <c r="D131" s="1282"/>
      <c r="E131" s="1284"/>
      <c r="F131" s="230" t="s">
        <v>362</v>
      </c>
      <c r="G131" s="1314"/>
      <c r="H131" s="1030" t="s">
        <v>14</v>
      </c>
      <c r="I131" s="1316"/>
      <c r="J131" s="1288"/>
      <c r="K131" s="1290"/>
      <c r="L131" s="1290"/>
      <c r="M131" s="239">
        <v>12</v>
      </c>
      <c r="N131" s="109" t="s">
        <v>215</v>
      </c>
      <c r="O131" s="782" t="s">
        <v>926</v>
      </c>
      <c r="P131" s="1305"/>
      <c r="Q131" s="1320"/>
    </row>
    <row r="132" spans="1:17" ht="30.1" customHeight="1" x14ac:dyDescent="0.25">
      <c r="A132" s="1329">
        <v>62</v>
      </c>
      <c r="B132" s="1281" t="s">
        <v>1499</v>
      </c>
      <c r="C132" s="1281" t="s">
        <v>1500</v>
      </c>
      <c r="D132" s="1281" t="s">
        <v>348</v>
      </c>
      <c r="E132" s="1283">
        <v>25957298</v>
      </c>
      <c r="F132" s="218" t="s">
        <v>362</v>
      </c>
      <c r="G132" s="1312" t="s">
        <v>934</v>
      </c>
      <c r="H132" s="1030" t="s">
        <v>1439</v>
      </c>
      <c r="I132" s="1307" t="s">
        <v>2094</v>
      </c>
      <c r="J132" s="1287">
        <v>3106633535</v>
      </c>
      <c r="K132" s="1289">
        <v>18</v>
      </c>
      <c r="L132" s="1289">
        <v>17</v>
      </c>
      <c r="M132" s="239">
        <v>20</v>
      </c>
      <c r="N132" s="109" t="s">
        <v>4</v>
      </c>
      <c r="O132" s="782" t="s">
        <v>10</v>
      </c>
      <c r="P132" s="1281" t="s">
        <v>2753</v>
      </c>
      <c r="Q132" s="1319">
        <v>43565</v>
      </c>
    </row>
    <row r="133" spans="1:17" ht="30.1" customHeight="1" x14ac:dyDescent="0.25">
      <c r="A133" s="1330"/>
      <c r="B133" s="1282"/>
      <c r="C133" s="1282"/>
      <c r="D133" s="1282"/>
      <c r="E133" s="1284"/>
      <c r="F133" s="231" t="s">
        <v>362</v>
      </c>
      <c r="G133" s="1314"/>
      <c r="H133" s="1030" t="s">
        <v>1439</v>
      </c>
      <c r="I133" s="1316"/>
      <c r="J133" s="1288"/>
      <c r="K133" s="1290"/>
      <c r="L133" s="1290"/>
      <c r="M133" s="239">
        <v>12</v>
      </c>
      <c r="N133" s="109" t="s">
        <v>215</v>
      </c>
      <c r="O133" s="782" t="s">
        <v>649</v>
      </c>
      <c r="P133" s="1305"/>
      <c r="Q133" s="1320"/>
    </row>
    <row r="134" spans="1:17" ht="30.1" customHeight="1" x14ac:dyDescent="0.25">
      <c r="A134" s="1329">
        <v>63</v>
      </c>
      <c r="B134" s="1281" t="s">
        <v>1504</v>
      </c>
      <c r="C134" s="1281" t="s">
        <v>1505</v>
      </c>
      <c r="D134" s="1281" t="s">
        <v>348</v>
      </c>
      <c r="E134" s="1283">
        <v>1068818796</v>
      </c>
      <c r="F134" s="218" t="s">
        <v>362</v>
      </c>
      <c r="G134" s="1312" t="s">
        <v>1506</v>
      </c>
      <c r="H134" s="1030" t="s">
        <v>1439</v>
      </c>
      <c r="I134" s="1307" t="s">
        <v>2690</v>
      </c>
      <c r="J134" s="1287" t="s">
        <v>2691</v>
      </c>
      <c r="K134" s="1289">
        <v>12</v>
      </c>
      <c r="L134" s="1289">
        <v>11</v>
      </c>
      <c r="M134" s="239">
        <v>20</v>
      </c>
      <c r="N134" s="109" t="s">
        <v>4</v>
      </c>
      <c r="O134" s="782" t="s">
        <v>707</v>
      </c>
      <c r="P134" s="1028" t="s">
        <v>2757</v>
      </c>
      <c r="Q134" s="1319">
        <v>43565</v>
      </c>
    </row>
    <row r="135" spans="1:17" ht="30.1" customHeight="1" x14ac:dyDescent="0.25">
      <c r="A135" s="1330"/>
      <c r="B135" s="1282"/>
      <c r="C135" s="1282"/>
      <c r="D135" s="1282"/>
      <c r="E135" s="1284"/>
      <c r="F135" s="231" t="s">
        <v>362</v>
      </c>
      <c r="G135" s="1314"/>
      <c r="H135" s="1030" t="s">
        <v>1439</v>
      </c>
      <c r="I135" s="1316"/>
      <c r="J135" s="1288"/>
      <c r="K135" s="1290"/>
      <c r="L135" s="1290"/>
      <c r="M135" s="1003">
        <v>12</v>
      </c>
      <c r="N135" s="902" t="s">
        <v>215</v>
      </c>
      <c r="O135" s="902" t="s">
        <v>336</v>
      </c>
      <c r="P135" s="1035" t="s">
        <v>2623</v>
      </c>
      <c r="Q135" s="1320"/>
    </row>
    <row r="136" spans="1:17" ht="30.1" customHeight="1" x14ac:dyDescent="0.25">
      <c r="A136" s="1329">
        <v>64</v>
      </c>
      <c r="B136" s="1281" t="s">
        <v>1507</v>
      </c>
      <c r="C136" s="1281" t="s">
        <v>1508</v>
      </c>
      <c r="D136" s="1281" t="s">
        <v>348</v>
      </c>
      <c r="E136" s="1283">
        <v>1007298622</v>
      </c>
      <c r="F136" s="231" t="s">
        <v>362</v>
      </c>
      <c r="G136" s="1312" t="s">
        <v>676</v>
      </c>
      <c r="H136" s="1030" t="s">
        <v>1439</v>
      </c>
      <c r="I136" s="1307" t="s">
        <v>2692</v>
      </c>
      <c r="J136" s="1287" t="s">
        <v>2693</v>
      </c>
      <c r="K136" s="1289">
        <v>10</v>
      </c>
      <c r="L136" s="1289">
        <v>9</v>
      </c>
      <c r="M136" s="239">
        <v>20</v>
      </c>
      <c r="N136" s="109" t="s">
        <v>4</v>
      </c>
      <c r="O136" s="782" t="s">
        <v>10</v>
      </c>
      <c r="P136" s="1281" t="s">
        <v>2753</v>
      </c>
      <c r="Q136" s="1319">
        <v>43565</v>
      </c>
    </row>
    <row r="137" spans="1:17" ht="33.299999999999997" customHeight="1" x14ac:dyDescent="0.25">
      <c r="A137" s="1330"/>
      <c r="B137" s="1282"/>
      <c r="C137" s="1282"/>
      <c r="D137" s="1282"/>
      <c r="E137" s="1284"/>
      <c r="F137" s="231" t="s">
        <v>362</v>
      </c>
      <c r="G137" s="1314"/>
      <c r="H137" s="1030" t="s">
        <v>1439</v>
      </c>
      <c r="I137" s="1316"/>
      <c r="J137" s="1288"/>
      <c r="K137" s="1290"/>
      <c r="L137" s="1290"/>
      <c r="M137" s="239">
        <v>20</v>
      </c>
      <c r="N137" s="109" t="s">
        <v>215</v>
      </c>
      <c r="O137" s="782" t="s">
        <v>364</v>
      </c>
      <c r="P137" s="1305"/>
      <c r="Q137" s="1320"/>
    </row>
    <row r="138" spans="1:17" ht="30.1" customHeight="1" x14ac:dyDescent="0.25">
      <c r="A138" s="1329">
        <v>65</v>
      </c>
      <c r="B138" s="1281" t="s">
        <v>1509</v>
      </c>
      <c r="C138" s="1281" t="s">
        <v>1508</v>
      </c>
      <c r="D138" s="1281" t="s">
        <v>348</v>
      </c>
      <c r="E138" s="1283">
        <v>1007390097</v>
      </c>
      <c r="F138" s="231" t="s">
        <v>362</v>
      </c>
      <c r="G138" s="1312" t="s">
        <v>676</v>
      </c>
      <c r="H138" s="1030" t="s">
        <v>1439</v>
      </c>
      <c r="I138" s="1307" t="s">
        <v>2692</v>
      </c>
      <c r="J138" s="1287" t="s">
        <v>2693</v>
      </c>
      <c r="K138" s="1289">
        <v>10</v>
      </c>
      <c r="L138" s="1289">
        <v>9</v>
      </c>
      <c r="M138" s="239">
        <v>20</v>
      </c>
      <c r="N138" s="231" t="s">
        <v>4</v>
      </c>
      <c r="O138" s="782" t="s">
        <v>10</v>
      </c>
      <c r="P138" s="1281" t="s">
        <v>2753</v>
      </c>
      <c r="Q138" s="1319">
        <v>43565</v>
      </c>
    </row>
    <row r="139" spans="1:17" ht="32.6" customHeight="1" x14ac:dyDescent="0.25">
      <c r="A139" s="1330"/>
      <c r="B139" s="1282"/>
      <c r="C139" s="1282"/>
      <c r="D139" s="1282"/>
      <c r="E139" s="1284"/>
      <c r="F139" s="231" t="s">
        <v>362</v>
      </c>
      <c r="G139" s="1314"/>
      <c r="H139" s="1030" t="s">
        <v>1439</v>
      </c>
      <c r="I139" s="1316"/>
      <c r="J139" s="1288"/>
      <c r="K139" s="1290"/>
      <c r="L139" s="1290"/>
      <c r="M139" s="239">
        <v>20</v>
      </c>
      <c r="N139" s="231" t="s">
        <v>215</v>
      </c>
      <c r="O139" s="782" t="s">
        <v>364</v>
      </c>
      <c r="P139" s="1305"/>
      <c r="Q139" s="1320"/>
    </row>
    <row r="140" spans="1:17" ht="30.1" customHeight="1" x14ac:dyDescent="0.25">
      <c r="A140" s="1329">
        <v>66</v>
      </c>
      <c r="B140" s="1281" t="s">
        <v>1524</v>
      </c>
      <c r="C140" s="1281" t="s">
        <v>1525</v>
      </c>
      <c r="D140" s="1281" t="s">
        <v>348</v>
      </c>
      <c r="E140" s="1398">
        <v>15017308</v>
      </c>
      <c r="F140" s="234" t="s">
        <v>362</v>
      </c>
      <c r="G140" s="1312" t="s">
        <v>494</v>
      </c>
      <c r="H140" s="1030" t="s">
        <v>21</v>
      </c>
      <c r="I140" s="1307" t="s">
        <v>2694</v>
      </c>
      <c r="J140" s="1287">
        <v>3115635690</v>
      </c>
      <c r="K140" s="1289">
        <v>9</v>
      </c>
      <c r="L140" s="1289">
        <v>8</v>
      </c>
      <c r="M140" s="239">
        <v>20</v>
      </c>
      <c r="N140" s="236" t="s">
        <v>4</v>
      </c>
      <c r="O140" s="327" t="s">
        <v>540</v>
      </c>
      <c r="P140" s="1281" t="s">
        <v>2755</v>
      </c>
      <c r="Q140" s="1319">
        <v>43565</v>
      </c>
    </row>
    <row r="141" spans="1:17" ht="30.1" customHeight="1" x14ac:dyDescent="0.25">
      <c r="A141" s="1330"/>
      <c r="B141" s="1282"/>
      <c r="C141" s="1282"/>
      <c r="D141" s="1282"/>
      <c r="E141" s="1399"/>
      <c r="F141" s="234" t="s">
        <v>362</v>
      </c>
      <c r="G141" s="1314"/>
      <c r="H141" s="1030" t="s">
        <v>21</v>
      </c>
      <c r="I141" s="1316"/>
      <c r="J141" s="1288"/>
      <c r="K141" s="1290"/>
      <c r="L141" s="1290"/>
      <c r="M141" s="239">
        <v>12</v>
      </c>
      <c r="N141" s="109" t="s">
        <v>215</v>
      </c>
      <c r="O141" s="668" t="s">
        <v>207</v>
      </c>
      <c r="P141" s="1305"/>
      <c r="Q141" s="1320"/>
    </row>
    <row r="142" spans="1:17" ht="30.1" customHeight="1" x14ac:dyDescent="0.25">
      <c r="A142" s="1329">
        <v>67</v>
      </c>
      <c r="B142" s="1281" t="s">
        <v>1530</v>
      </c>
      <c r="C142" s="1281" t="s">
        <v>1531</v>
      </c>
      <c r="D142" s="1281" t="s">
        <v>348</v>
      </c>
      <c r="E142" s="1283">
        <v>33113041</v>
      </c>
      <c r="F142" s="235" t="s">
        <v>362</v>
      </c>
      <c r="G142" s="1312" t="s">
        <v>494</v>
      </c>
      <c r="H142" s="1030" t="s">
        <v>363</v>
      </c>
      <c r="I142" s="1307" t="s">
        <v>2695</v>
      </c>
      <c r="J142" s="1287" t="s">
        <v>2696</v>
      </c>
      <c r="K142" s="1289">
        <v>11</v>
      </c>
      <c r="L142" s="1289">
        <v>10</v>
      </c>
      <c r="M142" s="239">
        <v>20</v>
      </c>
      <c r="N142" s="236" t="s">
        <v>4</v>
      </c>
      <c r="O142" s="668" t="s">
        <v>1292</v>
      </c>
      <c r="P142" s="1281" t="s">
        <v>2753</v>
      </c>
      <c r="Q142" s="1319">
        <v>43566</v>
      </c>
    </row>
    <row r="143" spans="1:17" ht="33.299999999999997" customHeight="1" x14ac:dyDescent="0.25">
      <c r="A143" s="1330"/>
      <c r="B143" s="1282"/>
      <c r="C143" s="1282"/>
      <c r="D143" s="1282"/>
      <c r="E143" s="1284"/>
      <c r="F143" s="235" t="s">
        <v>362</v>
      </c>
      <c r="G143" s="1314"/>
      <c r="H143" s="1030" t="s">
        <v>363</v>
      </c>
      <c r="I143" s="1316"/>
      <c r="J143" s="1288"/>
      <c r="K143" s="1290"/>
      <c r="L143" s="1290"/>
      <c r="M143" s="239">
        <v>12</v>
      </c>
      <c r="N143" s="109" t="s">
        <v>215</v>
      </c>
      <c r="O143" s="668" t="s">
        <v>207</v>
      </c>
      <c r="P143" s="1305"/>
      <c r="Q143" s="1320"/>
    </row>
    <row r="144" spans="1:17" ht="30.1" customHeight="1" x14ac:dyDescent="0.25">
      <c r="A144" s="108">
        <v>68</v>
      </c>
      <c r="B144" s="746" t="s">
        <v>1536</v>
      </c>
      <c r="C144" s="746" t="s">
        <v>1537</v>
      </c>
      <c r="D144" s="109" t="s">
        <v>348</v>
      </c>
      <c r="E144" s="143">
        <v>25969161</v>
      </c>
      <c r="F144" s="218" t="s">
        <v>362</v>
      </c>
      <c r="G144" s="847" t="s">
        <v>1538</v>
      </c>
      <c r="H144" s="1030" t="s">
        <v>21</v>
      </c>
      <c r="I144" s="852" t="s">
        <v>2697</v>
      </c>
      <c r="J144" s="1005">
        <v>3105573768</v>
      </c>
      <c r="K144" s="978">
        <v>11</v>
      </c>
      <c r="L144" s="978">
        <v>10</v>
      </c>
      <c r="M144" s="239">
        <v>20</v>
      </c>
      <c r="N144" s="109" t="s">
        <v>4</v>
      </c>
      <c r="O144" s="327" t="s">
        <v>540</v>
      </c>
      <c r="P144" s="1030" t="s">
        <v>2754</v>
      </c>
      <c r="Q144" s="325">
        <v>43567</v>
      </c>
    </row>
    <row r="145" spans="1:18" s="241" customFormat="1" ht="30.1" customHeight="1" x14ac:dyDescent="0.25">
      <c r="A145" s="1329">
        <v>69</v>
      </c>
      <c r="B145" s="1281" t="s">
        <v>1543</v>
      </c>
      <c r="C145" s="1281" t="s">
        <v>1544</v>
      </c>
      <c r="D145" s="1281" t="s">
        <v>348</v>
      </c>
      <c r="E145" s="1283">
        <v>25758790</v>
      </c>
      <c r="F145" s="237" t="s">
        <v>835</v>
      </c>
      <c r="G145" s="1312" t="s">
        <v>1545</v>
      </c>
      <c r="H145" s="1030" t="s">
        <v>14</v>
      </c>
      <c r="I145" s="1302" t="s">
        <v>2698</v>
      </c>
      <c r="J145" s="1400">
        <v>3008171516</v>
      </c>
      <c r="K145" s="1289">
        <v>12</v>
      </c>
      <c r="L145" s="1289">
        <v>11</v>
      </c>
      <c r="M145" s="239">
        <v>30</v>
      </c>
      <c r="N145" s="494" t="s">
        <v>4</v>
      </c>
      <c r="O145" s="782" t="s">
        <v>2313</v>
      </c>
      <c r="P145" s="1281" t="s">
        <v>2194</v>
      </c>
      <c r="Q145" s="332"/>
      <c r="R145" s="242"/>
    </row>
    <row r="146" spans="1:18" ht="30.1" customHeight="1" x14ac:dyDescent="0.25">
      <c r="A146" s="1333"/>
      <c r="B146" s="1305"/>
      <c r="C146" s="1305"/>
      <c r="D146" s="1305"/>
      <c r="E146" s="1315"/>
      <c r="F146" s="237" t="s">
        <v>835</v>
      </c>
      <c r="G146" s="1313"/>
      <c r="H146" s="1030" t="s">
        <v>14</v>
      </c>
      <c r="I146" s="1302"/>
      <c r="J146" s="1400"/>
      <c r="K146" s="1401"/>
      <c r="L146" s="1306"/>
      <c r="M146" s="239">
        <v>30</v>
      </c>
      <c r="N146" s="494" t="s">
        <v>8</v>
      </c>
      <c r="O146" s="782" t="s">
        <v>2299</v>
      </c>
      <c r="P146" s="1282"/>
      <c r="Q146" s="325"/>
    </row>
    <row r="147" spans="1:18" ht="30.1" customHeight="1" x14ac:dyDescent="0.25">
      <c r="A147" s="1329">
        <v>70</v>
      </c>
      <c r="B147" s="1281" t="s">
        <v>1547</v>
      </c>
      <c r="C147" s="1281" t="s">
        <v>1548</v>
      </c>
      <c r="D147" s="1281" t="s">
        <v>348</v>
      </c>
      <c r="E147" s="1283">
        <v>25841594</v>
      </c>
      <c r="F147" s="218" t="s">
        <v>362</v>
      </c>
      <c r="G147" s="1312" t="s">
        <v>493</v>
      </c>
      <c r="H147" s="1030" t="s">
        <v>9</v>
      </c>
      <c r="I147" s="1309" t="s">
        <v>2699</v>
      </c>
      <c r="J147" s="1287">
        <v>3143871587</v>
      </c>
      <c r="K147" s="1289">
        <v>12</v>
      </c>
      <c r="L147" s="1289">
        <v>11</v>
      </c>
      <c r="M147" s="239">
        <v>20</v>
      </c>
      <c r="N147" s="109" t="s">
        <v>4</v>
      </c>
      <c r="O147" s="782" t="s">
        <v>948</v>
      </c>
      <c r="P147" s="1281" t="s">
        <v>2028</v>
      </c>
      <c r="Q147" s="1319">
        <v>43567</v>
      </c>
    </row>
    <row r="148" spans="1:18" ht="30.1" customHeight="1" x14ac:dyDescent="0.25">
      <c r="A148" s="1333"/>
      <c r="B148" s="1305"/>
      <c r="C148" s="1305"/>
      <c r="D148" s="1305"/>
      <c r="E148" s="1315"/>
      <c r="F148" s="237" t="s">
        <v>362</v>
      </c>
      <c r="G148" s="1313"/>
      <c r="H148" s="1030" t="s">
        <v>9</v>
      </c>
      <c r="I148" s="1309"/>
      <c r="J148" s="1291"/>
      <c r="K148" s="1306"/>
      <c r="L148" s="1306"/>
      <c r="M148" s="239">
        <v>12</v>
      </c>
      <c r="N148" s="109" t="s">
        <v>215</v>
      </c>
      <c r="O148" s="668" t="s">
        <v>649</v>
      </c>
      <c r="P148" s="1305"/>
      <c r="Q148" s="1327"/>
    </row>
    <row r="149" spans="1:18" ht="30.1" customHeight="1" x14ac:dyDescent="0.25">
      <c r="A149" s="1330"/>
      <c r="B149" s="1282"/>
      <c r="C149" s="1282"/>
      <c r="D149" s="1282"/>
      <c r="E149" s="1284"/>
      <c r="F149" s="237" t="s">
        <v>362</v>
      </c>
      <c r="G149" s="1314"/>
      <c r="H149" s="1030" t="s">
        <v>9</v>
      </c>
      <c r="I149" s="1309"/>
      <c r="J149" s="1288"/>
      <c r="K149" s="1290"/>
      <c r="L149" s="1290"/>
      <c r="M149" s="239">
        <v>12</v>
      </c>
      <c r="N149" s="109" t="s">
        <v>8</v>
      </c>
      <c r="O149" s="668" t="s">
        <v>381</v>
      </c>
      <c r="P149" s="1282"/>
      <c r="Q149" s="1320"/>
    </row>
    <row r="150" spans="1:18" ht="30.1" customHeight="1" x14ac:dyDescent="0.25">
      <c r="A150" s="635">
        <v>71</v>
      </c>
      <c r="B150" s="745" t="s">
        <v>1549</v>
      </c>
      <c r="C150" s="745" t="s">
        <v>1550</v>
      </c>
      <c r="D150" s="636" t="s">
        <v>348</v>
      </c>
      <c r="E150" s="637">
        <v>2800002</v>
      </c>
      <c r="F150" s="237" t="s">
        <v>362</v>
      </c>
      <c r="G150" s="849" t="s">
        <v>494</v>
      </c>
      <c r="H150" s="1030" t="s">
        <v>363</v>
      </c>
      <c r="I150" s="857" t="s">
        <v>2700</v>
      </c>
      <c r="J150" s="1012">
        <v>3127787573</v>
      </c>
      <c r="K150" s="973">
        <v>12</v>
      </c>
      <c r="L150" s="973">
        <v>11</v>
      </c>
      <c r="M150" s="239">
        <v>20</v>
      </c>
      <c r="N150" s="109" t="s">
        <v>4</v>
      </c>
      <c r="O150" s="668" t="s">
        <v>1292</v>
      </c>
      <c r="P150" s="1030" t="s">
        <v>2249</v>
      </c>
      <c r="Q150" s="638">
        <v>43567</v>
      </c>
    </row>
    <row r="151" spans="1:18" ht="30.1" customHeight="1" x14ac:dyDescent="0.25">
      <c r="A151" s="108">
        <v>72</v>
      </c>
      <c r="B151" s="746" t="s">
        <v>1559</v>
      </c>
      <c r="C151" s="746" t="s">
        <v>1560</v>
      </c>
      <c r="D151" s="426" t="s">
        <v>348</v>
      </c>
      <c r="E151" s="143">
        <v>78756027</v>
      </c>
      <c r="F151" s="218" t="s">
        <v>362</v>
      </c>
      <c r="G151" s="850" t="s">
        <v>1570</v>
      </c>
      <c r="H151" s="1030" t="s">
        <v>1439</v>
      </c>
      <c r="I151" s="852" t="s">
        <v>2701</v>
      </c>
      <c r="J151" s="1005" t="s">
        <v>2702</v>
      </c>
      <c r="K151" s="978">
        <v>16</v>
      </c>
      <c r="L151" s="978">
        <v>15</v>
      </c>
      <c r="M151" s="239">
        <v>20</v>
      </c>
      <c r="N151" s="109" t="s">
        <v>4</v>
      </c>
      <c r="O151" s="668" t="s">
        <v>10</v>
      </c>
      <c r="P151" s="1030" t="s">
        <v>2249</v>
      </c>
      <c r="Q151" s="325">
        <v>43571</v>
      </c>
    </row>
    <row r="152" spans="1:18" ht="30.1" customHeight="1" x14ac:dyDescent="0.25">
      <c r="A152" s="108">
        <v>73</v>
      </c>
      <c r="B152" s="746" t="s">
        <v>1567</v>
      </c>
      <c r="C152" s="746" t="s">
        <v>1568</v>
      </c>
      <c r="D152" s="109" t="s">
        <v>348</v>
      </c>
      <c r="E152" s="143">
        <v>1192811464</v>
      </c>
      <c r="F152" s="218" t="s">
        <v>362</v>
      </c>
      <c r="G152" s="850" t="s">
        <v>1571</v>
      </c>
      <c r="H152" s="1030" t="s">
        <v>9</v>
      </c>
      <c r="I152" s="852" t="s">
        <v>1569</v>
      </c>
      <c r="J152" s="1005"/>
      <c r="K152" s="978">
        <v>16</v>
      </c>
      <c r="L152" s="978">
        <v>15</v>
      </c>
      <c r="M152" s="239">
        <v>20</v>
      </c>
      <c r="N152" s="109" t="s">
        <v>4</v>
      </c>
      <c r="O152" s="668" t="s">
        <v>948</v>
      </c>
      <c r="P152" s="1030" t="s">
        <v>2249</v>
      </c>
      <c r="Q152" s="325">
        <v>43571</v>
      </c>
    </row>
    <row r="153" spans="1:18" ht="30.1" customHeight="1" x14ac:dyDescent="0.25">
      <c r="A153" s="108">
        <v>74</v>
      </c>
      <c r="B153" s="746" t="s">
        <v>1572</v>
      </c>
      <c r="C153" s="746" t="s">
        <v>1574</v>
      </c>
      <c r="D153" s="109" t="s">
        <v>348</v>
      </c>
      <c r="E153" s="143">
        <v>7423247</v>
      </c>
      <c r="F153" s="218" t="s">
        <v>362</v>
      </c>
      <c r="G153" s="847" t="s">
        <v>1575</v>
      </c>
      <c r="H153" s="1030" t="s">
        <v>14</v>
      </c>
      <c r="I153" s="852" t="s">
        <v>2703</v>
      </c>
      <c r="J153" s="1005">
        <v>3116573193</v>
      </c>
      <c r="K153" s="978">
        <v>16</v>
      </c>
      <c r="L153" s="978">
        <v>15</v>
      </c>
      <c r="M153" s="239">
        <v>20</v>
      </c>
      <c r="N153" s="109" t="s">
        <v>4</v>
      </c>
      <c r="O153" s="782" t="s">
        <v>2301</v>
      </c>
      <c r="P153" s="1032" t="s">
        <v>2556</v>
      </c>
      <c r="Q153" s="325">
        <v>43571</v>
      </c>
    </row>
    <row r="154" spans="1:18" s="4" customFormat="1" ht="30.1" customHeight="1" x14ac:dyDescent="0.25">
      <c r="A154" s="252">
        <v>75</v>
      </c>
      <c r="B154" s="50" t="s">
        <v>1258</v>
      </c>
      <c r="C154" s="50" t="s">
        <v>1257</v>
      </c>
      <c r="D154" s="251" t="s">
        <v>348</v>
      </c>
      <c r="E154" s="253">
        <v>6872927</v>
      </c>
      <c r="F154" s="251" t="s">
        <v>906</v>
      </c>
      <c r="G154" s="847" t="s">
        <v>485</v>
      </c>
      <c r="H154" s="1030" t="s">
        <v>14</v>
      </c>
      <c r="I154" s="858" t="s">
        <v>2704</v>
      </c>
      <c r="J154" s="1005">
        <v>3234758412</v>
      </c>
      <c r="K154" s="978">
        <v>12</v>
      </c>
      <c r="L154" s="978">
        <v>11</v>
      </c>
      <c r="M154" s="239">
        <v>12</v>
      </c>
      <c r="N154" s="251" t="s">
        <v>4</v>
      </c>
      <c r="O154" s="782" t="s">
        <v>2301</v>
      </c>
      <c r="P154" s="1030" t="s">
        <v>1675</v>
      </c>
      <c r="Q154" s="332"/>
      <c r="R154" s="242"/>
    </row>
    <row r="155" spans="1:18" ht="30.1" customHeight="1" x14ac:dyDescent="0.25">
      <c r="A155" s="1329">
        <v>76</v>
      </c>
      <c r="B155" s="1281" t="s">
        <v>1600</v>
      </c>
      <c r="C155" s="1281" t="s">
        <v>1601</v>
      </c>
      <c r="D155" s="1281" t="s">
        <v>348</v>
      </c>
      <c r="E155" s="1283">
        <v>1575542</v>
      </c>
      <c r="F155" s="218" t="s">
        <v>362</v>
      </c>
      <c r="G155" s="1312" t="s">
        <v>481</v>
      </c>
      <c r="H155" s="1030" t="s">
        <v>9</v>
      </c>
      <c r="I155" s="1307" t="s">
        <v>900</v>
      </c>
      <c r="J155" s="1012"/>
      <c r="K155" s="1289">
        <v>16</v>
      </c>
      <c r="L155" s="1289">
        <v>15</v>
      </c>
      <c r="M155" s="239">
        <v>20</v>
      </c>
      <c r="N155" s="109" t="s">
        <v>4</v>
      </c>
      <c r="O155" s="782" t="s">
        <v>948</v>
      </c>
      <c r="P155" s="1281" t="s">
        <v>2294</v>
      </c>
      <c r="Q155" s="1319">
        <v>43571</v>
      </c>
    </row>
    <row r="156" spans="1:18" ht="30.1" customHeight="1" x14ac:dyDescent="0.25">
      <c r="A156" s="1330"/>
      <c r="B156" s="1282"/>
      <c r="C156" s="1282"/>
      <c r="D156" s="1282"/>
      <c r="E156" s="1284"/>
      <c r="F156" s="251" t="s">
        <v>362</v>
      </c>
      <c r="G156" s="1314"/>
      <c r="H156" s="1030" t="s">
        <v>9</v>
      </c>
      <c r="I156" s="1316"/>
      <c r="J156" s="1013"/>
      <c r="K156" s="1290"/>
      <c r="L156" s="1290"/>
      <c r="M156" s="239">
        <v>12</v>
      </c>
      <c r="N156" s="109" t="s">
        <v>215</v>
      </c>
      <c r="O156" s="782" t="s">
        <v>649</v>
      </c>
      <c r="P156" s="1282"/>
      <c r="Q156" s="1320"/>
    </row>
    <row r="157" spans="1:18" ht="30.1" customHeight="1" x14ac:dyDescent="0.25">
      <c r="A157" s="1329">
        <v>77</v>
      </c>
      <c r="B157" s="1281" t="s">
        <v>1616</v>
      </c>
      <c r="C157" s="1281" t="s">
        <v>1617</v>
      </c>
      <c r="D157" s="1281" t="s">
        <v>348</v>
      </c>
      <c r="E157" s="1283">
        <v>15607183</v>
      </c>
      <c r="F157" s="218" t="s">
        <v>362</v>
      </c>
      <c r="G157" s="1312" t="s">
        <v>1619</v>
      </c>
      <c r="H157" s="1030" t="s">
        <v>14</v>
      </c>
      <c r="I157" s="1307" t="s">
        <v>1618</v>
      </c>
      <c r="J157" s="1012"/>
      <c r="K157" s="1289">
        <v>17</v>
      </c>
      <c r="L157" s="1289">
        <v>16</v>
      </c>
      <c r="M157" s="239">
        <v>60</v>
      </c>
      <c r="N157" s="109" t="s">
        <v>5</v>
      </c>
      <c r="O157" s="782" t="s">
        <v>2315</v>
      </c>
      <c r="P157" s="1281" t="s">
        <v>2755</v>
      </c>
      <c r="Q157" s="1319">
        <v>43572</v>
      </c>
    </row>
    <row r="158" spans="1:18" ht="30.1" customHeight="1" x14ac:dyDescent="0.25">
      <c r="A158" s="1333"/>
      <c r="B158" s="1305"/>
      <c r="C158" s="1305"/>
      <c r="D158" s="1305"/>
      <c r="E158" s="1315"/>
      <c r="F158" s="399" t="s">
        <v>362</v>
      </c>
      <c r="G158" s="1313"/>
      <c r="H158" s="1030" t="s">
        <v>14</v>
      </c>
      <c r="I158" s="1309"/>
      <c r="J158" s="1017"/>
      <c r="K158" s="1401"/>
      <c r="L158" s="1306"/>
      <c r="M158" s="239">
        <v>4</v>
      </c>
      <c r="N158" s="399" t="s">
        <v>8</v>
      </c>
      <c r="O158" s="782" t="s">
        <v>2299</v>
      </c>
      <c r="P158" s="1305"/>
      <c r="Q158" s="1327"/>
    </row>
    <row r="159" spans="1:18" ht="30.1" customHeight="1" x14ac:dyDescent="0.25">
      <c r="A159" s="1333"/>
      <c r="B159" s="1305"/>
      <c r="C159" s="1305"/>
      <c r="D159" s="1305"/>
      <c r="E159" s="1315"/>
      <c r="F159" s="399" t="s">
        <v>362</v>
      </c>
      <c r="G159" s="1313"/>
      <c r="H159" s="1030" t="s">
        <v>14</v>
      </c>
      <c r="I159" s="1308"/>
      <c r="J159" s="1017"/>
      <c r="K159" s="1306"/>
      <c r="L159" s="1306"/>
      <c r="M159" s="239">
        <v>4</v>
      </c>
      <c r="N159" s="399" t="s">
        <v>215</v>
      </c>
      <c r="O159" s="782" t="s">
        <v>926</v>
      </c>
      <c r="P159" s="1305"/>
      <c r="Q159" s="1327"/>
    </row>
    <row r="160" spans="1:18" ht="30.1" customHeight="1" x14ac:dyDescent="0.25">
      <c r="A160" s="1333"/>
      <c r="B160" s="1305"/>
      <c r="C160" s="1305"/>
      <c r="D160" s="1305"/>
      <c r="E160" s="1315"/>
      <c r="F160" s="399" t="s">
        <v>362</v>
      </c>
      <c r="G160" s="1313"/>
      <c r="H160" s="1030" t="s">
        <v>14</v>
      </c>
      <c r="I160" s="1308"/>
      <c r="J160" s="1017"/>
      <c r="K160" s="1306"/>
      <c r="L160" s="1306"/>
      <c r="M160" s="239">
        <v>1</v>
      </c>
      <c r="N160" s="381" t="s">
        <v>214</v>
      </c>
      <c r="O160" s="782" t="s">
        <v>209</v>
      </c>
      <c r="P160" s="1305"/>
      <c r="Q160" s="1327"/>
    </row>
    <row r="161" spans="1:20" ht="30.1" customHeight="1" x14ac:dyDescent="0.25">
      <c r="A161" s="1330"/>
      <c r="B161" s="1282"/>
      <c r="C161" s="1282"/>
      <c r="D161" s="1282"/>
      <c r="E161" s="1284"/>
      <c r="F161" s="257" t="s">
        <v>362</v>
      </c>
      <c r="G161" s="1314"/>
      <c r="H161" s="1030" t="s">
        <v>14</v>
      </c>
      <c r="I161" s="1316"/>
      <c r="J161" s="1013"/>
      <c r="K161" s="1290"/>
      <c r="L161" s="1290"/>
      <c r="M161" s="239">
        <v>60</v>
      </c>
      <c r="N161" s="109" t="s">
        <v>4</v>
      </c>
      <c r="O161" s="782" t="s">
        <v>2315</v>
      </c>
      <c r="P161" s="1282"/>
      <c r="Q161" s="1320"/>
    </row>
    <row r="162" spans="1:20" ht="30.1" customHeight="1" x14ac:dyDescent="0.25">
      <c r="A162" s="1329">
        <v>78</v>
      </c>
      <c r="B162" s="1281" t="s">
        <v>1666</v>
      </c>
      <c r="C162" s="1281" t="s">
        <v>1667</v>
      </c>
      <c r="D162" s="1281" t="s">
        <v>348</v>
      </c>
      <c r="E162" s="1283">
        <v>25952416</v>
      </c>
      <c r="F162" s="271" t="s">
        <v>362</v>
      </c>
      <c r="G162" s="1312" t="s">
        <v>481</v>
      </c>
      <c r="H162" s="1030" t="s">
        <v>21</v>
      </c>
      <c r="I162" s="1307" t="s">
        <v>2705</v>
      </c>
      <c r="J162" s="1287">
        <v>3135194326</v>
      </c>
      <c r="K162" s="1289">
        <v>22</v>
      </c>
      <c r="L162" s="1289">
        <v>21</v>
      </c>
      <c r="M162" s="239">
        <v>20</v>
      </c>
      <c r="N162" s="109" t="s">
        <v>4</v>
      </c>
      <c r="O162" s="782" t="s">
        <v>335</v>
      </c>
      <c r="P162" s="1281" t="s">
        <v>2294</v>
      </c>
      <c r="Q162" s="1319">
        <v>43577</v>
      </c>
    </row>
    <row r="163" spans="1:20" ht="30.1" customHeight="1" x14ac:dyDescent="0.25">
      <c r="A163" s="1330"/>
      <c r="B163" s="1282"/>
      <c r="C163" s="1282"/>
      <c r="D163" s="1282"/>
      <c r="E163" s="1284"/>
      <c r="F163" s="271" t="s">
        <v>362</v>
      </c>
      <c r="G163" s="1314"/>
      <c r="H163" s="1030" t="s">
        <v>21</v>
      </c>
      <c r="I163" s="1316"/>
      <c r="J163" s="1288"/>
      <c r="K163" s="1290"/>
      <c r="L163" s="1290"/>
      <c r="M163" s="239">
        <v>12</v>
      </c>
      <c r="N163" s="109" t="s">
        <v>215</v>
      </c>
      <c r="O163" s="782" t="s">
        <v>336</v>
      </c>
      <c r="P163" s="1282"/>
      <c r="Q163" s="1320"/>
    </row>
    <row r="164" spans="1:20" ht="30.1" customHeight="1" x14ac:dyDescent="0.25">
      <c r="A164" s="1329">
        <v>79</v>
      </c>
      <c r="B164" s="1281" t="s">
        <v>1670</v>
      </c>
      <c r="C164" s="1281" t="s">
        <v>1671</v>
      </c>
      <c r="D164" s="1281" t="s">
        <v>348</v>
      </c>
      <c r="E164" s="1283">
        <v>25948117</v>
      </c>
      <c r="F164" s="1070" t="s">
        <v>353</v>
      </c>
      <c r="G164" s="1312" t="s">
        <v>481</v>
      </c>
      <c r="H164" s="1030" t="s">
        <v>21</v>
      </c>
      <c r="I164" s="1307" t="s">
        <v>2706</v>
      </c>
      <c r="J164" s="1287" t="s">
        <v>2707</v>
      </c>
      <c r="K164" s="1289">
        <v>1</v>
      </c>
      <c r="L164" s="1289">
        <v>30</v>
      </c>
      <c r="M164" s="239">
        <v>20</v>
      </c>
      <c r="N164" s="109" t="s">
        <v>4</v>
      </c>
      <c r="O164" s="327" t="s">
        <v>540</v>
      </c>
      <c r="P164" s="1281" t="s">
        <v>2361</v>
      </c>
      <c r="Q164" s="1319" t="s">
        <v>1672</v>
      </c>
    </row>
    <row r="165" spans="1:20" ht="30.1" customHeight="1" x14ac:dyDescent="0.25">
      <c r="A165" s="1330"/>
      <c r="B165" s="1282"/>
      <c r="C165" s="1282"/>
      <c r="D165" s="1282"/>
      <c r="E165" s="1284"/>
      <c r="F165" s="1070" t="s">
        <v>353</v>
      </c>
      <c r="G165" s="1314"/>
      <c r="H165" s="1030" t="s">
        <v>21</v>
      </c>
      <c r="I165" s="1316"/>
      <c r="J165" s="1288"/>
      <c r="K165" s="1290"/>
      <c r="L165" s="1290"/>
      <c r="M165" s="239">
        <v>30</v>
      </c>
      <c r="N165" s="109" t="s">
        <v>5</v>
      </c>
      <c r="O165" s="327" t="s">
        <v>540</v>
      </c>
      <c r="P165" s="1282"/>
      <c r="Q165" s="1320"/>
    </row>
    <row r="166" spans="1:20" ht="30.1" customHeight="1" x14ac:dyDescent="0.25">
      <c r="A166" s="1329">
        <v>80</v>
      </c>
      <c r="B166" s="1281" t="s">
        <v>1709</v>
      </c>
      <c r="C166" s="1281" t="s">
        <v>1710</v>
      </c>
      <c r="D166" s="1402" t="s">
        <v>348</v>
      </c>
      <c r="E166" s="1283">
        <v>78712332</v>
      </c>
      <c r="F166" s="218" t="s">
        <v>362</v>
      </c>
      <c r="G166" s="1312" t="s">
        <v>805</v>
      </c>
      <c r="H166" s="1030" t="s">
        <v>9</v>
      </c>
      <c r="I166" s="1307" t="s">
        <v>2708</v>
      </c>
      <c r="J166" s="1287" t="s">
        <v>2709</v>
      </c>
      <c r="K166" s="1289">
        <v>12</v>
      </c>
      <c r="L166" s="1289">
        <v>11</v>
      </c>
      <c r="M166" s="239">
        <v>20</v>
      </c>
      <c r="N166" s="109" t="s">
        <v>4</v>
      </c>
      <c r="O166" s="782" t="s">
        <v>7</v>
      </c>
      <c r="P166" s="1281" t="s">
        <v>2294</v>
      </c>
      <c r="Q166" s="1319">
        <v>43567</v>
      </c>
    </row>
    <row r="167" spans="1:20" ht="30.1" customHeight="1" x14ac:dyDescent="0.25">
      <c r="A167" s="1330"/>
      <c r="B167" s="1282"/>
      <c r="C167" s="1282"/>
      <c r="D167" s="1403"/>
      <c r="E167" s="1284"/>
      <c r="F167" s="301" t="s">
        <v>362</v>
      </c>
      <c r="G167" s="1314"/>
      <c r="H167" s="1030" t="s">
        <v>9</v>
      </c>
      <c r="I167" s="1316"/>
      <c r="J167" s="1288"/>
      <c r="K167" s="1290"/>
      <c r="L167" s="1290"/>
      <c r="M167" s="239">
        <v>12</v>
      </c>
      <c r="N167" s="109" t="s">
        <v>8</v>
      </c>
      <c r="O167" s="782" t="s">
        <v>381</v>
      </c>
      <c r="P167" s="1282"/>
      <c r="Q167" s="1320"/>
    </row>
    <row r="168" spans="1:20" ht="30.1" customHeight="1" x14ac:dyDescent="0.25">
      <c r="A168" s="679">
        <v>81</v>
      </c>
      <c r="B168" s="745" t="s">
        <v>1741</v>
      </c>
      <c r="C168" s="745" t="s">
        <v>1742</v>
      </c>
      <c r="D168" s="680" t="s">
        <v>348</v>
      </c>
      <c r="E168" s="681">
        <v>1003082033</v>
      </c>
      <c r="F168" s="684" t="s">
        <v>349</v>
      </c>
      <c r="G168" s="849" t="s">
        <v>506</v>
      </c>
      <c r="H168" s="1030" t="s">
        <v>14</v>
      </c>
      <c r="I168" s="857" t="s">
        <v>2710</v>
      </c>
      <c r="J168" s="1012">
        <v>3145068716</v>
      </c>
      <c r="K168" s="973">
        <v>1</v>
      </c>
      <c r="L168" s="973">
        <v>30</v>
      </c>
      <c r="M168" s="239">
        <v>20</v>
      </c>
      <c r="N168" s="684" t="s">
        <v>4</v>
      </c>
      <c r="O168" s="782" t="s">
        <v>2298</v>
      </c>
      <c r="P168" s="1028" t="s">
        <v>2338</v>
      </c>
      <c r="Q168" s="682"/>
    </row>
    <row r="169" spans="1:20" ht="30.1" customHeight="1" x14ac:dyDescent="0.25">
      <c r="A169" s="1329">
        <v>82</v>
      </c>
      <c r="B169" s="1281" t="s">
        <v>2066</v>
      </c>
      <c r="C169" s="1281" t="s">
        <v>1760</v>
      </c>
      <c r="D169" s="1281" t="s">
        <v>348</v>
      </c>
      <c r="E169" s="1283">
        <v>1062882244</v>
      </c>
      <c r="F169" s="301" t="s">
        <v>362</v>
      </c>
      <c r="G169" s="1312" t="s">
        <v>512</v>
      </c>
      <c r="H169" s="1030" t="s">
        <v>1439</v>
      </c>
      <c r="I169" s="1307" t="s">
        <v>2029</v>
      </c>
      <c r="J169" s="1287" t="s">
        <v>2711</v>
      </c>
      <c r="K169" s="1289">
        <v>30</v>
      </c>
      <c r="L169" s="1289">
        <v>29</v>
      </c>
      <c r="M169" s="239">
        <v>20</v>
      </c>
      <c r="N169" s="301" t="s">
        <v>4</v>
      </c>
      <c r="O169" s="782" t="s">
        <v>10</v>
      </c>
      <c r="P169" s="1281" t="s">
        <v>2065</v>
      </c>
      <c r="Q169" s="1319">
        <v>43582</v>
      </c>
    </row>
    <row r="170" spans="1:20" ht="30.1" customHeight="1" x14ac:dyDescent="0.25">
      <c r="A170" s="1330"/>
      <c r="B170" s="1282"/>
      <c r="C170" s="1282"/>
      <c r="D170" s="1282"/>
      <c r="E170" s="1284"/>
      <c r="F170" s="319" t="s">
        <v>362</v>
      </c>
      <c r="G170" s="1314"/>
      <c r="H170" s="1030" t="s">
        <v>1439</v>
      </c>
      <c r="I170" s="1316"/>
      <c r="J170" s="1288"/>
      <c r="K170" s="1290"/>
      <c r="L170" s="1290"/>
      <c r="M170" s="239">
        <v>12</v>
      </c>
      <c r="N170" s="301" t="s">
        <v>215</v>
      </c>
      <c r="O170" s="782" t="s">
        <v>336</v>
      </c>
      <c r="P170" s="1282"/>
      <c r="Q170" s="1320"/>
    </row>
    <row r="171" spans="1:20" s="7" customFormat="1" ht="29.9" customHeight="1" x14ac:dyDescent="0.25">
      <c r="A171" s="340">
        <v>83</v>
      </c>
      <c r="B171" s="747" t="s">
        <v>1603</v>
      </c>
      <c r="C171" s="747" t="s">
        <v>1605</v>
      </c>
      <c r="D171" s="339" t="s">
        <v>348</v>
      </c>
      <c r="E171" s="341">
        <v>25960072</v>
      </c>
      <c r="F171" s="339" t="s">
        <v>362</v>
      </c>
      <c r="G171" s="430" t="s">
        <v>490</v>
      </c>
      <c r="H171" s="1032" t="s">
        <v>1439</v>
      </c>
      <c r="I171" s="859" t="s">
        <v>2712</v>
      </c>
      <c r="J171" s="1005">
        <v>3215642240</v>
      </c>
      <c r="K171" s="978">
        <v>12</v>
      </c>
      <c r="L171" s="978">
        <v>11</v>
      </c>
      <c r="M171" s="240">
        <v>20</v>
      </c>
      <c r="N171" s="342" t="s">
        <v>4</v>
      </c>
      <c r="O171" s="783" t="s">
        <v>10</v>
      </c>
      <c r="P171" s="1030" t="s">
        <v>2761</v>
      </c>
      <c r="Q171" s="430"/>
      <c r="R171" s="213"/>
      <c r="S171" s="343"/>
      <c r="T171" s="91"/>
    </row>
    <row r="172" spans="1:20" ht="30.1" customHeight="1" x14ac:dyDescent="0.25">
      <c r="A172" s="1329">
        <v>84</v>
      </c>
      <c r="B172" s="1281" t="s">
        <v>1903</v>
      </c>
      <c r="C172" s="1281" t="s">
        <v>1904</v>
      </c>
      <c r="D172" s="1281" t="s">
        <v>348</v>
      </c>
      <c r="E172" s="1283">
        <v>2798786</v>
      </c>
      <c r="F172" s="301" t="s">
        <v>362</v>
      </c>
      <c r="G172" s="1312" t="s">
        <v>490</v>
      </c>
      <c r="H172" s="1030" t="s">
        <v>1439</v>
      </c>
      <c r="I172" s="1307" t="s">
        <v>2713</v>
      </c>
      <c r="J172" s="1287">
        <v>3107136510</v>
      </c>
      <c r="K172" s="1289">
        <v>11</v>
      </c>
      <c r="L172" s="1289">
        <v>10</v>
      </c>
      <c r="M172" s="239">
        <v>20</v>
      </c>
      <c r="N172" s="301" t="s">
        <v>4</v>
      </c>
      <c r="O172" s="782" t="s">
        <v>10</v>
      </c>
      <c r="P172" s="1281" t="s">
        <v>2294</v>
      </c>
      <c r="Q172" s="325"/>
    </row>
    <row r="173" spans="1:20" ht="30.1" customHeight="1" x14ac:dyDescent="0.25">
      <c r="A173" s="1330"/>
      <c r="B173" s="1282"/>
      <c r="C173" s="1282"/>
      <c r="D173" s="1282"/>
      <c r="E173" s="1284"/>
      <c r="F173" s="301" t="s">
        <v>362</v>
      </c>
      <c r="G173" s="1314"/>
      <c r="H173" s="1030" t="s">
        <v>1439</v>
      </c>
      <c r="I173" s="1316"/>
      <c r="J173" s="1288"/>
      <c r="K173" s="1290"/>
      <c r="L173" s="1290"/>
      <c r="M173" s="239">
        <v>12</v>
      </c>
      <c r="N173" s="301" t="s">
        <v>215</v>
      </c>
      <c r="O173" s="782" t="s">
        <v>336</v>
      </c>
      <c r="P173" s="1282"/>
      <c r="Q173" s="325"/>
    </row>
    <row r="174" spans="1:20" ht="30.1" customHeight="1" x14ac:dyDescent="0.25">
      <c r="A174" s="1329">
        <v>85</v>
      </c>
      <c r="B174" s="1281" t="s">
        <v>2014</v>
      </c>
      <c r="C174" s="1281" t="s">
        <v>2015</v>
      </c>
      <c r="D174" s="1281" t="s">
        <v>348</v>
      </c>
      <c r="E174" s="1283">
        <v>25796174</v>
      </c>
      <c r="F174" s="480" t="s">
        <v>349</v>
      </c>
      <c r="G174" s="1312" t="s">
        <v>486</v>
      </c>
      <c r="H174" s="1030" t="s">
        <v>14</v>
      </c>
      <c r="I174" s="1307" t="s">
        <v>2714</v>
      </c>
      <c r="J174" s="1287" t="s">
        <v>2715</v>
      </c>
      <c r="K174" s="1289">
        <v>1</v>
      </c>
      <c r="L174" s="1289">
        <v>30</v>
      </c>
      <c r="M174" s="239">
        <v>20</v>
      </c>
      <c r="N174" s="480" t="s">
        <v>4</v>
      </c>
      <c r="O174" s="782" t="s">
        <v>2313</v>
      </c>
      <c r="P174" s="1281" t="s">
        <v>2016</v>
      </c>
      <c r="Q174" s="481"/>
    </row>
    <row r="175" spans="1:20" ht="30.1" customHeight="1" x14ac:dyDescent="0.25">
      <c r="A175" s="1333"/>
      <c r="B175" s="1305"/>
      <c r="C175" s="1305"/>
      <c r="D175" s="1305"/>
      <c r="E175" s="1315"/>
      <c r="F175" s="480" t="s">
        <v>349</v>
      </c>
      <c r="G175" s="1313"/>
      <c r="H175" s="1030" t="s">
        <v>14</v>
      </c>
      <c r="I175" s="1309"/>
      <c r="J175" s="1291"/>
      <c r="K175" s="1401"/>
      <c r="L175" s="1306"/>
      <c r="M175" s="239">
        <v>20</v>
      </c>
      <c r="N175" s="480" t="s">
        <v>8</v>
      </c>
      <c r="O175" s="782" t="s">
        <v>2299</v>
      </c>
      <c r="P175" s="1305"/>
      <c r="Q175" s="481"/>
    </row>
    <row r="176" spans="1:20" ht="30.1" customHeight="1" x14ac:dyDescent="0.25">
      <c r="A176" s="1333"/>
      <c r="B176" s="1305"/>
      <c r="C176" s="1305"/>
      <c r="D176" s="1305"/>
      <c r="E176" s="1315"/>
      <c r="F176" s="609" t="s">
        <v>349</v>
      </c>
      <c r="G176" s="1313"/>
      <c r="H176" s="1030" t="s">
        <v>14</v>
      </c>
      <c r="I176" s="1308"/>
      <c r="J176" s="1291"/>
      <c r="K176" s="1306"/>
      <c r="L176" s="1306"/>
      <c r="M176" s="239">
        <v>20</v>
      </c>
      <c r="N176" s="609" t="s">
        <v>215</v>
      </c>
      <c r="O176" s="782" t="s">
        <v>543</v>
      </c>
      <c r="P176" s="1305"/>
      <c r="Q176" s="608" t="s">
        <v>2295</v>
      </c>
    </row>
    <row r="177" spans="1:20" ht="30.1" customHeight="1" x14ac:dyDescent="0.25">
      <c r="A177" s="1330"/>
      <c r="B177" s="1282"/>
      <c r="C177" s="1282"/>
      <c r="D177" s="1282"/>
      <c r="E177" s="1284"/>
      <c r="F177" s="301" t="s">
        <v>349</v>
      </c>
      <c r="G177" s="1314"/>
      <c r="H177" s="1030" t="s">
        <v>14</v>
      </c>
      <c r="I177" s="1316"/>
      <c r="J177" s="1288"/>
      <c r="K177" s="1290"/>
      <c r="L177" s="1290"/>
      <c r="M177" s="239">
        <v>60</v>
      </c>
      <c r="N177" s="301" t="s">
        <v>5</v>
      </c>
      <c r="O177" s="782" t="s">
        <v>2313</v>
      </c>
      <c r="P177" s="1282"/>
      <c r="Q177" s="325"/>
    </row>
    <row r="178" spans="1:20" ht="30.1" customHeight="1" x14ac:dyDescent="0.25">
      <c r="A178" s="1329">
        <v>86</v>
      </c>
      <c r="B178" s="1281" t="s">
        <v>2130</v>
      </c>
      <c r="C178" s="1281" t="s">
        <v>2131</v>
      </c>
      <c r="D178" s="1281" t="s">
        <v>348</v>
      </c>
      <c r="E178" s="1283">
        <v>1003071368</v>
      </c>
      <c r="F178" s="301" t="s">
        <v>349</v>
      </c>
      <c r="G178" s="1312" t="s">
        <v>497</v>
      </c>
      <c r="H178" s="1030" t="s">
        <v>21</v>
      </c>
      <c r="I178" s="1307" t="s">
        <v>2716</v>
      </c>
      <c r="J178" s="1287" t="s">
        <v>2717</v>
      </c>
      <c r="K178" s="1289">
        <v>1</v>
      </c>
      <c r="L178" s="1289">
        <v>30</v>
      </c>
      <c r="M178" s="239">
        <v>40</v>
      </c>
      <c r="N178" s="301" t="s">
        <v>4</v>
      </c>
      <c r="O178" s="782" t="s">
        <v>335</v>
      </c>
      <c r="P178" s="1281" t="s">
        <v>2361</v>
      </c>
      <c r="Q178" s="325"/>
    </row>
    <row r="179" spans="1:20" ht="30.1" customHeight="1" x14ac:dyDescent="0.25">
      <c r="A179" s="1330"/>
      <c r="B179" s="1282"/>
      <c r="C179" s="1282"/>
      <c r="D179" s="1282"/>
      <c r="E179" s="1284"/>
      <c r="F179" s="569" t="s">
        <v>349</v>
      </c>
      <c r="G179" s="1314"/>
      <c r="H179" s="1030" t="s">
        <v>21</v>
      </c>
      <c r="I179" s="1316"/>
      <c r="J179" s="1288"/>
      <c r="K179" s="1290"/>
      <c r="L179" s="1290"/>
      <c r="M179" s="239">
        <v>20</v>
      </c>
      <c r="N179" s="399" t="s">
        <v>215</v>
      </c>
      <c r="O179" s="782" t="s">
        <v>336</v>
      </c>
      <c r="P179" s="1282"/>
      <c r="Q179" s="403"/>
    </row>
    <row r="180" spans="1:20" ht="30.1" customHeight="1" x14ac:dyDescent="0.25">
      <c r="A180" s="1329">
        <v>87</v>
      </c>
      <c r="B180" s="1281" t="s">
        <v>2603</v>
      </c>
      <c r="C180" s="1281" t="s">
        <v>2214</v>
      </c>
      <c r="D180" s="1281" t="s">
        <v>355</v>
      </c>
      <c r="E180" s="1283">
        <v>1138076465</v>
      </c>
      <c r="F180" s="399" t="s">
        <v>362</v>
      </c>
      <c r="G180" s="1312" t="s">
        <v>484</v>
      </c>
      <c r="H180" s="1030" t="s">
        <v>14</v>
      </c>
      <c r="I180" s="1307" t="s">
        <v>2718</v>
      </c>
      <c r="J180" s="1287">
        <v>3137846482</v>
      </c>
      <c r="K180" s="1289">
        <v>10</v>
      </c>
      <c r="L180" s="1289">
        <v>9</v>
      </c>
      <c r="M180" s="239">
        <v>20</v>
      </c>
      <c r="N180" s="399" t="s">
        <v>4</v>
      </c>
      <c r="O180" s="782" t="s">
        <v>2310</v>
      </c>
      <c r="P180" s="1281" t="s">
        <v>2215</v>
      </c>
      <c r="Q180" s="403"/>
    </row>
    <row r="181" spans="1:20" ht="30.1" customHeight="1" x14ac:dyDescent="0.25">
      <c r="A181" s="1333"/>
      <c r="B181" s="1305"/>
      <c r="C181" s="1305"/>
      <c r="D181" s="1305"/>
      <c r="E181" s="1315"/>
      <c r="F181" s="588" t="s">
        <v>362</v>
      </c>
      <c r="G181" s="1313"/>
      <c r="H181" s="1030" t="s">
        <v>14</v>
      </c>
      <c r="I181" s="1308"/>
      <c r="J181" s="1291"/>
      <c r="K181" s="1306"/>
      <c r="L181" s="1306"/>
      <c r="M181" s="239">
        <v>12</v>
      </c>
      <c r="N181" s="399" t="s">
        <v>215</v>
      </c>
      <c r="O181" s="782" t="s">
        <v>996</v>
      </c>
      <c r="P181" s="1305"/>
      <c r="Q181" s="403"/>
    </row>
    <row r="182" spans="1:20" ht="30.1" customHeight="1" x14ac:dyDescent="0.25">
      <c r="A182" s="1330"/>
      <c r="B182" s="1282"/>
      <c r="C182" s="1282"/>
      <c r="D182" s="1282"/>
      <c r="E182" s="1284"/>
      <c r="F182" s="588" t="s">
        <v>362</v>
      </c>
      <c r="G182" s="1314"/>
      <c r="H182" s="1030" t="s">
        <v>14</v>
      </c>
      <c r="I182" s="1309"/>
      <c r="J182" s="1288"/>
      <c r="K182" s="1304"/>
      <c r="L182" s="1290"/>
      <c r="M182" s="239">
        <v>12</v>
      </c>
      <c r="N182" s="399" t="s">
        <v>8</v>
      </c>
      <c r="O182" s="782" t="s">
        <v>2299</v>
      </c>
      <c r="P182" s="1282"/>
      <c r="Q182" s="403"/>
    </row>
    <row r="183" spans="1:20" ht="30.1" customHeight="1" x14ac:dyDescent="0.25">
      <c r="A183" s="400">
        <v>88</v>
      </c>
      <c r="B183" s="746" t="s">
        <v>1524</v>
      </c>
      <c r="C183" s="746" t="s">
        <v>2236</v>
      </c>
      <c r="D183" s="399" t="s">
        <v>348</v>
      </c>
      <c r="E183" s="401">
        <v>2798631</v>
      </c>
      <c r="F183" s="399" t="s">
        <v>362</v>
      </c>
      <c r="G183" s="847" t="s">
        <v>481</v>
      </c>
      <c r="H183" s="1030" t="s">
        <v>1439</v>
      </c>
      <c r="I183" s="969" t="s">
        <v>2237</v>
      </c>
      <c r="J183" s="1013"/>
      <c r="K183" s="978">
        <v>12</v>
      </c>
      <c r="L183" s="978">
        <v>11</v>
      </c>
      <c r="M183" s="239">
        <v>20</v>
      </c>
      <c r="N183" s="399" t="s">
        <v>4</v>
      </c>
      <c r="O183" s="782" t="s">
        <v>10</v>
      </c>
      <c r="P183" s="1030" t="s">
        <v>2238</v>
      </c>
      <c r="Q183" s="403"/>
    </row>
    <row r="184" spans="1:20" s="2" customFormat="1" ht="30.6" customHeight="1" x14ac:dyDescent="0.25">
      <c r="A184" s="1329">
        <v>90</v>
      </c>
      <c r="B184" s="1281" t="s">
        <v>1522</v>
      </c>
      <c r="C184" s="1302" t="s">
        <v>1523</v>
      </c>
      <c r="D184" s="1281" t="s">
        <v>348</v>
      </c>
      <c r="E184" s="1283">
        <v>1547499</v>
      </c>
      <c r="F184" s="616" t="s">
        <v>362</v>
      </c>
      <c r="G184" s="1312" t="s">
        <v>494</v>
      </c>
      <c r="H184" s="1030" t="s">
        <v>1439</v>
      </c>
      <c r="I184" s="1307" t="s">
        <v>2719</v>
      </c>
      <c r="J184" s="1287">
        <v>3126061460</v>
      </c>
      <c r="K184" s="1289">
        <v>24</v>
      </c>
      <c r="L184" s="1289">
        <v>23</v>
      </c>
      <c r="M184" s="239">
        <v>20</v>
      </c>
      <c r="N184" s="239" t="s">
        <v>4</v>
      </c>
      <c r="O184" s="782" t="s">
        <v>10</v>
      </c>
      <c r="P184" s="1310" t="s">
        <v>2562</v>
      </c>
      <c r="Q184" s="1302"/>
      <c r="R184" s="622"/>
      <c r="S184" s="625"/>
      <c r="T184" s="222"/>
    </row>
    <row r="185" spans="1:20" s="2" customFormat="1" ht="30.6" customHeight="1" x14ac:dyDescent="0.25">
      <c r="A185" s="1333"/>
      <c r="B185" s="1305"/>
      <c r="C185" s="1302"/>
      <c r="D185" s="1305"/>
      <c r="E185" s="1315"/>
      <c r="F185" s="775" t="s">
        <v>362</v>
      </c>
      <c r="G185" s="1313"/>
      <c r="H185" s="1030" t="s">
        <v>1439</v>
      </c>
      <c r="I185" s="1308"/>
      <c r="J185" s="1291"/>
      <c r="K185" s="1306"/>
      <c r="L185" s="1306"/>
      <c r="M185" s="239">
        <v>12</v>
      </c>
      <c r="N185" s="239" t="s">
        <v>8</v>
      </c>
      <c r="O185" s="782" t="s">
        <v>381</v>
      </c>
      <c r="P185" s="1311"/>
      <c r="Q185" s="1302"/>
      <c r="R185" s="776"/>
      <c r="S185" s="625"/>
      <c r="T185" s="222"/>
    </row>
    <row r="186" spans="1:20" s="2" customFormat="1" ht="30.1" customHeight="1" x14ac:dyDescent="0.25">
      <c r="A186" s="1333"/>
      <c r="B186" s="1305"/>
      <c r="C186" s="1302"/>
      <c r="D186" s="1305"/>
      <c r="E186" s="1315"/>
      <c r="F186" s="616" t="s">
        <v>362</v>
      </c>
      <c r="G186" s="1313"/>
      <c r="H186" s="1030" t="s">
        <v>1439</v>
      </c>
      <c r="I186" s="1308"/>
      <c r="J186" s="1288"/>
      <c r="K186" s="1306"/>
      <c r="L186" s="1306"/>
      <c r="M186" s="239">
        <v>12</v>
      </c>
      <c r="N186" s="239" t="s">
        <v>215</v>
      </c>
      <c r="O186" s="782" t="s">
        <v>336</v>
      </c>
      <c r="P186" s="1311"/>
      <c r="Q186" s="1302"/>
      <c r="R186" s="622"/>
      <c r="S186" s="625"/>
      <c r="T186" s="222"/>
    </row>
    <row r="187" spans="1:20" s="201" customFormat="1" ht="30.1" customHeight="1" x14ac:dyDescent="0.25">
      <c r="A187" s="1329">
        <v>91</v>
      </c>
      <c r="B187" s="1331" t="s">
        <v>1347</v>
      </c>
      <c r="C187" s="1331" t="s">
        <v>1348</v>
      </c>
      <c r="D187" s="1281" t="s">
        <v>348</v>
      </c>
      <c r="E187" s="1283">
        <v>50911896</v>
      </c>
      <c r="F187" s="619" t="s">
        <v>906</v>
      </c>
      <c r="G187" s="1312" t="s">
        <v>496</v>
      </c>
      <c r="H187" s="1030" t="s">
        <v>14</v>
      </c>
      <c r="I187" s="1303" t="s">
        <v>2720</v>
      </c>
      <c r="J187" s="1287">
        <v>3002857701</v>
      </c>
      <c r="K187" s="1289">
        <v>1</v>
      </c>
      <c r="L187" s="1289">
        <v>30</v>
      </c>
      <c r="M187" s="239">
        <v>20</v>
      </c>
      <c r="N187" s="621" t="s">
        <v>4</v>
      </c>
      <c r="O187" s="782" t="s">
        <v>390</v>
      </c>
      <c r="P187" s="1028" t="s">
        <v>1869</v>
      </c>
      <c r="Q187" s="1302" t="s">
        <v>2287</v>
      </c>
      <c r="R187" s="622"/>
    </row>
    <row r="188" spans="1:20" s="201" customFormat="1" ht="30.1" customHeight="1" x14ac:dyDescent="0.25">
      <c r="A188" s="1330"/>
      <c r="B188" s="1332"/>
      <c r="C188" s="1332"/>
      <c r="D188" s="1282"/>
      <c r="E188" s="1284"/>
      <c r="F188" s="619" t="s">
        <v>906</v>
      </c>
      <c r="G188" s="1314"/>
      <c r="H188" s="1030" t="s">
        <v>14</v>
      </c>
      <c r="I188" s="1302"/>
      <c r="J188" s="1288"/>
      <c r="K188" s="1304"/>
      <c r="L188" s="1290"/>
      <c r="M188" s="239">
        <v>20</v>
      </c>
      <c r="N188" s="621" t="s">
        <v>8</v>
      </c>
      <c r="O188" s="782" t="s">
        <v>2299</v>
      </c>
      <c r="P188" s="1028" t="s">
        <v>2296</v>
      </c>
      <c r="Q188" s="1302"/>
      <c r="R188" s="622"/>
    </row>
    <row r="189" spans="1:20" s="1037" customFormat="1" ht="30.1" customHeight="1" x14ac:dyDescent="0.25">
      <c r="A189" s="1033"/>
      <c r="B189" s="1281" t="s">
        <v>2326</v>
      </c>
      <c r="C189" s="1281" t="s">
        <v>2327</v>
      </c>
      <c r="D189" s="1281" t="s">
        <v>348</v>
      </c>
      <c r="E189" s="1283">
        <v>30093183</v>
      </c>
      <c r="F189" s="1028" t="s">
        <v>349</v>
      </c>
      <c r="G189" s="1281" t="s">
        <v>530</v>
      </c>
      <c r="H189" s="1030" t="s">
        <v>21</v>
      </c>
      <c r="I189" s="1285" t="s">
        <v>2721</v>
      </c>
      <c r="J189" s="1287">
        <v>3145805242</v>
      </c>
      <c r="K189" s="1289">
        <v>1</v>
      </c>
      <c r="L189" s="1289">
        <v>30</v>
      </c>
      <c r="M189" s="239">
        <v>8</v>
      </c>
      <c r="N189" s="1030" t="s">
        <v>4</v>
      </c>
      <c r="O189" s="1030" t="s">
        <v>540</v>
      </c>
      <c r="P189" s="1281" t="s">
        <v>2751</v>
      </c>
      <c r="Q189" s="1030"/>
    </row>
    <row r="190" spans="1:20" ht="32.6" customHeight="1" x14ac:dyDescent="0.25">
      <c r="A190" s="400"/>
      <c r="B190" s="1282"/>
      <c r="C190" s="1282"/>
      <c r="D190" s="1282"/>
      <c r="E190" s="1284"/>
      <c r="F190" s="399" t="s">
        <v>349</v>
      </c>
      <c r="G190" s="1282"/>
      <c r="H190" s="1030" t="s">
        <v>21</v>
      </c>
      <c r="I190" s="1286"/>
      <c r="J190" s="1288"/>
      <c r="K190" s="1290"/>
      <c r="L190" s="1290"/>
      <c r="M190" s="239">
        <v>8</v>
      </c>
      <c r="N190" s="399" t="s">
        <v>215</v>
      </c>
      <c r="O190" s="782" t="s">
        <v>336</v>
      </c>
      <c r="P190" s="1282"/>
      <c r="Q190" s="403"/>
    </row>
    <row r="191" spans="1:20" s="7" customFormat="1" ht="30.1" customHeight="1" x14ac:dyDescent="0.25">
      <c r="A191" s="713"/>
      <c r="B191" s="747" t="s">
        <v>2388</v>
      </c>
      <c r="C191" s="747" t="s">
        <v>2387</v>
      </c>
      <c r="D191" s="712" t="s">
        <v>348</v>
      </c>
      <c r="E191" s="714">
        <v>25966342</v>
      </c>
      <c r="F191" s="712" t="s">
        <v>349</v>
      </c>
      <c r="G191" s="430" t="s">
        <v>2386</v>
      </c>
      <c r="H191" s="1032" t="s">
        <v>21</v>
      </c>
      <c r="I191" s="856" t="s">
        <v>2722</v>
      </c>
      <c r="J191" s="1005">
        <v>3003089193</v>
      </c>
      <c r="K191" s="978">
        <v>26</v>
      </c>
      <c r="L191" s="978">
        <v>25</v>
      </c>
      <c r="M191" s="240">
        <v>20</v>
      </c>
      <c r="N191" s="712" t="s">
        <v>4</v>
      </c>
      <c r="O191" s="889" t="s">
        <v>540</v>
      </c>
      <c r="P191" s="1032" t="s">
        <v>2516</v>
      </c>
      <c r="Q191" s="712"/>
      <c r="R191" s="96"/>
      <c r="S191" s="96"/>
      <c r="T191" s="21"/>
    </row>
    <row r="192" spans="1:20" s="370" customFormat="1" ht="30.1" customHeight="1" x14ac:dyDescent="0.25">
      <c r="A192" s="1329"/>
      <c r="B192" s="1281" t="s">
        <v>1711</v>
      </c>
      <c r="C192" s="1281" t="s">
        <v>1712</v>
      </c>
      <c r="D192" s="1281" t="s">
        <v>348</v>
      </c>
      <c r="E192" s="1283">
        <v>2789610</v>
      </c>
      <c r="F192" s="721" t="s">
        <v>362</v>
      </c>
      <c r="G192" s="1312" t="s">
        <v>809</v>
      </c>
      <c r="H192" s="1030" t="s">
        <v>22</v>
      </c>
      <c r="I192" s="1307" t="s">
        <v>2723</v>
      </c>
      <c r="J192" s="1287" t="s">
        <v>2724</v>
      </c>
      <c r="K192" s="1289">
        <v>12</v>
      </c>
      <c r="L192" s="1289">
        <v>11</v>
      </c>
      <c r="M192" s="239">
        <v>20</v>
      </c>
      <c r="N192" s="721" t="s">
        <v>5</v>
      </c>
      <c r="O192" s="782" t="s">
        <v>23</v>
      </c>
      <c r="P192" s="1281" t="s">
        <v>2786</v>
      </c>
      <c r="Q192" s="721"/>
      <c r="R192" s="369"/>
      <c r="S192" s="1404"/>
      <c r="T192" s="369"/>
    </row>
    <row r="193" spans="1:20" s="370" customFormat="1" ht="30.1" customHeight="1" x14ac:dyDescent="0.25">
      <c r="A193" s="1333"/>
      <c r="B193" s="1305"/>
      <c r="C193" s="1305"/>
      <c r="D193" s="1305"/>
      <c r="E193" s="1315"/>
      <c r="F193" s="721" t="s">
        <v>362</v>
      </c>
      <c r="G193" s="1313"/>
      <c r="H193" s="1030" t="s">
        <v>22</v>
      </c>
      <c r="I193" s="1308"/>
      <c r="J193" s="1291"/>
      <c r="K193" s="1306"/>
      <c r="L193" s="1306"/>
      <c r="M193" s="239">
        <v>20</v>
      </c>
      <c r="N193" s="721" t="s">
        <v>4</v>
      </c>
      <c r="O193" s="782" t="s">
        <v>23</v>
      </c>
      <c r="P193" s="1305"/>
      <c r="Q193" s="721"/>
      <c r="R193" s="369"/>
      <c r="S193" s="1405"/>
      <c r="T193" s="369"/>
    </row>
    <row r="194" spans="1:20" s="370" customFormat="1" ht="30.1" customHeight="1" x14ac:dyDescent="0.25">
      <c r="A194" s="1333"/>
      <c r="B194" s="1305"/>
      <c r="C194" s="1305"/>
      <c r="D194" s="1305"/>
      <c r="E194" s="1315"/>
      <c r="F194" s="721" t="s">
        <v>362</v>
      </c>
      <c r="G194" s="1313"/>
      <c r="H194" s="1030" t="s">
        <v>22</v>
      </c>
      <c r="I194" s="1308"/>
      <c r="J194" s="1291"/>
      <c r="K194" s="1306"/>
      <c r="L194" s="1306"/>
      <c r="M194" s="239">
        <v>20</v>
      </c>
      <c r="N194" s="721" t="s">
        <v>215</v>
      </c>
      <c r="O194" s="782" t="s">
        <v>926</v>
      </c>
      <c r="P194" s="1305"/>
      <c r="Q194" s="721"/>
      <c r="R194" s="369"/>
      <c r="S194" s="1405"/>
      <c r="T194" s="369"/>
    </row>
    <row r="195" spans="1:20" s="370" customFormat="1" ht="30.1" customHeight="1" x14ac:dyDescent="0.25">
      <c r="A195" s="1330"/>
      <c r="B195" s="1282"/>
      <c r="C195" s="1282"/>
      <c r="D195" s="1282"/>
      <c r="E195" s="1284"/>
      <c r="F195" s="721" t="s">
        <v>362</v>
      </c>
      <c r="G195" s="1314"/>
      <c r="H195" s="1030" t="s">
        <v>22</v>
      </c>
      <c r="I195" s="1316"/>
      <c r="J195" s="1288"/>
      <c r="K195" s="1290"/>
      <c r="L195" s="1290"/>
      <c r="M195" s="239">
        <v>20</v>
      </c>
      <c r="N195" s="721" t="s">
        <v>8</v>
      </c>
      <c r="O195" s="782" t="s">
        <v>832</v>
      </c>
      <c r="P195" s="1282"/>
      <c r="Q195" s="721"/>
      <c r="R195" s="369"/>
      <c r="S195" s="1406"/>
      <c r="T195" s="369"/>
    </row>
    <row r="196" spans="1:20" ht="34.85" customHeight="1" x14ac:dyDescent="0.25">
      <c r="A196" s="725"/>
      <c r="B196" s="745" t="s">
        <v>1516</v>
      </c>
      <c r="C196" s="745" t="s">
        <v>1517</v>
      </c>
      <c r="D196" s="724" t="s">
        <v>348</v>
      </c>
      <c r="E196" s="726">
        <v>25957174</v>
      </c>
      <c r="F196" s="727" t="s">
        <v>362</v>
      </c>
      <c r="G196" s="849" t="s">
        <v>1518</v>
      </c>
      <c r="H196" s="1030" t="s">
        <v>1439</v>
      </c>
      <c r="I196" s="857" t="s">
        <v>2029</v>
      </c>
      <c r="J196" s="1012">
        <v>3004579768</v>
      </c>
      <c r="K196" s="973">
        <v>26</v>
      </c>
      <c r="L196" s="973">
        <v>25</v>
      </c>
      <c r="M196" s="239">
        <v>20</v>
      </c>
      <c r="N196" s="727" t="s">
        <v>4</v>
      </c>
      <c r="O196" s="727" t="s">
        <v>10</v>
      </c>
      <c r="P196" s="1053" t="s">
        <v>2267</v>
      </c>
      <c r="Q196" s="727"/>
      <c r="R196" s="671"/>
      <c r="S196" s="450">
        <v>0</v>
      </c>
      <c r="T196" s="458"/>
    </row>
    <row r="197" spans="1:20" s="995" customFormat="1" ht="30.1" customHeight="1" x14ac:dyDescent="0.25">
      <c r="A197" s="975"/>
      <c r="B197" s="974" t="s">
        <v>2647</v>
      </c>
      <c r="C197" s="974" t="s">
        <v>2648</v>
      </c>
      <c r="D197" s="974" t="s">
        <v>348</v>
      </c>
      <c r="E197" s="976">
        <v>6618727</v>
      </c>
      <c r="F197" s="974" t="s">
        <v>349</v>
      </c>
      <c r="G197" s="974" t="s">
        <v>2649</v>
      </c>
      <c r="H197" s="1032" t="s">
        <v>24</v>
      </c>
      <c r="I197" s="974" t="s">
        <v>2651</v>
      </c>
      <c r="J197" s="1019">
        <v>3142397638</v>
      </c>
      <c r="K197" s="978">
        <v>1</v>
      </c>
      <c r="L197" s="978">
        <v>30</v>
      </c>
      <c r="M197" s="240">
        <v>20</v>
      </c>
      <c r="N197" s="980" t="s">
        <v>4</v>
      </c>
      <c r="O197" s="974" t="s">
        <v>126</v>
      </c>
      <c r="P197" s="1032" t="s">
        <v>2652</v>
      </c>
      <c r="Q197" s="974"/>
      <c r="R197" s="974"/>
      <c r="S197" s="974"/>
      <c r="T197" s="994"/>
    </row>
    <row r="198" spans="1:20" ht="39.4" customHeight="1" x14ac:dyDescent="0.25">
      <c r="A198" s="400"/>
      <c r="B198" s="1281" t="s">
        <v>2768</v>
      </c>
      <c r="C198" s="1281" t="s">
        <v>2769</v>
      </c>
      <c r="D198" s="1281" t="s">
        <v>348</v>
      </c>
      <c r="E198" s="1283"/>
      <c r="F198" s="399" t="s">
        <v>906</v>
      </c>
      <c r="G198" s="1281"/>
      <c r="H198" s="1030" t="s">
        <v>14</v>
      </c>
      <c r="I198" s="1287" t="s">
        <v>2770</v>
      </c>
      <c r="J198" s="1287" t="s">
        <v>2771</v>
      </c>
      <c r="K198" s="1289">
        <v>12</v>
      </c>
      <c r="L198" s="1289">
        <v>11</v>
      </c>
      <c r="M198" s="239">
        <v>12</v>
      </c>
      <c r="N198" s="399" t="s">
        <v>4</v>
      </c>
      <c r="O198" s="668" t="s">
        <v>2300</v>
      </c>
      <c r="P198" s="1030"/>
      <c r="Q198" s="1319" t="s">
        <v>2772</v>
      </c>
    </row>
    <row r="199" spans="1:20" ht="30.1" customHeight="1" x14ac:dyDescent="0.25">
      <c r="A199" s="400"/>
      <c r="B199" s="1282"/>
      <c r="C199" s="1282"/>
      <c r="D199" s="1282"/>
      <c r="E199" s="1284"/>
      <c r="F199" s="1053" t="s">
        <v>906</v>
      </c>
      <c r="G199" s="1282"/>
      <c r="H199" s="1053" t="s">
        <v>14</v>
      </c>
      <c r="I199" s="1288"/>
      <c r="J199" s="1288"/>
      <c r="K199" s="1290"/>
      <c r="L199" s="1290"/>
      <c r="M199" s="239">
        <v>12</v>
      </c>
      <c r="N199" s="399" t="s">
        <v>215</v>
      </c>
      <c r="O199" s="668" t="s">
        <v>543</v>
      </c>
      <c r="P199" s="1030"/>
      <c r="Q199" s="1320"/>
    </row>
    <row r="200" spans="1:20" s="995" customFormat="1" ht="37.4" customHeight="1" x14ac:dyDescent="0.25">
      <c r="A200" s="1054"/>
      <c r="B200" s="1057" t="s">
        <v>2246</v>
      </c>
      <c r="C200" s="1057" t="s">
        <v>2247</v>
      </c>
      <c r="D200" s="1057" t="s">
        <v>348</v>
      </c>
      <c r="E200" s="1058">
        <v>1062677512</v>
      </c>
      <c r="F200" s="1057" t="s">
        <v>362</v>
      </c>
      <c r="G200" s="1055" t="s">
        <v>2248</v>
      </c>
      <c r="H200" s="1057" t="s">
        <v>1439</v>
      </c>
      <c r="I200" s="1057"/>
      <c r="J200" s="1057">
        <v>3227289441</v>
      </c>
      <c r="K200" s="1056">
        <v>18</v>
      </c>
      <c r="L200" s="1056">
        <v>17</v>
      </c>
      <c r="M200" s="240">
        <v>20</v>
      </c>
      <c r="N200" s="1057" t="s">
        <v>4</v>
      </c>
      <c r="O200" s="1057" t="s">
        <v>10</v>
      </c>
      <c r="P200" s="1057" t="s">
        <v>2778</v>
      </c>
      <c r="Q200" s="1057"/>
      <c r="R200" s="1057"/>
      <c r="S200" s="994"/>
    </row>
    <row r="201" spans="1:20" ht="30.1" customHeight="1" x14ac:dyDescent="0.25">
      <c r="A201" s="400"/>
      <c r="B201" s="399"/>
      <c r="C201" s="399"/>
      <c r="D201" s="399"/>
      <c r="E201" s="401"/>
      <c r="F201" s="399"/>
      <c r="G201" s="847"/>
      <c r="H201" s="1030"/>
      <c r="I201" s="63"/>
      <c r="J201" s="1005"/>
      <c r="K201" s="983"/>
      <c r="L201" s="978"/>
      <c r="M201" s="239"/>
      <c r="N201" s="399"/>
      <c r="O201" s="668"/>
      <c r="P201" s="1030"/>
      <c r="Q201" s="403"/>
    </row>
    <row r="202" spans="1:20" ht="30.1" customHeight="1" x14ac:dyDescent="0.25">
      <c r="A202" s="400"/>
      <c r="B202" s="399"/>
      <c r="C202" s="399"/>
      <c r="D202" s="399"/>
      <c r="E202" s="401"/>
      <c r="F202" s="399"/>
      <c r="G202" s="847"/>
      <c r="H202" s="1030"/>
      <c r="I202" s="63"/>
      <c r="J202" s="1005"/>
      <c r="K202" s="983"/>
      <c r="L202" s="978"/>
      <c r="M202" s="239"/>
      <c r="N202" s="399"/>
      <c r="O202" s="668"/>
      <c r="P202" s="1030"/>
      <c r="Q202" s="403"/>
    </row>
    <row r="203" spans="1:20" ht="30.1" customHeight="1" x14ac:dyDescent="0.25">
      <c r="A203" s="400"/>
      <c r="B203" s="399"/>
      <c r="C203" s="399"/>
      <c r="D203" s="399"/>
      <c r="E203" s="401"/>
      <c r="F203" s="399"/>
      <c r="G203" s="847"/>
      <c r="H203" s="1030"/>
      <c r="I203" s="63"/>
      <c r="J203" s="1005"/>
      <c r="K203" s="983"/>
      <c r="L203" s="978"/>
      <c r="M203" s="239"/>
      <c r="N203" s="399"/>
      <c r="O203" s="668"/>
      <c r="P203" s="1030"/>
      <c r="Q203" s="403"/>
    </row>
    <row r="204" spans="1:20" ht="30.1" customHeight="1" x14ac:dyDescent="0.25">
      <c r="A204" s="400"/>
      <c r="B204" s="399"/>
      <c r="C204" s="399"/>
      <c r="D204" s="399"/>
      <c r="E204" s="401"/>
      <c r="F204" s="399"/>
      <c r="G204" s="847"/>
      <c r="H204" s="1030"/>
      <c r="I204" s="63"/>
      <c r="J204" s="1005"/>
      <c r="K204" s="983"/>
      <c r="L204" s="978"/>
      <c r="M204" s="239"/>
      <c r="N204" s="399"/>
      <c r="O204" s="668"/>
      <c r="P204" s="1030"/>
      <c r="Q204" s="403"/>
    </row>
    <row r="205" spans="1:20" ht="30.1" customHeight="1" x14ac:dyDescent="0.25">
      <c r="A205" s="400"/>
      <c r="B205" s="399"/>
      <c r="C205" s="399"/>
      <c r="D205" s="399"/>
      <c r="E205" s="401"/>
      <c r="F205" s="399"/>
      <c r="G205" s="847"/>
      <c r="H205" s="1030"/>
      <c r="I205" s="63"/>
      <c r="J205" s="1005"/>
      <c r="K205" s="983"/>
      <c r="L205" s="978"/>
      <c r="M205" s="239"/>
      <c r="N205" s="399"/>
      <c r="O205" s="668"/>
      <c r="P205" s="1030"/>
      <c r="Q205" s="403"/>
    </row>
    <row r="206" spans="1:20" ht="30.1" customHeight="1" x14ac:dyDescent="0.25">
      <c r="A206" s="400"/>
      <c r="B206" s="399"/>
      <c r="C206" s="399"/>
      <c r="D206" s="399"/>
      <c r="E206" s="401"/>
      <c r="F206" s="399"/>
      <c r="G206" s="847"/>
      <c r="H206" s="1030"/>
      <c r="I206" s="63"/>
      <c r="J206" s="1005"/>
      <c r="K206" s="983"/>
      <c r="L206" s="978"/>
      <c r="M206" s="239"/>
      <c r="N206" s="399"/>
      <c r="O206" s="668"/>
      <c r="P206" s="1030"/>
      <c r="Q206" s="403"/>
    </row>
    <row r="207" spans="1:20" ht="30.1" customHeight="1" x14ac:dyDescent="0.25">
      <c r="A207" s="400"/>
      <c r="B207" s="399"/>
      <c r="C207" s="399"/>
      <c r="D207" s="399"/>
      <c r="E207" s="401"/>
      <c r="F207" s="399"/>
      <c r="G207" s="847"/>
      <c r="H207" s="1030"/>
      <c r="I207" s="63"/>
      <c r="J207" s="1005"/>
      <c r="K207" s="983"/>
      <c r="L207" s="978"/>
      <c r="M207" s="239"/>
      <c r="N207" s="399"/>
      <c r="O207" s="668"/>
      <c r="P207" s="1030"/>
      <c r="Q207" s="403"/>
    </row>
    <row r="208" spans="1:20" ht="30.1" customHeight="1" x14ac:dyDescent="0.25">
      <c r="A208" s="400"/>
      <c r="B208" s="399"/>
      <c r="C208" s="399"/>
      <c r="D208" s="399"/>
      <c r="E208" s="401"/>
      <c r="F208" s="399"/>
      <c r="G208" s="847"/>
      <c r="H208" s="1030"/>
      <c r="I208" s="63"/>
      <c r="J208" s="1005"/>
      <c r="K208" s="983"/>
      <c r="L208" s="978"/>
      <c r="M208" s="239"/>
      <c r="N208" s="399"/>
      <c r="O208" s="668"/>
      <c r="P208" s="1030"/>
      <c r="Q208" s="403"/>
    </row>
    <row r="209" spans="1:17" ht="30.1" customHeight="1" x14ac:dyDescent="0.25">
      <c r="A209" s="400"/>
      <c r="B209" s="399"/>
      <c r="C209" s="399"/>
      <c r="D209" s="399"/>
      <c r="E209" s="401"/>
      <c r="F209" s="399"/>
      <c r="G209" s="847"/>
      <c r="H209" s="1030"/>
      <c r="I209" s="63"/>
      <c r="J209" s="1005"/>
      <c r="K209" s="983"/>
      <c r="L209" s="978"/>
      <c r="M209" s="239"/>
      <c r="N209" s="399"/>
      <c r="O209" s="668"/>
      <c r="P209" s="1030"/>
      <c r="Q209" s="403"/>
    </row>
    <row r="210" spans="1:17" ht="30.1" customHeight="1" x14ac:dyDescent="0.25">
      <c r="A210" s="400"/>
      <c r="B210" s="399"/>
      <c r="C210" s="399"/>
      <c r="D210" s="399"/>
      <c r="E210" s="401"/>
      <c r="F210" s="399"/>
      <c r="G210" s="847"/>
      <c r="H210" s="1030"/>
      <c r="I210" s="63"/>
      <c r="J210" s="1005"/>
      <c r="K210" s="983"/>
      <c r="L210" s="978"/>
      <c r="M210" s="239"/>
      <c r="N210" s="399"/>
      <c r="O210" s="668"/>
      <c r="P210" s="1030"/>
      <c r="Q210" s="403"/>
    </row>
    <row r="211" spans="1:17" ht="30.1" customHeight="1" x14ac:dyDescent="0.25">
      <c r="A211" s="400"/>
      <c r="B211" s="399"/>
      <c r="C211" s="399"/>
      <c r="D211" s="399"/>
      <c r="E211" s="401"/>
      <c r="F211" s="399"/>
      <c r="G211" s="847"/>
      <c r="H211" s="1030"/>
      <c r="I211" s="63"/>
      <c r="J211" s="1005"/>
      <c r="K211" s="983"/>
      <c r="L211" s="978"/>
      <c r="M211" s="239"/>
      <c r="N211" s="399"/>
      <c r="O211" s="668"/>
      <c r="P211" s="1030"/>
      <c r="Q211" s="403"/>
    </row>
    <row r="212" spans="1:17" ht="30.1" customHeight="1" x14ac:dyDescent="0.25">
      <c r="A212" s="400"/>
      <c r="B212" s="399"/>
      <c r="C212" s="399"/>
      <c r="D212" s="399"/>
      <c r="E212" s="401"/>
      <c r="F212" s="399"/>
      <c r="G212" s="847"/>
      <c r="H212" s="1030"/>
      <c r="I212" s="63"/>
      <c r="J212" s="1005"/>
      <c r="K212" s="983"/>
      <c r="L212" s="978"/>
      <c r="M212" s="239"/>
      <c r="N212" s="399"/>
      <c r="O212" s="668"/>
      <c r="P212" s="1030"/>
      <c r="Q212" s="403"/>
    </row>
    <row r="213" spans="1:17" ht="30.1" customHeight="1" x14ac:dyDescent="0.25">
      <c r="A213" s="400"/>
      <c r="B213" s="399"/>
      <c r="C213" s="399"/>
      <c r="D213" s="399"/>
      <c r="E213" s="401"/>
      <c r="F213" s="399"/>
      <c r="G213" s="847"/>
      <c r="H213" s="1030"/>
      <c r="I213" s="63"/>
      <c r="J213" s="1005"/>
      <c r="K213" s="983"/>
      <c r="L213" s="978"/>
      <c r="M213" s="239"/>
      <c r="N213" s="399"/>
      <c r="O213" s="668"/>
      <c r="P213" s="1030"/>
      <c r="Q213" s="403"/>
    </row>
    <row r="214" spans="1:17" ht="30.1" customHeight="1" x14ac:dyDescent="0.25">
      <c r="A214" s="400"/>
      <c r="B214" s="399"/>
      <c r="C214" s="399"/>
      <c r="D214" s="399"/>
      <c r="E214" s="401"/>
      <c r="F214" s="399"/>
      <c r="G214" s="847"/>
      <c r="H214" s="1030"/>
      <c r="I214" s="63"/>
      <c r="J214" s="1005"/>
      <c r="K214" s="983"/>
      <c r="L214" s="978"/>
      <c r="M214" s="239"/>
      <c r="N214" s="399"/>
      <c r="O214" s="668"/>
      <c r="P214" s="1030"/>
      <c r="Q214" s="403"/>
    </row>
    <row r="215" spans="1:17" ht="30.1" customHeight="1" x14ac:dyDescent="0.25">
      <c r="A215" s="400"/>
      <c r="B215" s="399"/>
      <c r="C215" s="399"/>
      <c r="D215" s="399"/>
      <c r="E215" s="401"/>
      <c r="F215" s="399"/>
      <c r="G215" s="847"/>
      <c r="H215" s="1030"/>
      <c r="I215" s="63"/>
      <c r="J215" s="1005"/>
      <c r="K215" s="983"/>
      <c r="L215" s="978"/>
      <c r="M215" s="239"/>
      <c r="N215" s="399"/>
      <c r="O215" s="668"/>
      <c r="P215" s="1030"/>
      <c r="Q215" s="403"/>
    </row>
    <row r="216" spans="1:17" ht="30.1" customHeight="1" x14ac:dyDescent="0.25">
      <c r="A216" s="400"/>
      <c r="B216" s="399"/>
      <c r="C216" s="399"/>
      <c r="D216" s="399"/>
      <c r="E216" s="401"/>
      <c r="F216" s="399"/>
      <c r="G216" s="847"/>
      <c r="H216" s="1030"/>
      <c r="I216" s="63"/>
      <c r="J216" s="1005"/>
      <c r="K216" s="983"/>
      <c r="L216" s="978"/>
      <c r="M216" s="239"/>
      <c r="N216" s="399"/>
      <c r="O216" s="668"/>
      <c r="P216" s="1030"/>
      <c r="Q216" s="403"/>
    </row>
    <row r="217" spans="1:17" ht="30.1" customHeight="1" x14ac:dyDescent="0.25">
      <c r="A217" s="400"/>
      <c r="B217" s="399"/>
      <c r="C217" s="399"/>
      <c r="D217" s="399"/>
      <c r="E217" s="401"/>
      <c r="F217" s="399"/>
      <c r="G217" s="847"/>
      <c r="H217" s="1030"/>
      <c r="I217" s="63"/>
      <c r="J217" s="1005"/>
      <c r="K217" s="983"/>
      <c r="L217" s="978"/>
      <c r="M217" s="239"/>
      <c r="N217" s="399"/>
      <c r="O217" s="668"/>
      <c r="P217" s="1030"/>
      <c r="Q217" s="403"/>
    </row>
    <row r="218" spans="1:17" ht="30.1" customHeight="1" x14ac:dyDescent="0.25">
      <c r="A218" s="400"/>
      <c r="B218" s="399"/>
      <c r="C218" s="399"/>
      <c r="D218" s="399"/>
      <c r="E218" s="401"/>
      <c r="F218" s="399"/>
      <c r="G218" s="847"/>
      <c r="H218" s="1030"/>
      <c r="I218" s="63"/>
      <c r="J218" s="1005"/>
      <c r="K218" s="983"/>
      <c r="L218" s="978"/>
      <c r="M218" s="239"/>
      <c r="N218" s="399"/>
      <c r="O218" s="668"/>
      <c r="P218" s="1030"/>
      <c r="Q218" s="403"/>
    </row>
    <row r="219" spans="1:17" ht="30.1" customHeight="1" x14ac:dyDescent="0.25">
      <c r="A219" s="400"/>
      <c r="B219" s="399"/>
      <c r="C219" s="399"/>
      <c r="D219" s="399"/>
      <c r="E219" s="401"/>
      <c r="F219" s="399"/>
      <c r="G219" s="847"/>
      <c r="H219" s="1030"/>
      <c r="I219" s="63"/>
      <c r="J219" s="1005"/>
      <c r="K219" s="983"/>
      <c r="L219" s="978"/>
      <c r="M219" s="239"/>
      <c r="N219" s="399"/>
      <c r="O219" s="668"/>
      <c r="P219" s="1030"/>
      <c r="Q219" s="403"/>
    </row>
    <row r="220" spans="1:17" ht="30.1" customHeight="1" x14ac:dyDescent="0.25">
      <c r="A220" s="400"/>
      <c r="B220" s="399"/>
      <c r="C220" s="399"/>
      <c r="D220" s="399"/>
      <c r="E220" s="401"/>
      <c r="F220" s="399"/>
      <c r="G220" s="847"/>
      <c r="H220" s="1030"/>
      <c r="I220" s="63"/>
      <c r="J220" s="1005"/>
      <c r="K220" s="983"/>
      <c r="L220" s="978"/>
      <c r="M220" s="239"/>
      <c r="N220" s="399"/>
      <c r="O220" s="668"/>
      <c r="P220" s="1030"/>
      <c r="Q220" s="403"/>
    </row>
    <row r="221" spans="1:17" ht="30.1" customHeight="1" x14ac:dyDescent="0.25">
      <c r="A221" s="400"/>
      <c r="B221" s="399"/>
      <c r="C221" s="399"/>
      <c r="D221" s="399"/>
      <c r="E221" s="401"/>
      <c r="F221" s="399"/>
      <c r="G221" s="847"/>
      <c r="H221" s="1030"/>
      <c r="I221" s="63"/>
      <c r="J221" s="1005"/>
      <c r="K221" s="983"/>
      <c r="L221" s="978"/>
      <c r="M221" s="239"/>
      <c r="N221" s="399"/>
      <c r="O221" s="668"/>
      <c r="P221" s="1030"/>
      <c r="Q221" s="403"/>
    </row>
    <row r="222" spans="1:17" ht="30.1" customHeight="1" x14ac:dyDescent="0.25">
      <c r="A222" s="400"/>
      <c r="B222" s="399"/>
      <c r="C222" s="399"/>
      <c r="D222" s="399"/>
      <c r="E222" s="401"/>
      <c r="F222" s="399"/>
      <c r="G222" s="847"/>
      <c r="H222" s="1030"/>
      <c r="I222" s="63"/>
      <c r="J222" s="1005"/>
      <c r="K222" s="983"/>
      <c r="L222" s="978"/>
      <c r="M222" s="239"/>
      <c r="N222" s="399"/>
      <c r="O222" s="668"/>
      <c r="P222" s="1030"/>
      <c r="Q222" s="403"/>
    </row>
    <row r="223" spans="1:17" ht="30.1" customHeight="1" x14ac:dyDescent="0.25">
      <c r="A223" s="400"/>
      <c r="B223" s="399"/>
      <c r="C223" s="399"/>
      <c r="D223" s="399"/>
      <c r="E223" s="401"/>
      <c r="F223" s="399"/>
      <c r="G223" s="847"/>
      <c r="H223" s="1030"/>
      <c r="I223" s="63"/>
      <c r="J223" s="1005"/>
      <c r="K223" s="983"/>
      <c r="L223" s="978"/>
      <c r="M223" s="239"/>
      <c r="N223" s="399"/>
      <c r="O223" s="668"/>
      <c r="P223" s="1030"/>
      <c r="Q223" s="403"/>
    </row>
    <row r="224" spans="1:17" ht="30.1" customHeight="1" x14ac:dyDescent="0.25">
      <c r="A224" s="400"/>
      <c r="B224" s="399"/>
      <c r="C224" s="399"/>
      <c r="D224" s="399"/>
      <c r="E224" s="401"/>
      <c r="F224" s="399"/>
      <c r="G224" s="847"/>
      <c r="H224" s="1030"/>
      <c r="I224" s="63"/>
      <c r="J224" s="1005"/>
      <c r="K224" s="983"/>
      <c r="L224" s="978"/>
      <c r="M224" s="239"/>
      <c r="N224" s="399"/>
      <c r="O224" s="668"/>
      <c r="P224" s="1030"/>
      <c r="Q224" s="403"/>
    </row>
    <row r="225" spans="1:17" ht="30.1" customHeight="1" x14ac:dyDescent="0.25">
      <c r="A225" s="400"/>
      <c r="B225" s="399"/>
      <c r="C225" s="399"/>
      <c r="D225" s="399"/>
      <c r="E225" s="401"/>
      <c r="F225" s="399"/>
      <c r="G225" s="847"/>
      <c r="H225" s="1030"/>
      <c r="I225" s="63"/>
      <c r="J225" s="1005"/>
      <c r="K225" s="983"/>
      <c r="L225" s="978"/>
      <c r="M225" s="239"/>
      <c r="N225" s="399"/>
      <c r="O225" s="668"/>
      <c r="P225" s="1030"/>
      <c r="Q225" s="403"/>
    </row>
    <row r="226" spans="1:17" ht="30.1" customHeight="1" x14ac:dyDescent="0.25">
      <c r="A226" s="400"/>
      <c r="B226" s="399"/>
      <c r="C226" s="399"/>
      <c r="D226" s="399"/>
      <c r="E226" s="401"/>
      <c r="F226" s="399"/>
      <c r="G226" s="847"/>
      <c r="H226" s="1030"/>
      <c r="I226" s="63"/>
      <c r="J226" s="1005"/>
      <c r="K226" s="983"/>
      <c r="L226" s="978"/>
      <c r="M226" s="239"/>
      <c r="N226" s="399"/>
      <c r="O226" s="668"/>
      <c r="P226" s="1030"/>
      <c r="Q226" s="403"/>
    </row>
    <row r="232" spans="1:17" ht="30.1" customHeight="1" x14ac:dyDescent="0.25">
      <c r="B232" s="1067" t="s">
        <v>2774</v>
      </c>
      <c r="C232" s="1067"/>
    </row>
  </sheetData>
  <autoFilter ref="B1:Q200"/>
  <mergeCells count="698">
    <mergeCell ref="L198:L199"/>
    <mergeCell ref="Q198:Q199"/>
    <mergeCell ref="A119:A120"/>
    <mergeCell ref="C119:C120"/>
    <mergeCell ref="D119:D120"/>
    <mergeCell ref="E119:E120"/>
    <mergeCell ref="G119:G120"/>
    <mergeCell ref="I119:I120"/>
    <mergeCell ref="J119:J120"/>
    <mergeCell ref="K119:K120"/>
    <mergeCell ref="B198:B199"/>
    <mergeCell ref="C198:C199"/>
    <mergeCell ref="D198:D199"/>
    <mergeCell ref="E198:E199"/>
    <mergeCell ref="G198:G199"/>
    <mergeCell ref="I198:I199"/>
    <mergeCell ref="J198:J199"/>
    <mergeCell ref="K198:K199"/>
    <mergeCell ref="Q169:Q170"/>
    <mergeCell ref="L169:L170"/>
    <mergeCell ref="K169:K170"/>
    <mergeCell ref="P166:P167"/>
    <mergeCell ref="P172:P173"/>
    <mergeCell ref="A172:A173"/>
    <mergeCell ref="S192:S195"/>
    <mergeCell ref="P192:P195"/>
    <mergeCell ref="A192:A195"/>
    <mergeCell ref="B192:B195"/>
    <mergeCell ref="C192:C195"/>
    <mergeCell ref="D192:D195"/>
    <mergeCell ref="E192:E195"/>
    <mergeCell ref="G192:G195"/>
    <mergeCell ref="I192:I195"/>
    <mergeCell ref="K192:K195"/>
    <mergeCell ref="L192:L195"/>
    <mergeCell ref="B166:B167"/>
    <mergeCell ref="C169:C170"/>
    <mergeCell ref="B169:B170"/>
    <mergeCell ref="A157:A161"/>
    <mergeCell ref="D147:D149"/>
    <mergeCell ref="E147:E149"/>
    <mergeCell ref="G147:G149"/>
    <mergeCell ref="D155:D156"/>
    <mergeCell ref="E155:E156"/>
    <mergeCell ref="A147:A149"/>
    <mergeCell ref="C155:C156"/>
    <mergeCell ref="A162:A163"/>
    <mergeCell ref="B162:B163"/>
    <mergeCell ref="B155:B156"/>
    <mergeCell ref="B157:B161"/>
    <mergeCell ref="A155:A156"/>
    <mergeCell ref="C157:C161"/>
    <mergeCell ref="C162:C163"/>
    <mergeCell ref="D166:D167"/>
    <mergeCell ref="D164:D165"/>
    <mergeCell ref="D157:D161"/>
    <mergeCell ref="E157:E161"/>
    <mergeCell ref="I157:I161"/>
    <mergeCell ref="K157:K161"/>
    <mergeCell ref="L157:L161"/>
    <mergeCell ref="K162:K163"/>
    <mergeCell ref="L162:L163"/>
    <mergeCell ref="D162:D163"/>
    <mergeCell ref="I164:I165"/>
    <mergeCell ref="I162:I163"/>
    <mergeCell ref="K164:K165"/>
    <mergeCell ref="L164:L165"/>
    <mergeCell ref="P169:P170"/>
    <mergeCell ref="A174:A177"/>
    <mergeCell ref="B174:B177"/>
    <mergeCell ref="C174:C177"/>
    <mergeCell ref="D174:D177"/>
    <mergeCell ref="E174:E177"/>
    <mergeCell ref="G174:G177"/>
    <mergeCell ref="I174:I177"/>
    <mergeCell ref="K174:K177"/>
    <mergeCell ref="L174:L177"/>
    <mergeCell ref="A169:A170"/>
    <mergeCell ref="J169:J170"/>
    <mergeCell ref="J172:J173"/>
    <mergeCell ref="J174:J177"/>
    <mergeCell ref="B172:B173"/>
    <mergeCell ref="I169:I170"/>
    <mergeCell ref="C172:C173"/>
    <mergeCell ref="L132:L133"/>
    <mergeCell ref="L130:L131"/>
    <mergeCell ref="K130:K131"/>
    <mergeCell ref="P138:P139"/>
    <mergeCell ref="Q132:Q133"/>
    <mergeCell ref="P132:P133"/>
    <mergeCell ref="K132:K133"/>
    <mergeCell ref="P130:P131"/>
    <mergeCell ref="L138:L139"/>
    <mergeCell ref="L134:L135"/>
    <mergeCell ref="K134:K135"/>
    <mergeCell ref="I134:I135"/>
    <mergeCell ref="Q134:Q135"/>
    <mergeCell ref="L145:L146"/>
    <mergeCell ref="K145:K146"/>
    <mergeCell ref="I145:I146"/>
    <mergeCell ref="K142:K143"/>
    <mergeCell ref="L142:L143"/>
    <mergeCell ref="E136:E137"/>
    <mergeCell ref="G155:G156"/>
    <mergeCell ref="K147:K149"/>
    <mergeCell ref="I147:I149"/>
    <mergeCell ref="P147:P149"/>
    <mergeCell ref="K140:K141"/>
    <mergeCell ref="L140:L141"/>
    <mergeCell ref="Q140:Q141"/>
    <mergeCell ref="P136:P137"/>
    <mergeCell ref="L147:L149"/>
    <mergeCell ref="G142:G143"/>
    <mergeCell ref="Q162:Q163"/>
    <mergeCell ref="I142:I143"/>
    <mergeCell ref="P142:P143"/>
    <mergeCell ref="E162:E163"/>
    <mergeCell ref="G162:G163"/>
    <mergeCell ref="G164:G165"/>
    <mergeCell ref="G166:G167"/>
    <mergeCell ref="E164:E165"/>
    <mergeCell ref="G157:G161"/>
    <mergeCell ref="E166:E167"/>
    <mergeCell ref="Q157:Q161"/>
    <mergeCell ref="Q142:Q143"/>
    <mergeCell ref="P164:P165"/>
    <mergeCell ref="Q155:Q156"/>
    <mergeCell ref="Q164:Q165"/>
    <mergeCell ref="Q166:Q167"/>
    <mergeCell ref="J145:J146"/>
    <mergeCell ref="J147:J149"/>
    <mergeCell ref="J162:J163"/>
    <mergeCell ref="J164:J165"/>
    <mergeCell ref="J166:J167"/>
    <mergeCell ref="P157:P161"/>
    <mergeCell ref="P162:P163"/>
    <mergeCell ref="L166:L167"/>
    <mergeCell ref="A145:A146"/>
    <mergeCell ref="G132:G133"/>
    <mergeCell ref="E132:E133"/>
    <mergeCell ref="D132:D133"/>
    <mergeCell ref="Q147:Q149"/>
    <mergeCell ref="P155:P156"/>
    <mergeCell ref="I155:I156"/>
    <mergeCell ref="K155:K156"/>
    <mergeCell ref="L155:L156"/>
    <mergeCell ref="G134:G135"/>
    <mergeCell ref="E134:E135"/>
    <mergeCell ref="D134:D135"/>
    <mergeCell ref="Q136:Q137"/>
    <mergeCell ref="Q138:Q139"/>
    <mergeCell ref="P140:P141"/>
    <mergeCell ref="P145:P146"/>
    <mergeCell ref="E140:E141"/>
    <mergeCell ref="G140:G141"/>
    <mergeCell ref="I140:I141"/>
    <mergeCell ref="G145:G146"/>
    <mergeCell ref="E145:E146"/>
    <mergeCell ref="K138:K139"/>
    <mergeCell ref="D142:D143"/>
    <mergeCell ref="E142:E143"/>
    <mergeCell ref="A121:A122"/>
    <mergeCell ref="A166:A167"/>
    <mergeCell ref="A164:A165"/>
    <mergeCell ref="B164:B165"/>
    <mergeCell ref="C164:C165"/>
    <mergeCell ref="C166:C167"/>
    <mergeCell ref="P123:P124"/>
    <mergeCell ref="Q116:Q118"/>
    <mergeCell ref="A116:A118"/>
    <mergeCell ref="B116:B118"/>
    <mergeCell ref="C116:C118"/>
    <mergeCell ref="D116:D118"/>
    <mergeCell ref="E116:E118"/>
    <mergeCell ref="G116:G118"/>
    <mergeCell ref="I116:I118"/>
    <mergeCell ref="K116:K118"/>
    <mergeCell ref="L116:L118"/>
    <mergeCell ref="P116:P118"/>
    <mergeCell ref="Q121:Q122"/>
    <mergeCell ref="L121:L122"/>
    <mergeCell ref="Q123:Q124"/>
    <mergeCell ref="G123:G124"/>
    <mergeCell ref="B147:B149"/>
    <mergeCell ref="C147:C149"/>
    <mergeCell ref="J75:J77"/>
    <mergeCell ref="D145:D146"/>
    <mergeCell ref="C145:C146"/>
    <mergeCell ref="B145:B146"/>
    <mergeCell ref="A142:A143"/>
    <mergeCell ref="B142:B143"/>
    <mergeCell ref="C142:C143"/>
    <mergeCell ref="B130:B131"/>
    <mergeCell ref="E121:E122"/>
    <mergeCell ref="B125:B127"/>
    <mergeCell ref="A125:A127"/>
    <mergeCell ref="C125:C127"/>
    <mergeCell ref="A123:A124"/>
    <mergeCell ref="A140:A141"/>
    <mergeCell ref="B140:B141"/>
    <mergeCell ref="C140:C141"/>
    <mergeCell ref="D140:D141"/>
    <mergeCell ref="D136:D137"/>
    <mergeCell ref="A138:A139"/>
    <mergeCell ref="B138:B139"/>
    <mergeCell ref="C138:C139"/>
    <mergeCell ref="D138:D139"/>
    <mergeCell ref="A134:A135"/>
    <mergeCell ref="B132:B133"/>
    <mergeCell ref="I81:I84"/>
    <mergeCell ref="A78:A80"/>
    <mergeCell ref="B78:B80"/>
    <mergeCell ref="C78:C80"/>
    <mergeCell ref="D78:D80"/>
    <mergeCell ref="E78:E80"/>
    <mergeCell ref="G78:G80"/>
    <mergeCell ref="A81:A84"/>
    <mergeCell ref="B81:B84"/>
    <mergeCell ref="C81:C84"/>
    <mergeCell ref="A64:A65"/>
    <mergeCell ref="B64:B65"/>
    <mergeCell ref="L73:L74"/>
    <mergeCell ref="P73:P74"/>
    <mergeCell ref="E73:E74"/>
    <mergeCell ref="I73:I74"/>
    <mergeCell ref="K73:K74"/>
    <mergeCell ref="D66:D68"/>
    <mergeCell ref="E66:E68"/>
    <mergeCell ref="P64:P65"/>
    <mergeCell ref="J73:J74"/>
    <mergeCell ref="P10:P12"/>
    <mergeCell ref="K10:K12"/>
    <mergeCell ref="D81:D84"/>
    <mergeCell ref="E81:E84"/>
    <mergeCell ref="G81:G84"/>
    <mergeCell ref="A58:A59"/>
    <mergeCell ref="B58:B59"/>
    <mergeCell ref="C58:C59"/>
    <mergeCell ref="D58:D59"/>
    <mergeCell ref="E58:E59"/>
    <mergeCell ref="C60:C62"/>
    <mergeCell ref="D60:D62"/>
    <mergeCell ref="E60:E62"/>
    <mergeCell ref="G60:G62"/>
    <mergeCell ref="A60:A62"/>
    <mergeCell ref="B60:B62"/>
    <mergeCell ref="A10:A12"/>
    <mergeCell ref="B10:B12"/>
    <mergeCell ref="A52:A54"/>
    <mergeCell ref="B52:B54"/>
    <mergeCell ref="E52:E54"/>
    <mergeCell ref="D52:D54"/>
    <mergeCell ref="G52:G54"/>
    <mergeCell ref="A45:A47"/>
    <mergeCell ref="Q6:Q7"/>
    <mergeCell ref="K6:K9"/>
    <mergeCell ref="L6:L9"/>
    <mergeCell ref="I6:I9"/>
    <mergeCell ref="P6:P9"/>
    <mergeCell ref="C48:C49"/>
    <mergeCell ref="G48:G49"/>
    <mergeCell ref="I48:I49"/>
    <mergeCell ref="C45:C47"/>
    <mergeCell ref="G45:G47"/>
    <mergeCell ref="E45:E47"/>
    <mergeCell ref="D45:D47"/>
    <mergeCell ref="E48:E49"/>
    <mergeCell ref="D48:D49"/>
    <mergeCell ref="C10:C12"/>
    <mergeCell ref="G10:G12"/>
    <mergeCell ref="L10:L12"/>
    <mergeCell ref="I23:I24"/>
    <mergeCell ref="P13:P17"/>
    <mergeCell ref="L23:L24"/>
    <mergeCell ref="Q10:Q12"/>
    <mergeCell ref="C23:C24"/>
    <mergeCell ref="Q14:Q15"/>
    <mergeCell ref="P18:P22"/>
    <mergeCell ref="A2:A4"/>
    <mergeCell ref="B2:B4"/>
    <mergeCell ref="C2:C4"/>
    <mergeCell ref="I2:I4"/>
    <mergeCell ref="K2:K4"/>
    <mergeCell ref="G23:G24"/>
    <mergeCell ref="G18:G22"/>
    <mergeCell ref="P23:P24"/>
    <mergeCell ref="A40:A44"/>
    <mergeCell ref="B40:B44"/>
    <mergeCell ref="C40:C44"/>
    <mergeCell ref="G40:G44"/>
    <mergeCell ref="A35:A37"/>
    <mergeCell ref="B35:B37"/>
    <mergeCell ref="C35:C37"/>
    <mergeCell ref="I35:I37"/>
    <mergeCell ref="I40:I44"/>
    <mergeCell ref="E35:E37"/>
    <mergeCell ref="D35:D37"/>
    <mergeCell ref="E40:E44"/>
    <mergeCell ref="D40:D44"/>
    <mergeCell ref="I25:I27"/>
    <mergeCell ref="K28:K31"/>
    <mergeCell ref="L28:L31"/>
    <mergeCell ref="B6:B9"/>
    <mergeCell ref="C6:C9"/>
    <mergeCell ref="G6:G9"/>
    <mergeCell ref="E6:E9"/>
    <mergeCell ref="D6:D9"/>
    <mergeCell ref="A6:A9"/>
    <mergeCell ref="D10:D12"/>
    <mergeCell ref="E10:E12"/>
    <mergeCell ref="G25:G27"/>
    <mergeCell ref="G13:G17"/>
    <mergeCell ref="A25:A27"/>
    <mergeCell ref="A13:A17"/>
    <mergeCell ref="B13:B17"/>
    <mergeCell ref="D18:D22"/>
    <mergeCell ref="E23:E24"/>
    <mergeCell ref="D23:D24"/>
    <mergeCell ref="C13:C17"/>
    <mergeCell ref="B25:B27"/>
    <mergeCell ref="A18:A22"/>
    <mergeCell ref="B18:B22"/>
    <mergeCell ref="C18:C22"/>
    <mergeCell ref="C25:C27"/>
    <mergeCell ref="A23:A24"/>
    <mergeCell ref="B23:B24"/>
    <mergeCell ref="L2:L4"/>
    <mergeCell ref="G2:G4"/>
    <mergeCell ref="E2:E4"/>
    <mergeCell ref="D2:D4"/>
    <mergeCell ref="I28:I31"/>
    <mergeCell ref="L35:L37"/>
    <mergeCell ref="I45:I47"/>
    <mergeCell ref="K25:K27"/>
    <mergeCell ref="L25:L27"/>
    <mergeCell ref="E25:E27"/>
    <mergeCell ref="D25:D27"/>
    <mergeCell ref="I32:I33"/>
    <mergeCell ref="K32:K33"/>
    <mergeCell ref="L32:L33"/>
    <mergeCell ref="K13:K17"/>
    <mergeCell ref="L13:L17"/>
    <mergeCell ref="L18:L22"/>
    <mergeCell ref="I10:I12"/>
    <mergeCell ref="I13:I17"/>
    <mergeCell ref="I18:I22"/>
    <mergeCell ref="K18:K22"/>
    <mergeCell ref="E13:E17"/>
    <mergeCell ref="D13:D17"/>
    <mergeCell ref="E18:E22"/>
    <mergeCell ref="B45:B47"/>
    <mergeCell ref="A28:A31"/>
    <mergeCell ref="B28:B31"/>
    <mergeCell ref="C28:C31"/>
    <mergeCell ref="G28:G31"/>
    <mergeCell ref="E28:E31"/>
    <mergeCell ref="D28:D31"/>
    <mergeCell ref="A48:A49"/>
    <mergeCell ref="G35:G37"/>
    <mergeCell ref="A32:A33"/>
    <mergeCell ref="B32:B33"/>
    <mergeCell ref="C32:C33"/>
    <mergeCell ref="E32:E33"/>
    <mergeCell ref="D32:D33"/>
    <mergeCell ref="G32:G33"/>
    <mergeCell ref="B48:B49"/>
    <mergeCell ref="T60:T62"/>
    <mergeCell ref="P48:P49"/>
    <mergeCell ref="K23:K24"/>
    <mergeCell ref="P40:P44"/>
    <mergeCell ref="K40:K44"/>
    <mergeCell ref="K52:K54"/>
    <mergeCell ref="L52:L54"/>
    <mergeCell ref="P52:P54"/>
    <mergeCell ref="Q52:Q53"/>
    <mergeCell ref="P60:P62"/>
    <mergeCell ref="L58:L59"/>
    <mergeCell ref="P45:P47"/>
    <mergeCell ref="L40:L44"/>
    <mergeCell ref="K45:K47"/>
    <mergeCell ref="L45:L47"/>
    <mergeCell ref="K48:K49"/>
    <mergeCell ref="L48:L49"/>
    <mergeCell ref="K35:K37"/>
    <mergeCell ref="P58:P59"/>
    <mergeCell ref="P28:P31"/>
    <mergeCell ref="Q40:Q44"/>
    <mergeCell ref="P25:P27"/>
    <mergeCell ref="P32:P33"/>
    <mergeCell ref="P35:P37"/>
    <mergeCell ref="I58:I59"/>
    <mergeCell ref="K58:K59"/>
    <mergeCell ref="C64:C65"/>
    <mergeCell ref="D64:D65"/>
    <mergeCell ref="E64:E65"/>
    <mergeCell ref="G64:G65"/>
    <mergeCell ref="I64:I65"/>
    <mergeCell ref="K64:K65"/>
    <mergeCell ref="L64:L65"/>
    <mergeCell ref="G58:G59"/>
    <mergeCell ref="C52:C54"/>
    <mergeCell ref="Q45:Q47"/>
    <mergeCell ref="I52:I54"/>
    <mergeCell ref="I60:I62"/>
    <mergeCell ref="K60:K62"/>
    <mergeCell ref="L60:L62"/>
    <mergeCell ref="A88:A89"/>
    <mergeCell ref="B88:B89"/>
    <mergeCell ref="C88:C89"/>
    <mergeCell ref="L66:L68"/>
    <mergeCell ref="A69:A70"/>
    <mergeCell ref="B69:B70"/>
    <mergeCell ref="G69:G70"/>
    <mergeCell ref="C69:C70"/>
    <mergeCell ref="D69:D70"/>
    <mergeCell ref="E69:E70"/>
    <mergeCell ref="P69:P70"/>
    <mergeCell ref="I69:I70"/>
    <mergeCell ref="K69:K70"/>
    <mergeCell ref="L69:L70"/>
    <mergeCell ref="A66:A68"/>
    <mergeCell ref="B66:B68"/>
    <mergeCell ref="L81:L84"/>
    <mergeCell ref="Q85:Q87"/>
    <mergeCell ref="S66:S68"/>
    <mergeCell ref="A75:A77"/>
    <mergeCell ref="B75:B77"/>
    <mergeCell ref="C75:C77"/>
    <mergeCell ref="G75:G77"/>
    <mergeCell ref="D73:D74"/>
    <mergeCell ref="E75:E77"/>
    <mergeCell ref="D75:D77"/>
    <mergeCell ref="I78:I80"/>
    <mergeCell ref="G66:G68"/>
    <mergeCell ref="I66:I68"/>
    <mergeCell ref="K66:K68"/>
    <mergeCell ref="P75:P77"/>
    <mergeCell ref="Q78:Q80"/>
    <mergeCell ref="Q75:Q77"/>
    <mergeCell ref="Q73:Q74"/>
    <mergeCell ref="I75:I77"/>
    <mergeCell ref="P66:P68"/>
    <mergeCell ref="A73:A74"/>
    <mergeCell ref="B73:B74"/>
    <mergeCell ref="C73:C74"/>
    <mergeCell ref="G73:G74"/>
    <mergeCell ref="C66:C68"/>
    <mergeCell ref="J69:J70"/>
    <mergeCell ref="R97:R99"/>
    <mergeCell ref="A97:A99"/>
    <mergeCell ref="B97:B99"/>
    <mergeCell ref="C97:C99"/>
    <mergeCell ref="D97:D99"/>
    <mergeCell ref="E97:E99"/>
    <mergeCell ref="G97:G99"/>
    <mergeCell ref="I97:I99"/>
    <mergeCell ref="K97:K99"/>
    <mergeCell ref="L97:L99"/>
    <mergeCell ref="K75:K77"/>
    <mergeCell ref="L75:L77"/>
    <mergeCell ref="K78:K80"/>
    <mergeCell ref="L78:L80"/>
    <mergeCell ref="L88:L89"/>
    <mergeCell ref="K94:K96"/>
    <mergeCell ref="P100:P103"/>
    <mergeCell ref="P81:P84"/>
    <mergeCell ref="P78:P80"/>
    <mergeCell ref="P85:P87"/>
    <mergeCell ref="L94:L96"/>
    <mergeCell ref="K88:K89"/>
    <mergeCell ref="K81:K84"/>
    <mergeCell ref="K90:K91"/>
    <mergeCell ref="L90:L91"/>
    <mergeCell ref="K85:K87"/>
    <mergeCell ref="L85:L87"/>
    <mergeCell ref="A110:A114"/>
    <mergeCell ref="B110:B114"/>
    <mergeCell ref="C110:C114"/>
    <mergeCell ref="G110:G114"/>
    <mergeCell ref="A100:A103"/>
    <mergeCell ref="B100:B103"/>
    <mergeCell ref="C100:C103"/>
    <mergeCell ref="D100:D103"/>
    <mergeCell ref="E100:E103"/>
    <mergeCell ref="A104:A106"/>
    <mergeCell ref="B104:B106"/>
    <mergeCell ref="C104:C106"/>
    <mergeCell ref="D110:D114"/>
    <mergeCell ref="E110:E114"/>
    <mergeCell ref="D104:D106"/>
    <mergeCell ref="E104:E106"/>
    <mergeCell ref="G104:G106"/>
    <mergeCell ref="A107:A109"/>
    <mergeCell ref="B107:B109"/>
    <mergeCell ref="C107:C109"/>
    <mergeCell ref="D107:D109"/>
    <mergeCell ref="E107:E109"/>
    <mergeCell ref="G107:G109"/>
    <mergeCell ref="B121:B122"/>
    <mergeCell ref="C121:C122"/>
    <mergeCell ref="I121:I122"/>
    <mergeCell ref="K121:K122"/>
    <mergeCell ref="B123:B124"/>
    <mergeCell ref="C123:C124"/>
    <mergeCell ref="D123:D124"/>
    <mergeCell ref="E123:E124"/>
    <mergeCell ref="Q88:Q89"/>
    <mergeCell ref="Q90:Q91"/>
    <mergeCell ref="P94:P96"/>
    <mergeCell ref="Q94:Q96"/>
    <mergeCell ref="I104:I106"/>
    <mergeCell ref="K104:K106"/>
    <mergeCell ref="L104:L106"/>
    <mergeCell ref="P110:P114"/>
    <mergeCell ref="P88:P89"/>
    <mergeCell ref="D90:D91"/>
    <mergeCell ref="E88:E89"/>
    <mergeCell ref="B119:B120"/>
    <mergeCell ref="A94:A96"/>
    <mergeCell ref="B94:B96"/>
    <mergeCell ref="C94:C96"/>
    <mergeCell ref="D94:D96"/>
    <mergeCell ref="E94:E96"/>
    <mergeCell ref="G94:G96"/>
    <mergeCell ref="I94:I96"/>
    <mergeCell ref="A85:A87"/>
    <mergeCell ref="B85:B87"/>
    <mergeCell ref="C85:C87"/>
    <mergeCell ref="D85:D87"/>
    <mergeCell ref="E85:E87"/>
    <mergeCell ref="G85:G87"/>
    <mergeCell ref="E90:E91"/>
    <mergeCell ref="D88:D89"/>
    <mergeCell ref="G88:G89"/>
    <mergeCell ref="I88:I89"/>
    <mergeCell ref="G90:G91"/>
    <mergeCell ref="I90:I91"/>
    <mergeCell ref="I85:I87"/>
    <mergeCell ref="A90:A91"/>
    <mergeCell ref="B90:B91"/>
    <mergeCell ref="C90:C91"/>
    <mergeCell ref="A187:A188"/>
    <mergeCell ref="B187:B188"/>
    <mergeCell ref="C187:C188"/>
    <mergeCell ref="A184:A186"/>
    <mergeCell ref="B184:B186"/>
    <mergeCell ref="C184:C186"/>
    <mergeCell ref="A180:A182"/>
    <mergeCell ref="B180:B182"/>
    <mergeCell ref="C180:C182"/>
    <mergeCell ref="A178:A179"/>
    <mergeCell ref="E169:E170"/>
    <mergeCell ref="K178:K179"/>
    <mergeCell ref="L178:L179"/>
    <mergeCell ref="P174:P177"/>
    <mergeCell ref="D169:D170"/>
    <mergeCell ref="G136:G137"/>
    <mergeCell ref="I136:I137"/>
    <mergeCell ref="C130:C131"/>
    <mergeCell ref="J130:J131"/>
    <mergeCell ref="J132:J133"/>
    <mergeCell ref="J134:J135"/>
    <mergeCell ref="J136:J137"/>
    <mergeCell ref="J138:J139"/>
    <mergeCell ref="J140:J141"/>
    <mergeCell ref="J142:J143"/>
    <mergeCell ref="A132:A133"/>
    <mergeCell ref="B134:B135"/>
    <mergeCell ref="A136:A137"/>
    <mergeCell ref="B136:B137"/>
    <mergeCell ref="C136:C137"/>
    <mergeCell ref="C132:C133"/>
    <mergeCell ref="C134:C135"/>
    <mergeCell ref="A130:A131"/>
    <mergeCell ref="Q81:Q84"/>
    <mergeCell ref="B178:B179"/>
    <mergeCell ref="E178:E179"/>
    <mergeCell ref="C178:C179"/>
    <mergeCell ref="D178:D179"/>
    <mergeCell ref="G178:G179"/>
    <mergeCell ref="I178:I179"/>
    <mergeCell ref="I166:I167"/>
    <mergeCell ref="K166:K167"/>
    <mergeCell ref="P178:P179"/>
    <mergeCell ref="D172:D173"/>
    <mergeCell ref="E172:E173"/>
    <mergeCell ref="G172:G173"/>
    <mergeCell ref="I172:I173"/>
    <mergeCell ref="K172:K173"/>
    <mergeCell ref="L172:L173"/>
    <mergeCell ref="G169:G170"/>
    <mergeCell ref="Q125:Q127"/>
    <mergeCell ref="G100:G103"/>
    <mergeCell ref="K136:K137"/>
    <mergeCell ref="L136:L137"/>
    <mergeCell ref="E138:E139"/>
    <mergeCell ref="G138:G139"/>
    <mergeCell ref="I138:I139"/>
    <mergeCell ref="I132:I133"/>
    <mergeCell ref="E130:E131"/>
    <mergeCell ref="I100:I103"/>
    <mergeCell ref="L107:L109"/>
    <mergeCell ref="Q104:Q106"/>
    <mergeCell ref="P90:P91"/>
    <mergeCell ref="D130:D131"/>
    <mergeCell ref="G125:G127"/>
    <mergeCell ref="G121:G122"/>
    <mergeCell ref="J123:J124"/>
    <mergeCell ref="J125:J127"/>
    <mergeCell ref="P121:P122"/>
    <mergeCell ref="P125:P127"/>
    <mergeCell ref="I110:I114"/>
    <mergeCell ref="K110:K114"/>
    <mergeCell ref="I123:I124"/>
    <mergeCell ref="K123:K124"/>
    <mergeCell ref="L123:L124"/>
    <mergeCell ref="L110:L114"/>
    <mergeCell ref="K125:K127"/>
    <mergeCell ref="L125:L127"/>
    <mergeCell ref="D125:D127"/>
    <mergeCell ref="D121:D122"/>
    <mergeCell ref="L100:L103"/>
    <mergeCell ref="E125:E127"/>
    <mergeCell ref="I130:I131"/>
    <mergeCell ref="I125:I127"/>
    <mergeCell ref="G130:G131"/>
    <mergeCell ref="K100:K103"/>
    <mergeCell ref="P107:P109"/>
    <mergeCell ref="I107:I109"/>
    <mergeCell ref="K107:K109"/>
    <mergeCell ref="Q130:Q131"/>
    <mergeCell ref="L119:L120"/>
    <mergeCell ref="P119:P120"/>
    <mergeCell ref="Q119:Q120"/>
    <mergeCell ref="D187:D188"/>
    <mergeCell ref="E187:E188"/>
    <mergeCell ref="Q184:Q186"/>
    <mergeCell ref="I187:I188"/>
    <mergeCell ref="K187:K188"/>
    <mergeCell ref="L187:L188"/>
    <mergeCell ref="Q187:Q188"/>
    <mergeCell ref="P180:P182"/>
    <mergeCell ref="L180:L182"/>
    <mergeCell ref="K180:K182"/>
    <mergeCell ref="I180:I182"/>
    <mergeCell ref="P184:P186"/>
    <mergeCell ref="K184:K186"/>
    <mergeCell ref="L184:L186"/>
    <mergeCell ref="G180:G182"/>
    <mergeCell ref="G187:G188"/>
    <mergeCell ref="D184:D186"/>
    <mergeCell ref="E184:E186"/>
    <mergeCell ref="G184:G186"/>
    <mergeCell ref="I184:I186"/>
    <mergeCell ref="D180:D182"/>
    <mergeCell ref="E180:E182"/>
    <mergeCell ref="J2:J4"/>
    <mergeCell ref="J6:J9"/>
    <mergeCell ref="J10:J12"/>
    <mergeCell ref="J13:J17"/>
    <mergeCell ref="J18:J22"/>
    <mergeCell ref="J23:J24"/>
    <mergeCell ref="J25:J27"/>
    <mergeCell ref="J28:J31"/>
    <mergeCell ref="J32:J33"/>
    <mergeCell ref="J35:J37"/>
    <mergeCell ref="J40:J44"/>
    <mergeCell ref="J45:J47"/>
    <mergeCell ref="J48:J49"/>
    <mergeCell ref="J52:J54"/>
    <mergeCell ref="J58:J59"/>
    <mergeCell ref="J60:J62"/>
    <mergeCell ref="J64:J65"/>
    <mergeCell ref="J66:J68"/>
    <mergeCell ref="J178:J179"/>
    <mergeCell ref="J180:J182"/>
    <mergeCell ref="J184:J186"/>
    <mergeCell ref="J187:J188"/>
    <mergeCell ref="J192:J195"/>
    <mergeCell ref="J78:J80"/>
    <mergeCell ref="J81:J84"/>
    <mergeCell ref="J85:J87"/>
    <mergeCell ref="J88:J89"/>
    <mergeCell ref="J90:J91"/>
    <mergeCell ref="J94:J96"/>
    <mergeCell ref="J97:J99"/>
    <mergeCell ref="J100:J103"/>
    <mergeCell ref="J116:J118"/>
    <mergeCell ref="P189:P190"/>
    <mergeCell ref="B189:B190"/>
    <mergeCell ref="C189:C190"/>
    <mergeCell ref="D189:D190"/>
    <mergeCell ref="E189:E190"/>
    <mergeCell ref="G189:G190"/>
    <mergeCell ref="I189:I190"/>
    <mergeCell ref="J189:J190"/>
    <mergeCell ref="K189:K190"/>
    <mergeCell ref="L189:L190"/>
  </mergeCells>
  <pageMargins left="0.23622047244094491" right="0.23622047244094491" top="0.15748031496062992" bottom="0.15748031496062992" header="0.31496062992125984" footer="0.31496062992125984"/>
  <pageSetup scale="47" fitToHeight="0"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G13"/>
  <sheetViews>
    <sheetView workbookViewId="0">
      <selection activeCell="E10" sqref="E10"/>
    </sheetView>
  </sheetViews>
  <sheetFormatPr baseColWidth="10" defaultRowHeight="14.3" x14ac:dyDescent="0.25"/>
  <cols>
    <col min="2" max="2" width="15.75" customWidth="1"/>
    <col min="3" max="3" width="15" customWidth="1"/>
    <col min="4" max="4" width="15.5" customWidth="1"/>
    <col min="5" max="5" width="13.875" customWidth="1"/>
    <col min="6" max="6" width="13.625" customWidth="1"/>
  </cols>
  <sheetData>
    <row r="1" spans="2:7" ht="16.3" x14ac:dyDescent="0.25">
      <c r="B1" s="1418" t="s">
        <v>2475</v>
      </c>
      <c r="C1" s="1408"/>
      <c r="D1" s="1408"/>
      <c r="E1" s="1408"/>
      <c r="F1" s="1408"/>
      <c r="G1" s="1409"/>
    </row>
    <row r="2" spans="2:7" x14ac:dyDescent="0.25">
      <c r="B2" s="1419" t="s">
        <v>2476</v>
      </c>
      <c r="C2" s="1420"/>
      <c r="D2" s="1420"/>
      <c r="E2" s="1420"/>
      <c r="F2" s="1420"/>
      <c r="G2" s="1421"/>
    </row>
    <row r="3" spans="2:7" x14ac:dyDescent="0.25">
      <c r="B3" s="1422"/>
      <c r="C3" s="1423"/>
      <c r="D3" s="1423"/>
      <c r="E3" s="1423"/>
      <c r="F3" s="1423"/>
      <c r="G3" s="1424"/>
    </row>
    <row r="4" spans="2:7" x14ac:dyDescent="0.25">
      <c r="B4" s="1425" t="s">
        <v>2477</v>
      </c>
      <c r="C4" s="1420"/>
      <c r="D4" s="1420"/>
      <c r="E4" s="1420"/>
      <c r="F4" s="1420"/>
      <c r="G4" s="1421"/>
    </row>
    <row r="5" spans="2:7" x14ac:dyDescent="0.25">
      <c r="B5" s="1422"/>
      <c r="C5" s="1423"/>
      <c r="D5" s="1423"/>
      <c r="E5" s="1423"/>
      <c r="F5" s="1423"/>
      <c r="G5" s="1424"/>
    </row>
    <row r="6" spans="2:7" ht="16.3" x14ac:dyDescent="0.25">
      <c r="B6" s="748" t="s">
        <v>2478</v>
      </c>
      <c r="C6" s="1426" t="s">
        <v>2485</v>
      </c>
      <c r="D6" s="1408"/>
      <c r="E6" s="1408"/>
      <c r="F6" s="1408"/>
      <c r="G6" s="1409"/>
    </row>
    <row r="7" spans="2:7" ht="16.3" x14ac:dyDescent="0.25">
      <c r="B7" s="749" t="s">
        <v>2479</v>
      </c>
      <c r="C7" s="750" t="s">
        <v>2480</v>
      </c>
      <c r="D7" s="750" t="s">
        <v>2481</v>
      </c>
      <c r="E7" s="750"/>
      <c r="F7" s="750"/>
      <c r="G7" s="750"/>
    </row>
    <row r="8" spans="2:7" ht="16.3" x14ac:dyDescent="0.25">
      <c r="B8" s="749" t="s">
        <v>2482</v>
      </c>
      <c r="C8" s="751" t="s">
        <v>2486</v>
      </c>
      <c r="D8" s="751" t="s">
        <v>2487</v>
      </c>
      <c r="E8" s="751"/>
      <c r="F8" s="751"/>
      <c r="G8" s="751"/>
    </row>
    <row r="9" spans="2:7" ht="39.4" customHeight="1" x14ac:dyDescent="0.25">
      <c r="B9" s="1416" t="s">
        <v>2488</v>
      </c>
      <c r="C9" s="752" t="s">
        <v>2483</v>
      </c>
      <c r="D9" s="752" t="s">
        <v>2490</v>
      </c>
      <c r="E9" s="752"/>
      <c r="F9" s="752"/>
      <c r="G9" s="752"/>
    </row>
    <row r="10" spans="2:7" ht="43.5" customHeight="1" x14ac:dyDescent="0.25">
      <c r="B10" s="1417"/>
      <c r="C10" s="752" t="s">
        <v>2489</v>
      </c>
      <c r="D10" s="752" t="s">
        <v>2491</v>
      </c>
      <c r="E10" s="752"/>
      <c r="F10" s="752"/>
      <c r="G10" s="752"/>
    </row>
    <row r="11" spans="2:7" x14ac:dyDescent="0.25">
      <c r="B11" s="1407" t="s">
        <v>2484</v>
      </c>
      <c r="C11" s="1408"/>
      <c r="D11" s="1408"/>
      <c r="E11" s="1408"/>
      <c r="F11" s="1408"/>
      <c r="G11" s="1409"/>
    </row>
    <row r="12" spans="2:7" x14ac:dyDescent="0.25">
      <c r="B12" s="1410" t="s">
        <v>2492</v>
      </c>
      <c r="C12" s="1411"/>
      <c r="D12" s="1411"/>
      <c r="E12" s="1411"/>
      <c r="F12" s="1411"/>
      <c r="G12" s="1412"/>
    </row>
    <row r="13" spans="2:7" ht="73.400000000000006" customHeight="1" x14ac:dyDescent="0.25">
      <c r="B13" s="1413"/>
      <c r="C13" s="1414"/>
      <c r="D13" s="1414"/>
      <c r="E13" s="1414"/>
      <c r="F13" s="1414"/>
      <c r="G13" s="1415"/>
    </row>
  </sheetData>
  <mergeCells count="7">
    <mergeCell ref="B11:G11"/>
    <mergeCell ref="B12:G13"/>
    <mergeCell ref="B9:B10"/>
    <mergeCell ref="B1:G1"/>
    <mergeCell ref="B2:G3"/>
    <mergeCell ref="B4:G5"/>
    <mergeCell ref="C6:G6"/>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5:AH225"/>
  <sheetViews>
    <sheetView topLeftCell="A4" zoomScale="130" zoomScaleNormal="130" workbookViewId="0">
      <selection activeCell="I12" sqref="I12"/>
    </sheetView>
  </sheetViews>
  <sheetFormatPr baseColWidth="10" defaultColWidth="14.375" defaultRowHeight="14.95" customHeight="1" x14ac:dyDescent="0.25"/>
  <cols>
    <col min="1" max="1" width="10.75" style="788" customWidth="1"/>
    <col min="2" max="2" width="21.625" style="788" customWidth="1"/>
    <col min="3" max="4" width="10.875" style="788" customWidth="1"/>
    <col min="5" max="5" width="11.5" style="788" customWidth="1"/>
    <col min="6" max="6" width="10.75" style="788" customWidth="1"/>
    <col min="7" max="7" width="11.5" style="788" customWidth="1"/>
    <col min="8" max="8" width="10.875" style="788" customWidth="1"/>
    <col min="9" max="11" width="11.125" style="788" customWidth="1"/>
    <col min="12" max="13" width="10.75" style="788" customWidth="1"/>
    <col min="14" max="14" width="11.5" style="788" customWidth="1"/>
    <col min="15" max="15" width="10.75" style="788" customWidth="1"/>
    <col min="16" max="16" width="11" style="788" customWidth="1"/>
    <col min="17" max="17" width="10.75" style="788" customWidth="1"/>
    <col min="18" max="18" width="10.875" style="788" customWidth="1"/>
    <col min="19" max="32" width="11.25" style="788" customWidth="1"/>
    <col min="33" max="33" width="11.25" style="833" customWidth="1"/>
    <col min="34" max="34" width="14.375" style="833"/>
    <col min="35" max="16384" width="14.375" style="788"/>
  </cols>
  <sheetData>
    <row r="5" spans="2:34" thickBot="1" x14ac:dyDescent="0.3">
      <c r="B5" s="785"/>
      <c r="C5" s="785"/>
      <c r="D5" s="785"/>
      <c r="E5" s="785"/>
      <c r="F5" s="785"/>
      <c r="G5" s="785"/>
      <c r="H5" s="785"/>
      <c r="I5" s="785"/>
      <c r="J5" s="785"/>
      <c r="K5" s="785"/>
      <c r="L5" s="786"/>
      <c r="M5" s="786"/>
      <c r="N5" s="786"/>
      <c r="O5" s="786"/>
      <c r="P5" s="787"/>
    </row>
    <row r="6" spans="2:34" ht="21.1" x14ac:dyDescent="0.25">
      <c r="B6" s="1434" t="s">
        <v>2576</v>
      </c>
      <c r="C6" s="1435"/>
      <c r="D6" s="1435"/>
      <c r="E6" s="1435"/>
      <c r="F6" s="1435"/>
      <c r="G6" s="1435"/>
      <c r="H6" s="1435"/>
      <c r="I6" s="1435"/>
      <c r="J6" s="1435"/>
      <c r="K6" s="1435"/>
      <c r="L6" s="1435"/>
      <c r="M6" s="1441"/>
      <c r="N6" s="1441"/>
      <c r="O6" s="1442" t="s">
        <v>2597</v>
      </c>
      <c r="P6" s="1442"/>
      <c r="Q6" s="1442"/>
      <c r="R6" s="1442"/>
      <c r="S6" s="1442"/>
      <c r="T6" s="1443" t="s">
        <v>2602</v>
      </c>
      <c r="U6" s="1442"/>
      <c r="V6" s="1442"/>
      <c r="W6" s="1442"/>
      <c r="X6" s="1442"/>
      <c r="Y6" s="832"/>
      <c r="Z6" s="832"/>
      <c r="AA6" s="832"/>
      <c r="AB6" s="832"/>
      <c r="AC6" s="832"/>
      <c r="AD6" s="832"/>
      <c r="AE6" s="832"/>
      <c r="AF6" s="832"/>
      <c r="AG6" s="832"/>
      <c r="AH6" s="832"/>
    </row>
    <row r="7" spans="2:34" s="791" customFormat="1" ht="21.1" x14ac:dyDescent="0.25">
      <c r="B7" s="1432" t="s">
        <v>2582</v>
      </c>
      <c r="C7" s="1431"/>
      <c r="D7" s="1431"/>
      <c r="E7" s="1431"/>
      <c r="F7" s="1431"/>
      <c r="G7" s="1431"/>
      <c r="H7" s="1431"/>
      <c r="I7" s="1431"/>
      <c r="J7" s="1431"/>
      <c r="K7" s="1431"/>
      <c r="L7" s="1433"/>
      <c r="M7" s="1433"/>
      <c r="N7" s="1430"/>
      <c r="O7" s="1430" t="s">
        <v>2598</v>
      </c>
      <c r="P7" s="1431"/>
      <c r="Q7" s="1431"/>
      <c r="R7" s="1431"/>
      <c r="S7" s="1431"/>
      <c r="T7" s="1431" t="s">
        <v>2599</v>
      </c>
      <c r="U7" s="1431"/>
      <c r="V7" s="1431"/>
      <c r="W7" s="1431"/>
      <c r="X7" s="1431"/>
      <c r="Y7" s="1431" t="s">
        <v>2600</v>
      </c>
      <c r="Z7" s="1431"/>
      <c r="AA7" s="1431"/>
      <c r="AB7" s="1431"/>
      <c r="AC7" s="1431"/>
      <c r="AD7" s="1431" t="s">
        <v>2601</v>
      </c>
      <c r="AE7" s="1431"/>
      <c r="AF7" s="1431"/>
      <c r="AG7" s="1431"/>
      <c r="AH7" s="1431"/>
    </row>
    <row r="8" spans="2:34" s="792" customFormat="1" ht="11.55" x14ac:dyDescent="0.2">
      <c r="B8" s="811"/>
      <c r="C8" s="794" t="s">
        <v>2577</v>
      </c>
      <c r="D8" s="793" t="s">
        <v>2578</v>
      </c>
      <c r="E8" s="793" t="s">
        <v>2578</v>
      </c>
      <c r="F8" s="794" t="s">
        <v>2579</v>
      </c>
      <c r="G8" s="793" t="s">
        <v>2578</v>
      </c>
      <c r="H8" s="794" t="s">
        <v>2577</v>
      </c>
      <c r="I8" s="793" t="s">
        <v>2578</v>
      </c>
      <c r="J8" s="793" t="s">
        <v>2578</v>
      </c>
      <c r="K8" s="794" t="s">
        <v>2579</v>
      </c>
      <c r="L8" s="812" t="s">
        <v>2578</v>
      </c>
      <c r="M8" s="807" t="s">
        <v>2577</v>
      </c>
      <c r="N8" s="793" t="s">
        <v>2578</v>
      </c>
      <c r="O8" s="793" t="s">
        <v>2578</v>
      </c>
      <c r="P8" s="794" t="s">
        <v>2579</v>
      </c>
      <c r="Q8" s="800" t="s">
        <v>2578</v>
      </c>
      <c r="R8" s="794" t="s">
        <v>2577</v>
      </c>
      <c r="S8" s="793" t="s">
        <v>2578</v>
      </c>
      <c r="T8" s="793" t="s">
        <v>2578</v>
      </c>
      <c r="U8" s="794" t="s">
        <v>2579</v>
      </c>
      <c r="V8" s="793" t="s">
        <v>2578</v>
      </c>
      <c r="W8" s="794" t="s">
        <v>2577</v>
      </c>
      <c r="X8" s="793" t="s">
        <v>2578</v>
      </c>
      <c r="Y8" s="800" t="s">
        <v>2578</v>
      </c>
      <c r="Z8" s="794" t="s">
        <v>2579</v>
      </c>
      <c r="AA8" s="793" t="s">
        <v>2578</v>
      </c>
      <c r="AB8" s="794" t="s">
        <v>2577</v>
      </c>
      <c r="AC8" s="793" t="s">
        <v>2578</v>
      </c>
      <c r="AD8" s="793" t="s">
        <v>2578</v>
      </c>
      <c r="AE8" s="794" t="s">
        <v>2579</v>
      </c>
      <c r="AF8" s="793" t="s">
        <v>2578</v>
      </c>
      <c r="AG8" s="834" t="s">
        <v>2579</v>
      </c>
      <c r="AH8" s="835" t="s">
        <v>2578</v>
      </c>
    </row>
    <row r="9" spans="2:34" s="792" customFormat="1" ht="11.55" x14ac:dyDescent="0.2">
      <c r="B9" s="811"/>
      <c r="C9" s="794" t="s">
        <v>2583</v>
      </c>
      <c r="D9" s="793" t="s">
        <v>2584</v>
      </c>
      <c r="E9" s="793" t="s">
        <v>2585</v>
      </c>
      <c r="F9" s="794" t="s">
        <v>2586</v>
      </c>
      <c r="G9" s="793" t="s">
        <v>2587</v>
      </c>
      <c r="H9" s="794" t="s">
        <v>2583</v>
      </c>
      <c r="I9" s="793" t="s">
        <v>2584</v>
      </c>
      <c r="J9" s="793" t="s">
        <v>2585</v>
      </c>
      <c r="K9" s="794" t="s">
        <v>2586</v>
      </c>
      <c r="L9" s="812" t="s">
        <v>2587</v>
      </c>
      <c r="M9" s="807" t="s">
        <v>2583</v>
      </c>
      <c r="N9" s="793" t="s">
        <v>2584</v>
      </c>
      <c r="O9" s="793" t="s">
        <v>2585</v>
      </c>
      <c r="P9" s="794" t="s">
        <v>2586</v>
      </c>
      <c r="Q9" s="800" t="s">
        <v>2587</v>
      </c>
      <c r="R9" s="794" t="s">
        <v>2583</v>
      </c>
      <c r="S9" s="793" t="s">
        <v>2584</v>
      </c>
      <c r="T9" s="793" t="s">
        <v>2585</v>
      </c>
      <c r="U9" s="794" t="s">
        <v>2586</v>
      </c>
      <c r="V9" s="793" t="s">
        <v>2587</v>
      </c>
      <c r="W9" s="794" t="s">
        <v>2583</v>
      </c>
      <c r="X9" s="793" t="s">
        <v>2584</v>
      </c>
      <c r="Y9" s="800" t="s">
        <v>2585</v>
      </c>
      <c r="Z9" s="794" t="s">
        <v>2586</v>
      </c>
      <c r="AA9" s="793" t="s">
        <v>2587</v>
      </c>
      <c r="AB9" s="794" t="s">
        <v>2583</v>
      </c>
      <c r="AC9" s="793" t="s">
        <v>2584</v>
      </c>
      <c r="AD9" s="793" t="s">
        <v>2585</v>
      </c>
      <c r="AE9" s="794" t="s">
        <v>2586</v>
      </c>
      <c r="AF9" s="793" t="s">
        <v>2587</v>
      </c>
      <c r="AG9" s="834" t="s">
        <v>2583</v>
      </c>
      <c r="AH9" s="835" t="s">
        <v>2584</v>
      </c>
    </row>
    <row r="10" spans="2:34" s="840" customFormat="1" ht="19.7" customHeight="1" x14ac:dyDescent="0.25">
      <c r="B10" s="813"/>
      <c r="C10" s="796">
        <v>43664</v>
      </c>
      <c r="D10" s="797">
        <v>43665</v>
      </c>
      <c r="E10" s="797">
        <v>43668</v>
      </c>
      <c r="F10" s="796">
        <v>43669</v>
      </c>
      <c r="G10" s="797">
        <v>43670</v>
      </c>
      <c r="H10" s="796">
        <v>43671</v>
      </c>
      <c r="I10" s="797">
        <v>43672</v>
      </c>
      <c r="J10" s="797">
        <v>43675</v>
      </c>
      <c r="K10" s="796">
        <v>43676</v>
      </c>
      <c r="L10" s="814">
        <v>43677</v>
      </c>
      <c r="M10" s="808">
        <v>43678</v>
      </c>
      <c r="N10" s="797">
        <v>43679</v>
      </c>
      <c r="O10" s="797">
        <v>43682</v>
      </c>
      <c r="P10" s="796">
        <v>43683</v>
      </c>
      <c r="Q10" s="801">
        <v>43684</v>
      </c>
      <c r="R10" s="796">
        <v>43685</v>
      </c>
      <c r="S10" s="797">
        <v>43686</v>
      </c>
      <c r="T10" s="797">
        <v>43689</v>
      </c>
      <c r="U10" s="796">
        <v>43690</v>
      </c>
      <c r="V10" s="797">
        <v>43691</v>
      </c>
      <c r="W10" s="796">
        <v>43692</v>
      </c>
      <c r="X10" s="797">
        <v>43693</v>
      </c>
      <c r="Y10" s="801">
        <v>43696</v>
      </c>
      <c r="Z10" s="796">
        <v>43697</v>
      </c>
      <c r="AA10" s="797">
        <v>43698</v>
      </c>
      <c r="AB10" s="831" t="s">
        <v>2596</v>
      </c>
      <c r="AC10" s="797">
        <v>43700</v>
      </c>
      <c r="AD10" s="797">
        <v>43703</v>
      </c>
      <c r="AE10" s="796">
        <v>43704</v>
      </c>
      <c r="AF10" s="797">
        <v>43705</v>
      </c>
      <c r="AG10" s="839">
        <v>43706</v>
      </c>
      <c r="AH10" s="844">
        <v>43707</v>
      </c>
    </row>
    <row r="11" spans="2:34" s="843" customFormat="1" ht="32.950000000000003" customHeight="1" x14ac:dyDescent="0.25">
      <c r="B11" s="815" t="s">
        <v>2564</v>
      </c>
      <c r="C11" s="804" t="s">
        <v>2580</v>
      </c>
      <c r="D11" s="798" t="s">
        <v>2489</v>
      </c>
      <c r="E11" s="795" t="s">
        <v>2483</v>
      </c>
      <c r="F11" s="804" t="s">
        <v>2566</v>
      </c>
      <c r="G11" s="798" t="s">
        <v>2581</v>
      </c>
      <c r="H11" s="806" t="s">
        <v>2490</v>
      </c>
      <c r="I11" s="795" t="s">
        <v>2567</v>
      </c>
      <c r="J11" s="798" t="s">
        <v>2565</v>
      </c>
      <c r="K11" s="804" t="s">
        <v>2491</v>
      </c>
      <c r="L11" s="816" t="s">
        <v>2489</v>
      </c>
      <c r="M11" s="809" t="s">
        <v>2483</v>
      </c>
      <c r="N11" s="798" t="s">
        <v>2566</v>
      </c>
      <c r="O11" s="798" t="s">
        <v>2581</v>
      </c>
      <c r="P11" s="795" t="s">
        <v>2490</v>
      </c>
      <c r="Q11" s="1427" t="s">
        <v>2588</v>
      </c>
      <c r="R11" s="798" t="s">
        <v>2567</v>
      </c>
      <c r="S11" s="798" t="s">
        <v>2565</v>
      </c>
      <c r="T11" s="798" t="s">
        <v>2491</v>
      </c>
      <c r="U11" s="798" t="s">
        <v>2489</v>
      </c>
      <c r="V11" s="798" t="s">
        <v>2483</v>
      </c>
      <c r="W11" s="798" t="s">
        <v>2566</v>
      </c>
      <c r="X11" s="798" t="s">
        <v>2581</v>
      </c>
      <c r="Y11" s="1427" t="s">
        <v>2588</v>
      </c>
      <c r="Z11" s="798" t="s">
        <v>2490</v>
      </c>
      <c r="AA11" s="798" t="s">
        <v>2567</v>
      </c>
      <c r="AB11" s="798" t="s">
        <v>2565</v>
      </c>
      <c r="AC11" s="798" t="s">
        <v>2491</v>
      </c>
      <c r="AD11" s="798" t="s">
        <v>2489</v>
      </c>
      <c r="AE11" s="798" t="s">
        <v>2483</v>
      </c>
      <c r="AF11" s="798" t="s">
        <v>2566</v>
      </c>
      <c r="AG11" s="837" t="s">
        <v>2581</v>
      </c>
      <c r="AH11" s="842" t="s">
        <v>2490</v>
      </c>
    </row>
    <row r="12" spans="2:34" ht="24.8" customHeight="1" x14ac:dyDescent="0.25">
      <c r="B12" s="817" t="s">
        <v>2568</v>
      </c>
      <c r="C12" s="805" t="s">
        <v>2569</v>
      </c>
      <c r="D12" s="799"/>
      <c r="E12" s="799"/>
      <c r="F12" s="805" t="s">
        <v>1071</v>
      </c>
      <c r="G12" s="799"/>
      <c r="H12" s="805" t="s">
        <v>2569</v>
      </c>
      <c r="I12" s="799"/>
      <c r="J12" s="799"/>
      <c r="K12" s="805" t="s">
        <v>1071</v>
      </c>
      <c r="L12" s="818"/>
      <c r="M12" s="810" t="s">
        <v>2569</v>
      </c>
      <c r="N12" s="799"/>
      <c r="O12" s="799"/>
      <c r="P12" s="799" t="s">
        <v>1071</v>
      </c>
      <c r="Q12" s="1428"/>
      <c r="R12" s="805" t="s">
        <v>2569</v>
      </c>
      <c r="S12" s="799"/>
      <c r="T12" s="799"/>
      <c r="U12" s="805" t="s">
        <v>1071</v>
      </c>
      <c r="V12" s="799"/>
      <c r="W12" s="805" t="s">
        <v>2569</v>
      </c>
      <c r="X12" s="799"/>
      <c r="Y12" s="1428"/>
      <c r="Z12" s="805" t="s">
        <v>1071</v>
      </c>
      <c r="AA12" s="799"/>
      <c r="AB12" s="805" t="s">
        <v>2569</v>
      </c>
      <c r="AC12" s="799"/>
      <c r="AD12" s="799"/>
      <c r="AE12" s="805" t="s">
        <v>1071</v>
      </c>
      <c r="AF12" s="799"/>
      <c r="AG12" s="805" t="s">
        <v>2569</v>
      </c>
      <c r="AH12" s="836"/>
    </row>
    <row r="13" spans="2:34" ht="24.8" customHeight="1" thickBot="1" x14ac:dyDescent="0.3">
      <c r="B13" s="819" t="s">
        <v>2570</v>
      </c>
      <c r="C13" s="820" t="s">
        <v>2571</v>
      </c>
      <c r="D13" s="821"/>
      <c r="E13" s="821"/>
      <c r="F13" s="820"/>
      <c r="G13" s="821"/>
      <c r="H13" s="820" t="s">
        <v>2571</v>
      </c>
      <c r="I13" s="821"/>
      <c r="J13" s="821"/>
      <c r="K13" s="820"/>
      <c r="L13" s="822"/>
      <c r="M13" s="841" t="s">
        <v>2571</v>
      </c>
      <c r="N13" s="799"/>
      <c r="O13" s="799"/>
      <c r="P13" s="799"/>
      <c r="Q13" s="1429"/>
      <c r="R13" s="820" t="s">
        <v>2571</v>
      </c>
      <c r="S13" s="799"/>
      <c r="T13" s="799"/>
      <c r="U13" s="820"/>
      <c r="V13" s="821"/>
      <c r="W13" s="820" t="s">
        <v>2571</v>
      </c>
      <c r="X13" s="799"/>
      <c r="Y13" s="1429"/>
      <c r="Z13" s="820"/>
      <c r="AA13" s="821"/>
      <c r="AB13" s="820" t="s">
        <v>2571</v>
      </c>
      <c r="AC13" s="799"/>
      <c r="AD13" s="799"/>
      <c r="AE13" s="820"/>
      <c r="AF13" s="821"/>
      <c r="AG13" s="820" t="s">
        <v>2571</v>
      </c>
      <c r="AH13" s="836"/>
    </row>
    <row r="14" spans="2:34" ht="14.3" x14ac:dyDescent="0.25">
      <c r="E14" s="789"/>
      <c r="F14" s="789"/>
      <c r="G14" s="789"/>
      <c r="H14" s="789"/>
      <c r="I14" s="789"/>
      <c r="M14" s="787"/>
    </row>
    <row r="15" spans="2:34" ht="14.95" customHeight="1" x14ac:dyDescent="0.25">
      <c r="C15" s="1437" t="s">
        <v>2573</v>
      </c>
      <c r="D15" s="1437"/>
      <c r="E15" s="1437"/>
      <c r="F15" s="823" t="s">
        <v>2595</v>
      </c>
      <c r="G15" s="827">
        <v>43678</v>
      </c>
    </row>
    <row r="16" spans="2:34" ht="14.95" customHeight="1" x14ac:dyDescent="0.25">
      <c r="B16" s="790"/>
      <c r="C16" s="1438" t="s">
        <v>2574</v>
      </c>
      <c r="D16" s="1438"/>
      <c r="E16" s="1438"/>
      <c r="F16" s="824" t="s">
        <v>2595</v>
      </c>
      <c r="G16" s="828">
        <v>43687</v>
      </c>
    </row>
    <row r="17" spans="2:34" ht="14.95" customHeight="1" x14ac:dyDescent="0.25">
      <c r="B17" s="790"/>
      <c r="C17" s="1439" t="s">
        <v>2575</v>
      </c>
      <c r="D17" s="1439"/>
      <c r="E17" s="1439"/>
      <c r="F17" s="825" t="s">
        <v>2595</v>
      </c>
      <c r="G17" s="829">
        <v>43678</v>
      </c>
    </row>
    <row r="18" spans="2:34" ht="14.95" customHeight="1" x14ac:dyDescent="0.25">
      <c r="B18" s="790"/>
      <c r="C18" s="1440" t="s">
        <v>2589</v>
      </c>
      <c r="D18" s="1440"/>
      <c r="E18" s="1440"/>
      <c r="F18" s="826" t="s">
        <v>2595</v>
      </c>
      <c r="G18" s="830">
        <v>43692</v>
      </c>
    </row>
    <row r="19" spans="2:34" s="791" customFormat="1" ht="14.95" customHeight="1" x14ac:dyDescent="0.25">
      <c r="B19" s="790"/>
      <c r="C19" s="803"/>
      <c r="D19" s="803"/>
      <c r="E19" s="803"/>
      <c r="F19" s="803"/>
      <c r="G19" s="803"/>
      <c r="AG19" s="838"/>
      <c r="AH19" s="838"/>
    </row>
    <row r="20" spans="2:34" ht="48.25" customHeight="1" x14ac:dyDescent="0.25">
      <c r="B20" s="1436" t="s">
        <v>2594</v>
      </c>
      <c r="C20" s="1436"/>
      <c r="D20" s="1436"/>
      <c r="E20" s="1436"/>
      <c r="F20" s="1436"/>
      <c r="G20" s="1436"/>
      <c r="H20" s="1436"/>
      <c r="I20" s="1436"/>
      <c r="J20" s="1436"/>
      <c r="K20" s="1436"/>
      <c r="L20" s="1436"/>
      <c r="M20" s="802"/>
    </row>
    <row r="25" spans="2:34" ht="15.8" customHeight="1" x14ac:dyDescent="0.25"/>
    <row r="26" spans="2:34" ht="15.8" customHeight="1" x14ac:dyDescent="0.25"/>
    <row r="27" spans="2:34" ht="15.8" customHeight="1" x14ac:dyDescent="0.25"/>
    <row r="28" spans="2:34" ht="15.8" customHeight="1" x14ac:dyDescent="0.25"/>
    <row r="29" spans="2:34" ht="15.8" customHeight="1" x14ac:dyDescent="0.25"/>
    <row r="30" spans="2:34" ht="15.8" customHeight="1" x14ac:dyDescent="0.25"/>
    <row r="31" spans="2:34" ht="15.8" customHeight="1" x14ac:dyDescent="0.25"/>
    <row r="32" spans="2:34" ht="15.8" customHeight="1" x14ac:dyDescent="0.25"/>
    <row r="33" ht="15.8" customHeight="1" x14ac:dyDescent="0.25"/>
    <row r="34" ht="15.8" customHeight="1" x14ac:dyDescent="0.25"/>
    <row r="35" ht="15.8" customHeight="1" x14ac:dyDescent="0.25"/>
    <row r="36" ht="15.8" customHeight="1" x14ac:dyDescent="0.25"/>
    <row r="37" ht="15.8" customHeight="1" x14ac:dyDescent="0.25"/>
    <row r="38" ht="15.8" customHeight="1" x14ac:dyDescent="0.25"/>
    <row r="39" ht="15.8" customHeight="1" x14ac:dyDescent="0.25"/>
    <row r="40" ht="15.8" customHeight="1" x14ac:dyDescent="0.25"/>
    <row r="41" ht="15.8" customHeight="1" x14ac:dyDescent="0.25"/>
    <row r="42" ht="15.8" customHeight="1" x14ac:dyDescent="0.25"/>
    <row r="43" ht="15.8" customHeight="1" x14ac:dyDescent="0.25"/>
    <row r="44" ht="15.8" customHeight="1" x14ac:dyDescent="0.25"/>
    <row r="45" ht="15.8" customHeight="1" x14ac:dyDescent="0.25"/>
    <row r="46" ht="15.8" customHeight="1" x14ac:dyDescent="0.25"/>
    <row r="47" ht="15.8" customHeight="1" x14ac:dyDescent="0.25"/>
    <row r="48" ht="15.8" customHeight="1" x14ac:dyDescent="0.25"/>
    <row r="49" ht="15.8" customHeight="1" x14ac:dyDescent="0.25"/>
    <row r="50" ht="15.8" customHeight="1" x14ac:dyDescent="0.25"/>
    <row r="51" ht="15.8" customHeight="1" x14ac:dyDescent="0.25"/>
    <row r="52" ht="15.8" customHeight="1" x14ac:dyDescent="0.25"/>
    <row r="53" ht="15.8" customHeight="1" x14ac:dyDescent="0.25"/>
    <row r="54" ht="15.8" customHeight="1" x14ac:dyDescent="0.25"/>
    <row r="55" ht="15.8" customHeight="1" x14ac:dyDescent="0.25"/>
    <row r="56" ht="15.8" customHeight="1" x14ac:dyDescent="0.25"/>
    <row r="57" ht="15.8" customHeight="1" x14ac:dyDescent="0.25"/>
    <row r="58" ht="15.8" customHeight="1" x14ac:dyDescent="0.25"/>
    <row r="59" ht="15.8" customHeight="1" x14ac:dyDescent="0.25"/>
    <row r="60" ht="15.8" customHeight="1" x14ac:dyDescent="0.25"/>
    <row r="61" ht="15.8" customHeight="1" x14ac:dyDescent="0.25"/>
    <row r="62" ht="15.8" customHeight="1" x14ac:dyDescent="0.25"/>
    <row r="63" ht="15.8" customHeight="1" x14ac:dyDescent="0.25"/>
    <row r="64" ht="15.8" customHeight="1" x14ac:dyDescent="0.25"/>
    <row r="65" ht="15.8" customHeight="1" x14ac:dyDescent="0.25"/>
    <row r="66" ht="15.8" customHeight="1" x14ac:dyDescent="0.25"/>
    <row r="67" ht="15.8" customHeight="1" x14ac:dyDescent="0.25"/>
    <row r="68" ht="15.8" customHeight="1" x14ac:dyDescent="0.25"/>
    <row r="69" ht="15.8" customHeight="1" x14ac:dyDescent="0.25"/>
    <row r="70" ht="15.8" customHeight="1" x14ac:dyDescent="0.25"/>
    <row r="71" ht="15.8" customHeight="1" x14ac:dyDescent="0.25"/>
    <row r="72" ht="15.8" customHeight="1" x14ac:dyDescent="0.25"/>
    <row r="73" ht="15.8" customHeight="1" x14ac:dyDescent="0.25"/>
    <row r="74" ht="15.8" customHeight="1" x14ac:dyDescent="0.25"/>
    <row r="75" ht="15.8" customHeight="1" x14ac:dyDescent="0.25"/>
    <row r="76" ht="15.8" customHeight="1" x14ac:dyDescent="0.25"/>
    <row r="77" ht="15.8" customHeight="1" x14ac:dyDescent="0.25"/>
    <row r="78" ht="15.8" customHeight="1" x14ac:dyDescent="0.25"/>
    <row r="79" ht="15.8" customHeight="1" x14ac:dyDescent="0.25"/>
    <row r="80" ht="15.8" customHeight="1" x14ac:dyDescent="0.25"/>
    <row r="81" ht="15.8" customHeight="1" x14ac:dyDescent="0.25"/>
    <row r="82" ht="15.8" customHeight="1" x14ac:dyDescent="0.25"/>
    <row r="83" ht="15.8" customHeight="1" x14ac:dyDescent="0.25"/>
    <row r="84" ht="15.8" customHeight="1" x14ac:dyDescent="0.25"/>
    <row r="85" ht="15.8" customHeight="1" x14ac:dyDescent="0.25"/>
    <row r="86" ht="15.8" customHeight="1" x14ac:dyDescent="0.25"/>
    <row r="87" ht="15.8" customHeight="1" x14ac:dyDescent="0.25"/>
    <row r="88" ht="15.8" customHeight="1" x14ac:dyDescent="0.25"/>
    <row r="89" ht="15.8" customHeight="1" x14ac:dyDescent="0.25"/>
    <row r="90" ht="15.8" customHeight="1" x14ac:dyDescent="0.25"/>
    <row r="91" ht="15.8" customHeight="1" x14ac:dyDescent="0.25"/>
    <row r="92" ht="15.8" customHeight="1" x14ac:dyDescent="0.25"/>
    <row r="93" ht="15.8" customHeight="1" x14ac:dyDescent="0.25"/>
    <row r="94" ht="15.8" customHeight="1" x14ac:dyDescent="0.25"/>
    <row r="95" ht="15.8" customHeight="1" x14ac:dyDescent="0.25"/>
    <row r="96" ht="15.8" customHeight="1" x14ac:dyDescent="0.25"/>
    <row r="97" ht="15.8" customHeight="1" x14ac:dyDescent="0.25"/>
    <row r="98" ht="15.8" customHeight="1" x14ac:dyDescent="0.25"/>
    <row r="99" ht="15.8" customHeight="1" x14ac:dyDescent="0.25"/>
    <row r="100" ht="15.8" customHeight="1" x14ac:dyDescent="0.25"/>
    <row r="101" ht="15.8" customHeight="1" x14ac:dyDescent="0.25"/>
    <row r="102" ht="15.8" customHeight="1" x14ac:dyDescent="0.25"/>
    <row r="103" ht="15.8" customHeight="1" x14ac:dyDescent="0.25"/>
    <row r="104" ht="15.8" customHeight="1" x14ac:dyDescent="0.25"/>
    <row r="105" ht="15.8" customHeight="1" x14ac:dyDescent="0.25"/>
    <row r="106" ht="15.8" customHeight="1" x14ac:dyDescent="0.25"/>
    <row r="107" ht="15.8" customHeight="1" x14ac:dyDescent="0.25"/>
    <row r="108" ht="15.8" customHeight="1" x14ac:dyDescent="0.25"/>
    <row r="109" ht="15.8" customHeight="1" x14ac:dyDescent="0.25"/>
    <row r="110" ht="15.8" customHeight="1" x14ac:dyDescent="0.25"/>
    <row r="111" ht="15.8" customHeight="1" x14ac:dyDescent="0.25"/>
    <row r="112" ht="15.8" customHeight="1" x14ac:dyDescent="0.25"/>
    <row r="113" ht="15.8" customHeight="1" x14ac:dyDescent="0.25"/>
    <row r="114" ht="15.8" customHeight="1" x14ac:dyDescent="0.25"/>
    <row r="115" ht="15.8" customHeight="1" x14ac:dyDescent="0.25"/>
    <row r="116" ht="15.8" customHeight="1" x14ac:dyDescent="0.25"/>
    <row r="117" ht="15.8" customHeight="1" x14ac:dyDescent="0.25"/>
    <row r="118" ht="15.8" customHeight="1" x14ac:dyDescent="0.25"/>
    <row r="119" ht="15.8" customHeight="1" x14ac:dyDescent="0.25"/>
    <row r="120" ht="15.8" customHeight="1" x14ac:dyDescent="0.25"/>
    <row r="121" ht="15.8" customHeight="1" x14ac:dyDescent="0.25"/>
    <row r="122" ht="15.8" customHeight="1" x14ac:dyDescent="0.25"/>
    <row r="123" ht="15.8" customHeight="1" x14ac:dyDescent="0.25"/>
    <row r="124" ht="15.8" customHeight="1" x14ac:dyDescent="0.25"/>
    <row r="125" ht="15.8" customHeight="1" x14ac:dyDescent="0.25"/>
    <row r="126" ht="15.8" customHeight="1" x14ac:dyDescent="0.25"/>
    <row r="127" ht="15.8" customHeight="1" x14ac:dyDescent="0.25"/>
    <row r="128" ht="15.8" customHeight="1" x14ac:dyDescent="0.25"/>
    <row r="129" ht="15.8" customHeight="1" x14ac:dyDescent="0.25"/>
    <row r="130" ht="15.8" customHeight="1" x14ac:dyDescent="0.25"/>
    <row r="131" ht="15.8" customHeight="1" x14ac:dyDescent="0.25"/>
    <row r="132" ht="15.8" customHeight="1" x14ac:dyDescent="0.25"/>
    <row r="133" ht="15.8" customHeight="1" x14ac:dyDescent="0.25"/>
    <row r="134" ht="15.8" customHeight="1" x14ac:dyDescent="0.25"/>
    <row r="135" ht="15.8" customHeight="1" x14ac:dyDescent="0.25"/>
    <row r="136" ht="15.8" customHeight="1" x14ac:dyDescent="0.25"/>
    <row r="137" ht="15.8" customHeight="1" x14ac:dyDescent="0.25"/>
    <row r="138" ht="15.8" customHeight="1" x14ac:dyDescent="0.25"/>
    <row r="139" ht="15.8" customHeight="1" x14ac:dyDescent="0.25"/>
    <row r="140" ht="15.8" customHeight="1" x14ac:dyDescent="0.25"/>
    <row r="141" ht="15.8" customHeight="1" x14ac:dyDescent="0.25"/>
    <row r="142" ht="15.8" customHeight="1" x14ac:dyDescent="0.25"/>
    <row r="143" ht="15.8" customHeight="1" x14ac:dyDescent="0.25"/>
    <row r="144" ht="15.8" customHeight="1" x14ac:dyDescent="0.25"/>
    <row r="145" ht="15.8" customHeight="1" x14ac:dyDescent="0.25"/>
    <row r="146" ht="15.8" customHeight="1" x14ac:dyDescent="0.25"/>
    <row r="147" ht="15.8" customHeight="1" x14ac:dyDescent="0.25"/>
    <row r="148" ht="15.8" customHeight="1" x14ac:dyDescent="0.25"/>
    <row r="149" ht="15.8" customHeight="1" x14ac:dyDescent="0.25"/>
    <row r="150" ht="15.8" customHeight="1" x14ac:dyDescent="0.25"/>
    <row r="151" ht="15.8" customHeight="1" x14ac:dyDescent="0.25"/>
    <row r="152" ht="15.8" customHeight="1" x14ac:dyDescent="0.25"/>
    <row r="153" ht="15.8" customHeight="1" x14ac:dyDescent="0.25"/>
    <row r="154" ht="15.8" customHeight="1" x14ac:dyDescent="0.25"/>
    <row r="155" ht="15.8" customHeight="1" x14ac:dyDescent="0.25"/>
    <row r="156" ht="15.8" customHeight="1" x14ac:dyDescent="0.25"/>
    <row r="157" ht="15.8" customHeight="1" x14ac:dyDescent="0.25"/>
    <row r="158" ht="15.8" customHeight="1" x14ac:dyDescent="0.25"/>
    <row r="159" ht="15.8" customHeight="1" x14ac:dyDescent="0.25"/>
    <row r="160" ht="15.8" customHeight="1" x14ac:dyDescent="0.25"/>
    <row r="161" ht="15.8" customHeight="1" x14ac:dyDescent="0.25"/>
    <row r="162" ht="15.8" customHeight="1" x14ac:dyDescent="0.25"/>
    <row r="163" ht="15.8" customHeight="1" x14ac:dyDescent="0.25"/>
    <row r="164" ht="15.8" customHeight="1" x14ac:dyDescent="0.25"/>
    <row r="165" ht="15.8" customHeight="1" x14ac:dyDescent="0.25"/>
    <row r="166" ht="15.8" customHeight="1" x14ac:dyDescent="0.25"/>
    <row r="167" ht="15.8" customHeight="1" x14ac:dyDescent="0.25"/>
    <row r="168" ht="15.8" customHeight="1" x14ac:dyDescent="0.25"/>
    <row r="169" ht="15.8" customHeight="1" x14ac:dyDescent="0.25"/>
    <row r="170" ht="15.8" customHeight="1" x14ac:dyDescent="0.25"/>
    <row r="171" ht="15.8" customHeight="1" x14ac:dyDescent="0.25"/>
    <row r="172" ht="15.8" customHeight="1" x14ac:dyDescent="0.25"/>
    <row r="173" ht="15.8" customHeight="1" x14ac:dyDescent="0.25"/>
    <row r="174" ht="15.8" customHeight="1" x14ac:dyDescent="0.25"/>
    <row r="175" ht="15.8" customHeight="1" x14ac:dyDescent="0.25"/>
    <row r="176" ht="15.8" customHeight="1" x14ac:dyDescent="0.25"/>
    <row r="177" ht="15.8" customHeight="1" x14ac:dyDescent="0.25"/>
    <row r="178" ht="15.8" customHeight="1" x14ac:dyDescent="0.25"/>
    <row r="179" ht="15.8" customHeight="1" x14ac:dyDescent="0.25"/>
    <row r="180" ht="15.8" customHeight="1" x14ac:dyDescent="0.25"/>
    <row r="181" ht="15.8" customHeight="1" x14ac:dyDescent="0.25"/>
    <row r="182" ht="15.8" customHeight="1" x14ac:dyDescent="0.25"/>
    <row r="183" ht="15.8" customHeight="1" x14ac:dyDescent="0.25"/>
    <row r="184" ht="15.8" customHeight="1" x14ac:dyDescent="0.25"/>
    <row r="185" ht="15.8" customHeight="1" x14ac:dyDescent="0.25"/>
    <row r="186" ht="15.8" customHeight="1" x14ac:dyDescent="0.25"/>
    <row r="187" ht="15.8" customHeight="1" x14ac:dyDescent="0.25"/>
    <row r="188" ht="15.8" customHeight="1" x14ac:dyDescent="0.25"/>
    <row r="189" ht="15.8" customHeight="1" x14ac:dyDescent="0.25"/>
    <row r="190" ht="15.8" customHeight="1" x14ac:dyDescent="0.25"/>
    <row r="191" ht="15.8" customHeight="1" x14ac:dyDescent="0.25"/>
    <row r="192" ht="15.8" customHeight="1" x14ac:dyDescent="0.25"/>
    <row r="193" ht="15.8" customHeight="1" x14ac:dyDescent="0.25"/>
    <row r="194" ht="15.8" customHeight="1" x14ac:dyDescent="0.25"/>
    <row r="195" ht="15.8" customHeight="1" x14ac:dyDescent="0.25"/>
    <row r="196" ht="15.8" customHeight="1" x14ac:dyDescent="0.25"/>
    <row r="197" ht="15.8" customHeight="1" x14ac:dyDescent="0.25"/>
    <row r="198" ht="15.8" customHeight="1" x14ac:dyDescent="0.25"/>
    <row r="199" ht="15.8" customHeight="1" x14ac:dyDescent="0.25"/>
    <row r="200" ht="15.8" customHeight="1" x14ac:dyDescent="0.25"/>
    <row r="201" ht="15.8" customHeight="1" x14ac:dyDescent="0.25"/>
    <row r="202" ht="15.8" customHeight="1" x14ac:dyDescent="0.25"/>
    <row r="203" ht="15.8" customHeight="1" x14ac:dyDescent="0.25"/>
    <row r="204" ht="15.8" customHeight="1" x14ac:dyDescent="0.25"/>
    <row r="205" ht="15.8" customHeight="1" x14ac:dyDescent="0.25"/>
    <row r="206" ht="15.8" customHeight="1" x14ac:dyDescent="0.25"/>
    <row r="207" ht="15.8" customHeight="1" x14ac:dyDescent="0.25"/>
    <row r="208" ht="15.8" customHeight="1" x14ac:dyDescent="0.25"/>
    <row r="209" ht="15.8" customHeight="1" x14ac:dyDescent="0.25"/>
    <row r="210" ht="15.8" customHeight="1" x14ac:dyDescent="0.25"/>
    <row r="211" ht="15.8" customHeight="1" x14ac:dyDescent="0.25"/>
    <row r="212" ht="15.8" customHeight="1" x14ac:dyDescent="0.25"/>
    <row r="213" ht="15.8" customHeight="1" x14ac:dyDescent="0.25"/>
    <row r="214" ht="15.8" customHeight="1" x14ac:dyDescent="0.25"/>
    <row r="215" ht="15.8" customHeight="1" x14ac:dyDescent="0.25"/>
    <row r="216" ht="15.8" customHeight="1" x14ac:dyDescent="0.25"/>
    <row r="217" ht="15.8" customHeight="1" x14ac:dyDescent="0.25"/>
    <row r="218" ht="15.8" customHeight="1" x14ac:dyDescent="0.25"/>
    <row r="219" ht="15.8" customHeight="1" x14ac:dyDescent="0.25"/>
    <row r="220" ht="15.8" customHeight="1" x14ac:dyDescent="0.25"/>
    <row r="221" ht="15.8" customHeight="1" x14ac:dyDescent="0.25"/>
    <row r="222" ht="15.8" customHeight="1" x14ac:dyDescent="0.25"/>
    <row r="223" ht="15.8" customHeight="1" x14ac:dyDescent="0.25"/>
    <row r="224" ht="15.8" customHeight="1" x14ac:dyDescent="0.25"/>
    <row r="225" ht="15.8" customHeight="1" x14ac:dyDescent="0.25"/>
  </sheetData>
  <mergeCells count="17">
    <mergeCell ref="AD7:AH7"/>
    <mergeCell ref="M6:N6"/>
    <mergeCell ref="O6:S6"/>
    <mergeCell ref="T6:X6"/>
    <mergeCell ref="M7:N7"/>
    <mergeCell ref="B6:L6"/>
    <mergeCell ref="B20:L20"/>
    <mergeCell ref="C15:E15"/>
    <mergeCell ref="C16:E16"/>
    <mergeCell ref="C17:E17"/>
    <mergeCell ref="C18:E18"/>
    <mergeCell ref="Y11:Y13"/>
    <mergeCell ref="O7:S7"/>
    <mergeCell ref="T7:X7"/>
    <mergeCell ref="Y7:AC7"/>
    <mergeCell ref="B7:L7"/>
    <mergeCell ref="Q11:Q13"/>
  </mergeCells>
  <pageMargins left="0.25" right="0.25" top="0.75" bottom="0.75" header="0.3" footer="0.3"/>
  <pageSetup paperSize="9" scale="36" fitToHeight="0"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CCC"/>
  </sheetPr>
  <dimension ref="A1:U129"/>
  <sheetViews>
    <sheetView topLeftCell="A106" workbookViewId="0">
      <selection activeCell="C111" sqref="C111:C112"/>
    </sheetView>
  </sheetViews>
  <sheetFormatPr baseColWidth="10" defaultRowHeight="14.3" x14ac:dyDescent="0.25"/>
  <sheetData>
    <row r="1" spans="1:19" s="292" customFormat="1" ht="39.4" customHeight="1" x14ac:dyDescent="0.25">
      <c r="A1" s="288"/>
      <c r="B1" s="289" t="s">
        <v>1687</v>
      </c>
      <c r="C1" s="289" t="s">
        <v>1688</v>
      </c>
      <c r="D1" s="289" t="s">
        <v>348</v>
      </c>
      <c r="E1" s="586">
        <v>25784560</v>
      </c>
      <c r="F1" s="289" t="s">
        <v>349</v>
      </c>
      <c r="G1" s="289" t="s">
        <v>486</v>
      </c>
      <c r="H1" s="289" t="s">
        <v>1689</v>
      </c>
      <c r="I1" s="289" t="s">
        <v>1690</v>
      </c>
      <c r="J1" s="290">
        <v>43578</v>
      </c>
      <c r="K1" s="290">
        <v>43579</v>
      </c>
      <c r="L1" s="290">
        <v>43639</v>
      </c>
      <c r="M1" s="291">
        <v>20</v>
      </c>
      <c r="N1" s="291" t="s">
        <v>4</v>
      </c>
      <c r="O1" s="291">
        <v>40</v>
      </c>
      <c r="P1" s="289" t="s">
        <v>1691</v>
      </c>
      <c r="Q1" s="291"/>
    </row>
    <row r="2" spans="1:19" s="4" customFormat="1" ht="30.1" customHeight="1" x14ac:dyDescent="0.25">
      <c r="A2" s="111">
        <v>19</v>
      </c>
      <c r="B2" s="33" t="s">
        <v>1168</v>
      </c>
      <c r="C2" s="33" t="s">
        <v>1169</v>
      </c>
      <c r="D2" s="112" t="s">
        <v>348</v>
      </c>
      <c r="E2" s="113">
        <v>26753866</v>
      </c>
      <c r="F2" s="112" t="s">
        <v>362</v>
      </c>
      <c r="G2" s="112" t="s">
        <v>1170</v>
      </c>
      <c r="H2" s="112" t="s">
        <v>1171</v>
      </c>
      <c r="I2" s="142" t="s">
        <v>1172</v>
      </c>
      <c r="J2" s="110">
        <v>43532</v>
      </c>
      <c r="K2" s="110">
        <v>43535</v>
      </c>
      <c r="L2" s="245">
        <v>43565</v>
      </c>
      <c r="M2" s="112">
        <v>30</v>
      </c>
      <c r="N2" s="112" t="s">
        <v>4</v>
      </c>
      <c r="O2" s="112">
        <v>30</v>
      </c>
      <c r="P2" s="112"/>
      <c r="Q2" s="112"/>
    </row>
    <row r="4" spans="1:19" s="7" customFormat="1" ht="30.1" customHeight="1" x14ac:dyDescent="0.25">
      <c r="A4" s="55">
        <v>14</v>
      </c>
      <c r="B4" s="56" t="s">
        <v>1207</v>
      </c>
      <c r="C4" s="56" t="s">
        <v>1208</v>
      </c>
      <c r="D4" s="56" t="s">
        <v>348</v>
      </c>
      <c r="E4" s="23">
        <v>32270528</v>
      </c>
      <c r="F4" s="89" t="s">
        <v>362</v>
      </c>
      <c r="G4" s="56" t="s">
        <v>494</v>
      </c>
      <c r="H4" s="96" t="s">
        <v>20</v>
      </c>
      <c r="I4" s="56" t="s">
        <v>1209</v>
      </c>
      <c r="J4" s="159" t="s">
        <v>1210</v>
      </c>
      <c r="K4" s="57">
        <v>43536</v>
      </c>
      <c r="L4" s="57">
        <v>43537</v>
      </c>
      <c r="M4" s="132">
        <v>43568</v>
      </c>
      <c r="N4" s="56">
        <v>30</v>
      </c>
      <c r="O4" s="56" t="s">
        <v>4</v>
      </c>
      <c r="P4" s="56">
        <v>30</v>
      </c>
      <c r="Q4" s="56" t="s">
        <v>6</v>
      </c>
      <c r="R4" s="56"/>
      <c r="S4" s="21"/>
    </row>
    <row r="5" spans="1:19" s="164" customFormat="1" ht="30.1" customHeight="1" x14ac:dyDescent="0.25">
      <c r="A5" s="1078">
        <v>17</v>
      </c>
      <c r="B5" s="1500" t="s">
        <v>1189</v>
      </c>
      <c r="C5" s="1500" t="s">
        <v>1190</v>
      </c>
      <c r="D5" s="1086" t="s">
        <v>348</v>
      </c>
      <c r="E5" s="1502">
        <v>25769247</v>
      </c>
      <c r="F5" s="168" t="s">
        <v>835</v>
      </c>
      <c r="G5" s="1086" t="s">
        <v>1007</v>
      </c>
      <c r="H5" s="1086" t="s">
        <v>1191</v>
      </c>
      <c r="I5" s="1086">
        <v>3003196699</v>
      </c>
      <c r="J5" s="1090">
        <v>43551</v>
      </c>
      <c r="K5" s="1090">
        <v>43552</v>
      </c>
      <c r="L5" s="1090">
        <v>43560</v>
      </c>
      <c r="M5" s="163">
        <v>15</v>
      </c>
      <c r="N5" s="163" t="s">
        <v>5</v>
      </c>
      <c r="O5" s="163">
        <v>15</v>
      </c>
      <c r="P5" s="163" t="s">
        <v>1238</v>
      </c>
      <c r="Q5" s="162"/>
    </row>
    <row r="6" spans="1:19" s="4" customFormat="1" ht="30.1" customHeight="1" x14ac:dyDescent="0.25">
      <c r="A6" s="1080"/>
      <c r="B6" s="1501"/>
      <c r="C6" s="1501"/>
      <c r="D6" s="1087"/>
      <c r="E6" s="1503"/>
      <c r="F6" s="168" t="s">
        <v>835</v>
      </c>
      <c r="G6" s="1087"/>
      <c r="H6" s="1087"/>
      <c r="I6" s="1087"/>
      <c r="J6" s="1091"/>
      <c r="K6" s="1091"/>
      <c r="L6" s="1091"/>
      <c r="M6" s="112">
        <v>15</v>
      </c>
      <c r="N6" s="112" t="s">
        <v>4</v>
      </c>
      <c r="O6" s="112">
        <v>15</v>
      </c>
      <c r="P6" s="112"/>
      <c r="Q6" s="112"/>
    </row>
    <row r="8" spans="1:19" s="4" customFormat="1" ht="30.1" customHeight="1" x14ac:dyDescent="0.25">
      <c r="A8" s="111">
        <v>20</v>
      </c>
      <c r="B8" s="33" t="s">
        <v>1218</v>
      </c>
      <c r="C8" s="33" t="s">
        <v>1219</v>
      </c>
      <c r="D8" s="112" t="s">
        <v>348</v>
      </c>
      <c r="E8" s="113">
        <v>25760217</v>
      </c>
      <c r="F8" s="112" t="s">
        <v>906</v>
      </c>
      <c r="G8" s="112" t="s">
        <v>1220</v>
      </c>
      <c r="H8" s="161" t="s">
        <v>1221</v>
      </c>
      <c r="I8" s="112">
        <v>3003180512</v>
      </c>
      <c r="J8" s="110">
        <v>43538</v>
      </c>
      <c r="K8" s="110">
        <v>43539</v>
      </c>
      <c r="L8" s="110">
        <v>43569</v>
      </c>
      <c r="M8" s="112">
        <v>20</v>
      </c>
      <c r="N8" s="112" t="s">
        <v>4</v>
      </c>
      <c r="O8" s="112">
        <v>20</v>
      </c>
      <c r="P8" s="112"/>
      <c r="Q8" s="112"/>
    </row>
    <row r="9" spans="1:19" s="4" customFormat="1" ht="30.1" customHeight="1" x14ac:dyDescent="0.25">
      <c r="A9" s="175">
        <v>27</v>
      </c>
      <c r="B9" s="33" t="s">
        <v>1341</v>
      </c>
      <c r="C9" s="33" t="s">
        <v>1342</v>
      </c>
      <c r="D9" s="176" t="s">
        <v>348</v>
      </c>
      <c r="E9" s="177"/>
      <c r="F9" s="176" t="s">
        <v>362</v>
      </c>
      <c r="G9" s="176" t="s">
        <v>1220</v>
      </c>
      <c r="H9" s="176" t="s">
        <v>1343</v>
      </c>
      <c r="I9" s="176">
        <v>3205222273</v>
      </c>
      <c r="J9" s="178">
        <v>43553</v>
      </c>
      <c r="K9" s="178">
        <v>43554</v>
      </c>
      <c r="L9" s="178">
        <v>43564</v>
      </c>
      <c r="M9" s="176">
        <v>10</v>
      </c>
      <c r="N9" s="176" t="s">
        <v>4</v>
      </c>
      <c r="O9" s="176">
        <v>10</v>
      </c>
      <c r="P9" s="176"/>
      <c r="Q9" s="176"/>
    </row>
    <row r="10" spans="1:19" s="4" customFormat="1" ht="30.1" customHeight="1" x14ac:dyDescent="0.25">
      <c r="A10" s="226">
        <v>35</v>
      </c>
      <c r="B10" s="228" t="s">
        <v>1482</v>
      </c>
      <c r="C10" s="228" t="s">
        <v>1483</v>
      </c>
      <c r="D10" s="225" t="s">
        <v>356</v>
      </c>
      <c r="E10" s="227">
        <v>1062536454</v>
      </c>
      <c r="F10" s="225" t="s">
        <v>362</v>
      </c>
      <c r="G10" s="225" t="s">
        <v>1484</v>
      </c>
      <c r="H10" s="225" t="s">
        <v>1485</v>
      </c>
      <c r="I10" s="225" t="s">
        <v>1486</v>
      </c>
      <c r="J10" s="224">
        <v>43565</v>
      </c>
      <c r="K10" s="224">
        <v>43565</v>
      </c>
      <c r="L10" s="224">
        <v>43568</v>
      </c>
      <c r="M10" s="225">
        <v>9</v>
      </c>
      <c r="N10" s="225" t="s">
        <v>5</v>
      </c>
      <c r="O10" s="225">
        <v>9</v>
      </c>
      <c r="P10" s="225" t="s">
        <v>1487</v>
      </c>
      <c r="Q10" s="225"/>
    </row>
    <row r="11" spans="1:19" s="4" customFormat="1" ht="30.1" customHeight="1" x14ac:dyDescent="0.25">
      <c r="A11" s="226">
        <v>38</v>
      </c>
      <c r="B11" s="228" t="s">
        <v>1148</v>
      </c>
      <c r="C11" s="228" t="s">
        <v>1555</v>
      </c>
      <c r="D11" s="225" t="s">
        <v>348</v>
      </c>
      <c r="E11" s="227">
        <v>22274410</v>
      </c>
      <c r="F11" s="225" t="s">
        <v>906</v>
      </c>
      <c r="G11" s="225" t="s">
        <v>480</v>
      </c>
      <c r="H11" s="225" t="s">
        <v>1556</v>
      </c>
      <c r="I11" s="225" t="s">
        <v>1557</v>
      </c>
      <c r="J11" s="224">
        <v>43570</v>
      </c>
      <c r="K11" s="224">
        <v>43570</v>
      </c>
      <c r="L11" s="224">
        <v>43576</v>
      </c>
      <c r="M11" s="225">
        <v>24</v>
      </c>
      <c r="N11" s="225" t="s">
        <v>5</v>
      </c>
      <c r="O11" s="225">
        <v>24</v>
      </c>
      <c r="P11" s="225" t="s">
        <v>1558</v>
      </c>
      <c r="Q11" s="225"/>
    </row>
    <row r="12" spans="1:19" s="4" customFormat="1" ht="30.1" customHeight="1" x14ac:dyDescent="0.25">
      <c r="A12" s="274">
        <v>41</v>
      </c>
      <c r="B12" s="275" t="s">
        <v>1623</v>
      </c>
      <c r="C12" s="275" t="s">
        <v>1624</v>
      </c>
      <c r="D12" s="273" t="s">
        <v>348</v>
      </c>
      <c r="E12" s="276">
        <v>34961299</v>
      </c>
      <c r="F12" s="273" t="s">
        <v>362</v>
      </c>
      <c r="G12" s="273" t="s">
        <v>1625</v>
      </c>
      <c r="H12" s="273" t="s">
        <v>1626</v>
      </c>
      <c r="I12" s="273" t="s">
        <v>1627</v>
      </c>
      <c r="J12" s="272">
        <v>43572</v>
      </c>
      <c r="K12" s="272">
        <v>43572</v>
      </c>
      <c r="L12" s="272">
        <v>43579</v>
      </c>
      <c r="M12" s="273">
        <v>14</v>
      </c>
      <c r="N12" s="273" t="s">
        <v>5</v>
      </c>
      <c r="O12" s="273">
        <v>14</v>
      </c>
      <c r="P12" s="273" t="s">
        <v>1336</v>
      </c>
      <c r="Q12" s="273" t="s">
        <v>1669</v>
      </c>
    </row>
    <row r="13" spans="1:19" s="7" customFormat="1" ht="30.1" customHeight="1" x14ac:dyDescent="0.25">
      <c r="A13" s="55">
        <v>20</v>
      </c>
      <c r="B13" s="56" t="s">
        <v>1312</v>
      </c>
      <c r="C13" s="56" t="s">
        <v>1313</v>
      </c>
      <c r="D13" s="56" t="s">
        <v>348</v>
      </c>
      <c r="E13" s="23">
        <v>2721146</v>
      </c>
      <c r="F13" s="89" t="s">
        <v>362</v>
      </c>
      <c r="G13" s="56" t="s">
        <v>1007</v>
      </c>
      <c r="H13" s="96" t="s">
        <v>20</v>
      </c>
      <c r="I13" s="56" t="s">
        <v>1314</v>
      </c>
      <c r="J13" s="56">
        <v>3134047173</v>
      </c>
      <c r="K13" s="57">
        <v>43550</v>
      </c>
      <c r="L13" s="57">
        <v>43550</v>
      </c>
      <c r="M13" s="57">
        <v>43565</v>
      </c>
      <c r="N13" s="56">
        <v>15</v>
      </c>
      <c r="O13" s="56" t="s">
        <v>5</v>
      </c>
      <c r="P13" s="56">
        <v>15</v>
      </c>
      <c r="Q13" s="56" t="s">
        <v>6</v>
      </c>
      <c r="R13" s="56" t="s">
        <v>1315</v>
      </c>
      <c r="S13" s="21"/>
    </row>
    <row r="14" spans="1:19" s="7" customFormat="1" ht="30.1" customHeight="1" x14ac:dyDescent="0.25">
      <c r="A14" s="1346">
        <v>24</v>
      </c>
      <c r="B14" s="1488" t="s">
        <v>1183</v>
      </c>
      <c r="C14" s="1488" t="s">
        <v>1441</v>
      </c>
      <c r="D14" s="1488" t="s">
        <v>348</v>
      </c>
      <c r="E14" s="1491">
        <v>25769010</v>
      </c>
      <c r="F14" s="255" t="s">
        <v>362</v>
      </c>
      <c r="G14" s="1488" t="s">
        <v>1442</v>
      </c>
      <c r="H14" s="255" t="s">
        <v>9</v>
      </c>
      <c r="I14" s="1488" t="s">
        <v>981</v>
      </c>
      <c r="J14" s="1497">
        <v>3103611696</v>
      </c>
      <c r="K14" s="1494">
        <v>43560</v>
      </c>
      <c r="L14" s="1494">
        <v>43563</v>
      </c>
      <c r="M14" s="1494">
        <v>43745</v>
      </c>
      <c r="N14" s="255">
        <v>20</v>
      </c>
      <c r="O14" s="255" t="s">
        <v>4</v>
      </c>
      <c r="P14" s="255">
        <v>120</v>
      </c>
      <c r="Q14" s="255" t="s">
        <v>7</v>
      </c>
      <c r="R14" s="1488" t="s">
        <v>541</v>
      </c>
      <c r="S14" s="1485" t="s">
        <v>1612</v>
      </c>
    </row>
    <row r="15" spans="1:19" s="7" customFormat="1" ht="30.1" customHeight="1" x14ac:dyDescent="0.25">
      <c r="A15" s="1347"/>
      <c r="B15" s="1489"/>
      <c r="C15" s="1489"/>
      <c r="D15" s="1489"/>
      <c r="E15" s="1492"/>
      <c r="F15" s="255" t="s">
        <v>362</v>
      </c>
      <c r="G15" s="1489"/>
      <c r="H15" s="255" t="s">
        <v>9</v>
      </c>
      <c r="I15" s="1489"/>
      <c r="J15" s="1498"/>
      <c r="K15" s="1495"/>
      <c r="L15" s="1495"/>
      <c r="M15" s="1495"/>
      <c r="N15" s="255">
        <v>20</v>
      </c>
      <c r="O15" s="255" t="s">
        <v>8</v>
      </c>
      <c r="P15" s="255">
        <v>120</v>
      </c>
      <c r="Q15" s="255" t="s">
        <v>381</v>
      </c>
      <c r="R15" s="1489"/>
      <c r="S15" s="1486"/>
    </row>
    <row r="16" spans="1:19" s="7" customFormat="1" ht="30.1" customHeight="1" x14ac:dyDescent="0.25">
      <c r="A16" s="1348"/>
      <c r="B16" s="1490"/>
      <c r="C16" s="1490"/>
      <c r="D16" s="1490"/>
      <c r="E16" s="1493"/>
      <c r="F16" s="255" t="s">
        <v>362</v>
      </c>
      <c r="G16" s="1490"/>
      <c r="H16" s="255" t="s">
        <v>9</v>
      </c>
      <c r="I16" s="1490"/>
      <c r="J16" s="1499"/>
      <c r="K16" s="1496"/>
      <c r="L16" s="1496"/>
      <c r="M16" s="1496"/>
      <c r="N16" s="255">
        <v>20</v>
      </c>
      <c r="O16" s="255" t="s">
        <v>215</v>
      </c>
      <c r="P16" s="255">
        <v>120</v>
      </c>
      <c r="Q16" s="255" t="s">
        <v>44</v>
      </c>
      <c r="R16" s="1490"/>
      <c r="S16" s="1487"/>
    </row>
    <row r="17" spans="1:19" s="4" customFormat="1" ht="30.1" customHeight="1" x14ac:dyDescent="0.25">
      <c r="A17" s="226">
        <v>30</v>
      </c>
      <c r="B17" s="228" t="s">
        <v>1532</v>
      </c>
      <c r="C17" s="228" t="s">
        <v>1533</v>
      </c>
      <c r="D17" s="225" t="s">
        <v>348</v>
      </c>
      <c r="E17" s="227">
        <v>10991467</v>
      </c>
      <c r="F17" s="225"/>
      <c r="G17" s="225" t="s">
        <v>742</v>
      </c>
      <c r="H17" s="225" t="s">
        <v>1534</v>
      </c>
      <c r="I17" s="225">
        <v>3136004964</v>
      </c>
      <c r="J17" s="224">
        <v>43566</v>
      </c>
      <c r="K17" s="224">
        <v>43567</v>
      </c>
      <c r="L17" s="224">
        <v>43574</v>
      </c>
      <c r="M17" s="225">
        <v>28</v>
      </c>
      <c r="N17" s="225" t="s">
        <v>5</v>
      </c>
      <c r="O17" s="225">
        <v>28</v>
      </c>
      <c r="P17" s="225" t="s">
        <v>1535</v>
      </c>
      <c r="Q17" s="225"/>
    </row>
    <row r="18" spans="1:19" s="4" customFormat="1" ht="38.75" customHeight="1" x14ac:dyDescent="0.25">
      <c r="A18" s="175">
        <v>21</v>
      </c>
      <c r="B18" s="33" t="s">
        <v>1325</v>
      </c>
      <c r="C18" s="33" t="s">
        <v>1326</v>
      </c>
      <c r="D18" s="176" t="s">
        <v>348</v>
      </c>
      <c r="E18" s="177">
        <v>1555114</v>
      </c>
      <c r="F18" s="176" t="s">
        <v>835</v>
      </c>
      <c r="G18" s="176" t="s">
        <v>1007</v>
      </c>
      <c r="H18" s="176" t="s">
        <v>1334</v>
      </c>
      <c r="I18" s="176" t="s">
        <v>1327</v>
      </c>
      <c r="J18" s="178">
        <v>43553</v>
      </c>
      <c r="K18" s="178">
        <v>43553</v>
      </c>
      <c r="L18" s="178">
        <v>43559</v>
      </c>
      <c r="M18" s="176">
        <v>10</v>
      </c>
      <c r="N18" s="176" t="s">
        <v>5</v>
      </c>
      <c r="O18" s="176">
        <v>10</v>
      </c>
      <c r="P18" s="176" t="s">
        <v>1328</v>
      </c>
      <c r="Q18" s="176"/>
    </row>
    <row r="19" spans="1:19" s="7" customFormat="1" ht="40.1" customHeight="1" x14ac:dyDescent="0.25">
      <c r="A19" s="73">
        <v>15</v>
      </c>
      <c r="B19" s="174" t="s">
        <v>1272</v>
      </c>
      <c r="C19" s="174" t="s">
        <v>1273</v>
      </c>
      <c r="D19" s="174" t="s">
        <v>348</v>
      </c>
      <c r="E19" s="156">
        <v>26045672</v>
      </c>
      <c r="F19" s="174" t="s">
        <v>349</v>
      </c>
      <c r="G19" s="174" t="s">
        <v>494</v>
      </c>
      <c r="H19" s="174" t="s">
        <v>233</v>
      </c>
      <c r="I19" s="174" t="s">
        <v>1274</v>
      </c>
      <c r="J19" s="174">
        <v>3014628249</v>
      </c>
      <c r="K19" s="84">
        <v>43544</v>
      </c>
      <c r="L19" s="84">
        <v>43545</v>
      </c>
      <c r="M19" s="84">
        <v>43575</v>
      </c>
      <c r="N19" s="174">
        <v>30</v>
      </c>
      <c r="O19" s="174" t="s">
        <v>4</v>
      </c>
      <c r="P19" s="174">
        <v>30</v>
      </c>
      <c r="Q19" s="174" t="s">
        <v>806</v>
      </c>
      <c r="R19" s="174"/>
      <c r="S19" s="380" t="s">
        <v>1878</v>
      </c>
    </row>
    <row r="20" spans="1:19" s="7" customFormat="1" ht="30.1" customHeight="1" x14ac:dyDescent="0.25">
      <c r="A20" s="1101"/>
      <c r="B20" s="1094" t="s">
        <v>637</v>
      </c>
      <c r="C20" s="1094" t="s">
        <v>638</v>
      </c>
      <c r="D20" s="1094" t="s">
        <v>348</v>
      </c>
      <c r="E20" s="1104">
        <v>6661737</v>
      </c>
      <c r="F20" s="87" t="s">
        <v>362</v>
      </c>
      <c r="G20" s="1094" t="s">
        <v>486</v>
      </c>
      <c r="H20" s="94" t="s">
        <v>20</v>
      </c>
      <c r="I20" s="1094" t="s">
        <v>639</v>
      </c>
      <c r="J20" s="1094">
        <v>3145171319</v>
      </c>
      <c r="K20" s="1092">
        <v>43516</v>
      </c>
      <c r="L20" s="1092">
        <v>43563</v>
      </c>
      <c r="M20" s="1092">
        <v>43653</v>
      </c>
      <c r="N20" s="65">
        <v>12</v>
      </c>
      <c r="O20" s="65" t="s">
        <v>4</v>
      </c>
      <c r="P20" s="65">
        <v>36</v>
      </c>
      <c r="Q20" s="96" t="s">
        <v>6</v>
      </c>
      <c r="R20" s="1094" t="s">
        <v>726</v>
      </c>
      <c r="S20" s="1098"/>
    </row>
    <row r="21" spans="1:19" s="7" customFormat="1" ht="30.1" customHeight="1" x14ac:dyDescent="0.25">
      <c r="A21" s="1103"/>
      <c r="B21" s="1095"/>
      <c r="C21" s="1095"/>
      <c r="D21" s="1095"/>
      <c r="E21" s="1106"/>
      <c r="F21" s="87" t="s">
        <v>362</v>
      </c>
      <c r="G21" s="1095"/>
      <c r="H21" s="94" t="s">
        <v>20</v>
      </c>
      <c r="I21" s="1095"/>
      <c r="J21" s="1095"/>
      <c r="K21" s="1093"/>
      <c r="L21" s="1093"/>
      <c r="M21" s="1093"/>
      <c r="N21" s="20">
        <v>12</v>
      </c>
      <c r="O21" s="20" t="s">
        <v>8</v>
      </c>
      <c r="P21" s="20">
        <v>36</v>
      </c>
      <c r="Q21" s="96" t="s">
        <v>373</v>
      </c>
      <c r="R21" s="1095"/>
      <c r="S21" s="1100"/>
    </row>
    <row r="23" spans="1:19" s="4" customFormat="1" ht="30.1" customHeight="1" x14ac:dyDescent="0.25">
      <c r="A23" s="261">
        <v>33</v>
      </c>
      <c r="B23" s="287" t="s">
        <v>1663</v>
      </c>
      <c r="C23" s="287" t="s">
        <v>1664</v>
      </c>
      <c r="D23" s="262" t="s">
        <v>348</v>
      </c>
      <c r="E23" s="263">
        <v>3787505</v>
      </c>
      <c r="F23" s="262" t="s">
        <v>835</v>
      </c>
      <c r="G23" s="262"/>
      <c r="H23" s="262" t="s">
        <v>1661</v>
      </c>
      <c r="I23" s="262" t="s">
        <v>1662</v>
      </c>
      <c r="J23" s="264">
        <v>43577</v>
      </c>
      <c r="K23" s="264">
        <v>43577</v>
      </c>
      <c r="L23" s="264">
        <v>43587</v>
      </c>
      <c r="M23" s="262">
        <v>10</v>
      </c>
      <c r="N23" s="262" t="s">
        <v>5</v>
      </c>
      <c r="O23" s="262">
        <v>10</v>
      </c>
      <c r="P23" s="262" t="s">
        <v>1665</v>
      </c>
      <c r="Q23" s="262"/>
    </row>
    <row r="24" spans="1:19" s="4" customFormat="1" ht="30.1" customHeight="1" x14ac:dyDescent="0.25">
      <c r="A24" s="261">
        <v>36</v>
      </c>
      <c r="B24" s="265" t="s">
        <v>1733</v>
      </c>
      <c r="C24" s="265" t="s">
        <v>1734</v>
      </c>
      <c r="D24" s="262" t="s">
        <v>348</v>
      </c>
      <c r="E24" s="263">
        <v>30562670</v>
      </c>
      <c r="F24" s="262" t="s">
        <v>906</v>
      </c>
      <c r="G24" s="262" t="s">
        <v>480</v>
      </c>
      <c r="H24" s="262" t="s">
        <v>1735</v>
      </c>
      <c r="I24" s="262">
        <v>3006632510</v>
      </c>
      <c r="J24" s="264">
        <v>43581</v>
      </c>
      <c r="K24" s="264">
        <v>43581</v>
      </c>
      <c r="L24" s="264">
        <v>43586</v>
      </c>
      <c r="M24" s="262">
        <v>20</v>
      </c>
      <c r="N24" s="262" t="s">
        <v>5</v>
      </c>
      <c r="O24" s="262">
        <v>20</v>
      </c>
      <c r="P24" s="262" t="s">
        <v>1736</v>
      </c>
      <c r="Q24" s="262"/>
    </row>
    <row r="25" spans="1:19" s="7" customFormat="1" ht="30.1" customHeight="1" x14ac:dyDescent="0.25">
      <c r="A25" s="73">
        <v>13</v>
      </c>
      <c r="B25" s="56" t="s">
        <v>1211</v>
      </c>
      <c r="C25" s="96" t="s">
        <v>1335</v>
      </c>
      <c r="D25" s="56" t="s">
        <v>348</v>
      </c>
      <c r="E25" s="23">
        <v>50869963</v>
      </c>
      <c r="F25" s="89" t="s">
        <v>349</v>
      </c>
      <c r="G25" s="56" t="s">
        <v>1004</v>
      </c>
      <c r="H25" s="96" t="s">
        <v>20</v>
      </c>
      <c r="I25" s="56" t="s">
        <v>1212</v>
      </c>
      <c r="J25" s="56" t="s">
        <v>1213</v>
      </c>
      <c r="K25" s="57">
        <v>43584</v>
      </c>
      <c r="L25" s="57">
        <v>43556</v>
      </c>
      <c r="M25" s="57">
        <v>43562</v>
      </c>
      <c r="N25" s="56">
        <v>14</v>
      </c>
      <c r="O25" s="56" t="s">
        <v>5</v>
      </c>
      <c r="P25" s="56">
        <v>14</v>
      </c>
      <c r="Q25" s="56" t="s">
        <v>6</v>
      </c>
      <c r="R25" s="56" t="s">
        <v>1336</v>
      </c>
      <c r="S25" s="21"/>
    </row>
    <row r="26" spans="1:19" s="7" customFormat="1" ht="30.1" customHeight="1" x14ac:dyDescent="0.25">
      <c r="A26" s="73">
        <v>15</v>
      </c>
      <c r="B26" s="56" t="s">
        <v>1289</v>
      </c>
      <c r="C26" s="56" t="s">
        <v>1290</v>
      </c>
      <c r="D26" s="56" t="s">
        <v>348</v>
      </c>
      <c r="E26" s="23">
        <v>2816739</v>
      </c>
      <c r="F26" s="89" t="s">
        <v>362</v>
      </c>
      <c r="G26" s="56" t="s">
        <v>488</v>
      </c>
      <c r="H26" s="96" t="s">
        <v>212</v>
      </c>
      <c r="I26" s="56" t="s">
        <v>286</v>
      </c>
      <c r="J26" s="56" t="s">
        <v>1291</v>
      </c>
      <c r="K26" s="57">
        <v>43545</v>
      </c>
      <c r="L26" s="57">
        <v>43546</v>
      </c>
      <c r="M26" s="57">
        <v>43576</v>
      </c>
      <c r="N26" s="56">
        <v>20</v>
      </c>
      <c r="O26" s="56" t="s">
        <v>4</v>
      </c>
      <c r="P26" s="56">
        <v>20</v>
      </c>
      <c r="Q26" s="56" t="s">
        <v>1292</v>
      </c>
      <c r="R26" s="56" t="s">
        <v>1293</v>
      </c>
      <c r="S26" s="21"/>
    </row>
    <row r="27" spans="1:19" s="7" customFormat="1" ht="30.1" customHeight="1" x14ac:dyDescent="0.25">
      <c r="A27" s="73">
        <v>16</v>
      </c>
      <c r="B27" s="56" t="s">
        <v>1296</v>
      </c>
      <c r="C27" s="56" t="s">
        <v>1297</v>
      </c>
      <c r="D27" s="56" t="s">
        <v>348</v>
      </c>
      <c r="E27" s="23">
        <v>11171255</v>
      </c>
      <c r="F27" s="89" t="s">
        <v>362</v>
      </c>
      <c r="G27" s="56" t="s">
        <v>1298</v>
      </c>
      <c r="H27" s="96" t="s">
        <v>212</v>
      </c>
      <c r="I27" s="56" t="s">
        <v>1299</v>
      </c>
      <c r="J27" s="56">
        <v>3108526214</v>
      </c>
      <c r="K27" s="57">
        <v>43546</v>
      </c>
      <c r="L27" s="57">
        <v>43547</v>
      </c>
      <c r="M27" s="57">
        <v>43577</v>
      </c>
      <c r="N27" s="56">
        <v>16</v>
      </c>
      <c r="O27" s="56" t="s">
        <v>4</v>
      </c>
      <c r="P27" s="56">
        <v>16</v>
      </c>
      <c r="Q27" s="56" t="s">
        <v>1292</v>
      </c>
      <c r="R27" s="96" t="s">
        <v>1293</v>
      </c>
      <c r="S27" s="21"/>
    </row>
    <row r="28" spans="1:19" s="7" customFormat="1" ht="30.1" customHeight="1" x14ac:dyDescent="0.25">
      <c r="A28" s="73">
        <v>19</v>
      </c>
      <c r="B28" s="56" t="s">
        <v>1320</v>
      </c>
      <c r="C28" s="56" t="s">
        <v>1321</v>
      </c>
      <c r="D28" s="56" t="s">
        <v>348</v>
      </c>
      <c r="E28" s="23">
        <v>15675775</v>
      </c>
      <c r="F28" s="89" t="s">
        <v>362</v>
      </c>
      <c r="G28" s="56" t="s">
        <v>1322</v>
      </c>
      <c r="H28" s="96" t="s">
        <v>20</v>
      </c>
      <c r="I28" s="56" t="s">
        <v>1323</v>
      </c>
      <c r="J28" s="56" t="s">
        <v>1324</v>
      </c>
      <c r="K28" s="57">
        <v>43551</v>
      </c>
      <c r="L28" s="57">
        <v>43552</v>
      </c>
      <c r="M28" s="57">
        <v>43583</v>
      </c>
      <c r="N28" s="56">
        <v>30</v>
      </c>
      <c r="O28" s="56" t="s">
        <v>4</v>
      </c>
      <c r="P28" s="56">
        <v>30</v>
      </c>
      <c r="Q28" s="56" t="s">
        <v>6</v>
      </c>
      <c r="R28" s="56"/>
      <c r="S28" s="21"/>
    </row>
    <row r="29" spans="1:19" s="1" customFormat="1" ht="30.1" customHeight="1" x14ac:dyDescent="0.25">
      <c r="A29" s="108">
        <v>47</v>
      </c>
      <c r="B29" s="109" t="s">
        <v>1226</v>
      </c>
      <c r="C29" s="109" t="s">
        <v>1227</v>
      </c>
      <c r="D29" s="109" t="s">
        <v>348</v>
      </c>
      <c r="E29" s="143">
        <v>6810263</v>
      </c>
      <c r="F29" s="218" t="s">
        <v>349</v>
      </c>
      <c r="G29" s="109" t="s">
        <v>1228</v>
      </c>
      <c r="H29" s="109" t="s">
        <v>1229</v>
      </c>
      <c r="I29" s="63" t="s">
        <v>1230</v>
      </c>
      <c r="J29" s="244">
        <v>1</v>
      </c>
      <c r="K29" s="244">
        <v>30</v>
      </c>
      <c r="L29" s="109">
        <v>30</v>
      </c>
      <c r="M29" s="109" t="s">
        <v>4</v>
      </c>
      <c r="N29" s="109" t="s">
        <v>335</v>
      </c>
      <c r="O29" s="109" t="s">
        <v>1231</v>
      </c>
      <c r="P29" s="325"/>
    </row>
    <row r="31" spans="1:19" s="7" customFormat="1" ht="30.1" customHeight="1" x14ac:dyDescent="0.25">
      <c r="A31" s="73">
        <v>17</v>
      </c>
      <c r="B31" s="180" t="s">
        <v>1477</v>
      </c>
      <c r="C31" s="180" t="s">
        <v>1478</v>
      </c>
      <c r="D31" s="96" t="s">
        <v>348</v>
      </c>
      <c r="E31" s="23">
        <v>35115106</v>
      </c>
      <c r="F31" s="96" t="s">
        <v>362</v>
      </c>
      <c r="G31" s="96" t="s">
        <v>496</v>
      </c>
      <c r="H31" s="96" t="s">
        <v>9</v>
      </c>
      <c r="I31" s="96" t="s">
        <v>1479</v>
      </c>
      <c r="J31" s="96" t="s">
        <v>1480</v>
      </c>
      <c r="K31" s="74">
        <v>43565</v>
      </c>
      <c r="L31" s="470">
        <v>43566</v>
      </c>
      <c r="M31" s="470">
        <v>43595</v>
      </c>
      <c r="N31" s="96">
        <v>20</v>
      </c>
      <c r="O31" s="96" t="s">
        <v>4</v>
      </c>
      <c r="P31" s="96">
        <v>20</v>
      </c>
      <c r="Q31" s="96" t="s">
        <v>7</v>
      </c>
      <c r="R31" s="96"/>
      <c r="S31" s="21"/>
    </row>
    <row r="32" spans="1:19" s="7" customFormat="1" ht="30.1" customHeight="1" x14ac:dyDescent="0.25">
      <c r="A32" s="73">
        <v>22</v>
      </c>
      <c r="B32" s="96" t="s">
        <v>1682</v>
      </c>
      <c r="C32" s="96" t="s">
        <v>1683</v>
      </c>
      <c r="D32" s="96" t="s">
        <v>348</v>
      </c>
      <c r="E32" s="23">
        <v>30654939</v>
      </c>
      <c r="F32" s="96" t="s">
        <v>349</v>
      </c>
      <c r="G32" s="96" t="s">
        <v>1684</v>
      </c>
      <c r="H32" s="96" t="s">
        <v>21</v>
      </c>
      <c r="I32" s="96" t="s">
        <v>1685</v>
      </c>
      <c r="J32" s="96" t="s">
        <v>1686</v>
      </c>
      <c r="K32" s="74">
        <v>43578</v>
      </c>
      <c r="L32" s="74">
        <v>43579</v>
      </c>
      <c r="M32" s="74">
        <v>43608</v>
      </c>
      <c r="N32" s="96">
        <v>20</v>
      </c>
      <c r="O32" s="96" t="s">
        <v>4</v>
      </c>
      <c r="P32" s="96">
        <v>20</v>
      </c>
      <c r="Q32" s="96" t="s">
        <v>540</v>
      </c>
      <c r="R32" s="96"/>
      <c r="S32" s="21"/>
    </row>
    <row r="33" spans="1:19" s="90" customFormat="1" ht="36" customHeight="1" x14ac:dyDescent="0.25">
      <c r="A33" s="1078"/>
      <c r="B33" s="1506" t="s">
        <v>965</v>
      </c>
      <c r="C33" s="1506" t="s">
        <v>966</v>
      </c>
      <c r="D33" s="1086" t="s">
        <v>348</v>
      </c>
      <c r="E33" s="1088">
        <v>2720188</v>
      </c>
      <c r="F33" s="112" t="s">
        <v>906</v>
      </c>
      <c r="G33" s="1086" t="s">
        <v>486</v>
      </c>
      <c r="H33" s="1086" t="s">
        <v>967</v>
      </c>
      <c r="I33" s="1086" t="s">
        <v>968</v>
      </c>
      <c r="J33" s="1090">
        <v>43542</v>
      </c>
      <c r="K33" s="1090">
        <v>43543</v>
      </c>
      <c r="L33" s="1090">
        <v>43603</v>
      </c>
      <c r="M33" s="112">
        <v>20</v>
      </c>
      <c r="N33" s="112" t="s">
        <v>4</v>
      </c>
      <c r="O33" s="112">
        <v>40</v>
      </c>
      <c r="P33" s="1504" t="s">
        <v>1259</v>
      </c>
      <c r="Q33" s="112"/>
    </row>
    <row r="34" spans="1:19" s="166" customFormat="1" ht="36" customHeight="1" x14ac:dyDescent="0.25">
      <c r="A34" s="1080"/>
      <c r="B34" s="1507"/>
      <c r="C34" s="1507"/>
      <c r="D34" s="1087"/>
      <c r="E34" s="1089"/>
      <c r="F34" s="165" t="s">
        <v>906</v>
      </c>
      <c r="G34" s="1087"/>
      <c r="H34" s="1087"/>
      <c r="I34" s="1087"/>
      <c r="J34" s="1091"/>
      <c r="K34" s="1091"/>
      <c r="L34" s="1091"/>
      <c r="M34" s="165">
        <v>20</v>
      </c>
      <c r="N34" s="165" t="s">
        <v>215</v>
      </c>
      <c r="O34" s="165">
        <v>40</v>
      </c>
      <c r="P34" s="1505"/>
      <c r="Q34" s="165"/>
    </row>
    <row r="35" spans="1:19" s="4" customFormat="1" ht="34" customHeight="1" x14ac:dyDescent="0.25">
      <c r="A35" s="67"/>
      <c r="B35" s="287" t="s">
        <v>776</v>
      </c>
      <c r="C35" s="287" t="s">
        <v>777</v>
      </c>
      <c r="D35" s="68" t="s">
        <v>348</v>
      </c>
      <c r="E35" s="69">
        <v>34988585</v>
      </c>
      <c r="F35" s="86" t="s">
        <v>349</v>
      </c>
      <c r="G35" s="68" t="s">
        <v>778</v>
      </c>
      <c r="H35" s="68" t="s">
        <v>780</v>
      </c>
      <c r="I35" s="68" t="s">
        <v>779</v>
      </c>
      <c r="J35" s="70">
        <v>43538</v>
      </c>
      <c r="K35" s="70">
        <v>43571</v>
      </c>
      <c r="L35" s="70">
        <v>43600</v>
      </c>
      <c r="M35" s="78">
        <v>20</v>
      </c>
      <c r="N35" s="78" t="s">
        <v>269</v>
      </c>
      <c r="O35" s="78">
        <v>20</v>
      </c>
      <c r="P35" s="68"/>
      <c r="Q35" s="317"/>
    </row>
    <row r="36" spans="1:19" s="90" customFormat="1" ht="30.1" customHeight="1" x14ac:dyDescent="0.25">
      <c r="A36" s="98"/>
      <c r="B36" s="287" t="s">
        <v>874</v>
      </c>
      <c r="C36" s="287" t="s">
        <v>875</v>
      </c>
      <c r="D36" s="99" t="s">
        <v>348</v>
      </c>
      <c r="E36" s="100">
        <v>1074004827</v>
      </c>
      <c r="F36" s="99" t="s">
        <v>349</v>
      </c>
      <c r="G36" s="99" t="s">
        <v>542</v>
      </c>
      <c r="H36" s="99" t="s">
        <v>876</v>
      </c>
      <c r="I36" s="99" t="s">
        <v>877</v>
      </c>
      <c r="J36" s="97">
        <v>43514</v>
      </c>
      <c r="K36" s="97">
        <v>43515</v>
      </c>
      <c r="L36" s="97">
        <v>43603</v>
      </c>
      <c r="M36" s="99">
        <v>12</v>
      </c>
      <c r="N36" s="99" t="s">
        <v>4</v>
      </c>
      <c r="O36" s="99">
        <v>36</v>
      </c>
      <c r="P36" s="99" t="s">
        <v>878</v>
      </c>
      <c r="Q36" s="99"/>
    </row>
    <row r="37" spans="1:19" s="90" customFormat="1" ht="30.1" customHeight="1" x14ac:dyDescent="0.25">
      <c r="A37" s="122"/>
      <c r="B37" s="287" t="s">
        <v>1026</v>
      </c>
      <c r="C37" s="287" t="s">
        <v>1027</v>
      </c>
      <c r="D37" s="121" t="s">
        <v>348</v>
      </c>
      <c r="E37" s="123">
        <v>1536038</v>
      </c>
      <c r="F37" s="121" t="s">
        <v>906</v>
      </c>
      <c r="G37" s="121" t="s">
        <v>764</v>
      </c>
      <c r="H37" s="121" t="s">
        <v>1028</v>
      </c>
      <c r="I37" s="121" t="s">
        <v>1029</v>
      </c>
      <c r="J37" s="120">
        <v>43572</v>
      </c>
      <c r="K37" s="120">
        <v>43577</v>
      </c>
      <c r="L37" s="120">
        <v>43616</v>
      </c>
      <c r="M37" s="121">
        <v>30</v>
      </c>
      <c r="N37" s="121" t="s">
        <v>4</v>
      </c>
      <c r="O37" s="121">
        <v>30</v>
      </c>
      <c r="P37" s="121"/>
      <c r="Q37" s="121"/>
    </row>
    <row r="38" spans="1:19" s="4" customFormat="1" ht="30.1" customHeight="1" x14ac:dyDescent="0.25">
      <c r="A38" s="175"/>
      <c r="B38" s="33" t="s">
        <v>1304</v>
      </c>
      <c r="C38" s="33" t="s">
        <v>1305</v>
      </c>
      <c r="D38" s="176" t="s">
        <v>348</v>
      </c>
      <c r="E38" s="177">
        <v>25786987</v>
      </c>
      <c r="F38" s="176" t="s">
        <v>362</v>
      </c>
      <c r="G38" s="176" t="s">
        <v>1306</v>
      </c>
      <c r="H38" s="176" t="s">
        <v>1307</v>
      </c>
      <c r="I38" s="176" t="s">
        <v>1308</v>
      </c>
      <c r="J38" s="178">
        <v>43546</v>
      </c>
      <c r="K38" s="178">
        <v>43546</v>
      </c>
      <c r="L38" s="178">
        <v>43576</v>
      </c>
      <c r="M38" s="176">
        <v>60</v>
      </c>
      <c r="N38" s="176" t="s">
        <v>5</v>
      </c>
      <c r="O38" s="176">
        <v>60</v>
      </c>
      <c r="P38" s="176" t="s">
        <v>1309</v>
      </c>
      <c r="Q38" s="176"/>
    </row>
    <row r="39" spans="1:19" s="4" customFormat="1" ht="30.1" customHeight="1" x14ac:dyDescent="0.25">
      <c r="A39" s="226"/>
      <c r="B39" s="287" t="s">
        <v>1628</v>
      </c>
      <c r="C39" s="287" t="s">
        <v>959</v>
      </c>
      <c r="D39" s="225" t="s">
        <v>348</v>
      </c>
      <c r="E39" s="227">
        <v>11005040</v>
      </c>
      <c r="F39" s="225" t="s">
        <v>362</v>
      </c>
      <c r="G39" s="225" t="s">
        <v>487</v>
      </c>
      <c r="H39" s="225" t="s">
        <v>1629</v>
      </c>
      <c r="I39" s="225" t="s">
        <v>1630</v>
      </c>
      <c r="J39" s="224">
        <v>43572</v>
      </c>
      <c r="K39" s="224">
        <v>43577</v>
      </c>
      <c r="L39" s="224">
        <v>43615</v>
      </c>
      <c r="M39" s="225">
        <v>30</v>
      </c>
      <c r="N39" s="225" t="s">
        <v>4</v>
      </c>
      <c r="O39" s="225">
        <v>30</v>
      </c>
      <c r="P39" s="225"/>
      <c r="Q39" s="225"/>
    </row>
    <row r="40" spans="1:19" s="4" customFormat="1" ht="30.1" customHeight="1" x14ac:dyDescent="0.25">
      <c r="A40" s="1078"/>
      <c r="B40" s="1086" t="s">
        <v>1729</v>
      </c>
      <c r="C40" s="1086" t="s">
        <v>1730</v>
      </c>
      <c r="D40" s="1086" t="s">
        <v>348</v>
      </c>
      <c r="E40" s="1088">
        <v>1062964252</v>
      </c>
      <c r="F40" s="262" t="s">
        <v>362</v>
      </c>
      <c r="G40" s="1086" t="s">
        <v>484</v>
      </c>
      <c r="H40" s="1086" t="s">
        <v>1731</v>
      </c>
      <c r="I40" s="1086" t="s">
        <v>1732</v>
      </c>
      <c r="J40" s="1090">
        <v>43580</v>
      </c>
      <c r="K40" s="1090">
        <v>43581</v>
      </c>
      <c r="L40" s="1090">
        <v>43610</v>
      </c>
      <c r="M40" s="262">
        <v>12</v>
      </c>
      <c r="N40" s="262" t="s">
        <v>4</v>
      </c>
      <c r="O40" s="262">
        <v>12</v>
      </c>
      <c r="P40" s="262"/>
      <c r="Q40" s="262"/>
    </row>
    <row r="41" spans="1:19" s="4" customFormat="1" ht="30.1" customHeight="1" x14ac:dyDescent="0.25">
      <c r="A41" s="1080"/>
      <c r="B41" s="1087"/>
      <c r="C41" s="1087"/>
      <c r="D41" s="1087"/>
      <c r="E41" s="1089"/>
      <c r="F41" s="317" t="s">
        <v>362</v>
      </c>
      <c r="G41" s="1087"/>
      <c r="H41" s="1087"/>
      <c r="I41" s="1087"/>
      <c r="J41" s="1091"/>
      <c r="K41" s="1091"/>
      <c r="L41" s="1091"/>
      <c r="M41" s="262">
        <v>12</v>
      </c>
      <c r="N41" s="262" t="s">
        <v>8</v>
      </c>
      <c r="O41" s="262">
        <v>12</v>
      </c>
      <c r="P41" s="262"/>
      <c r="Q41" s="262"/>
    </row>
    <row r="42" spans="1:19" s="1" customFormat="1" ht="30.1" customHeight="1" x14ac:dyDescent="0.25">
      <c r="A42" s="1329">
        <v>46</v>
      </c>
      <c r="B42" s="1281" t="s">
        <v>1222</v>
      </c>
      <c r="C42" s="1281" t="s">
        <v>1223</v>
      </c>
      <c r="D42" s="1281" t="s">
        <v>348</v>
      </c>
      <c r="E42" s="1283">
        <v>10952415</v>
      </c>
      <c r="F42" s="218" t="s">
        <v>349</v>
      </c>
      <c r="G42" s="1281" t="s">
        <v>497</v>
      </c>
      <c r="H42" s="151" t="s">
        <v>20</v>
      </c>
      <c r="I42" s="1285" t="s">
        <v>1225</v>
      </c>
      <c r="J42" s="1478">
        <v>1</v>
      </c>
      <c r="K42" s="1478">
        <v>30</v>
      </c>
      <c r="L42" s="151">
        <v>90</v>
      </c>
      <c r="M42" s="151" t="s">
        <v>5</v>
      </c>
      <c r="N42" s="151" t="s">
        <v>6</v>
      </c>
      <c r="O42" s="1281" t="s">
        <v>2239</v>
      </c>
      <c r="P42" s="1508" t="s">
        <v>2244</v>
      </c>
      <c r="Q42" s="1509"/>
    </row>
    <row r="43" spans="1:19" s="1" customFormat="1" ht="30.1" customHeight="1" x14ac:dyDescent="0.25">
      <c r="A43" s="1330"/>
      <c r="B43" s="1282"/>
      <c r="C43" s="1282"/>
      <c r="D43" s="1282"/>
      <c r="E43" s="1284"/>
      <c r="F43" s="218" t="s">
        <v>349</v>
      </c>
      <c r="G43" s="1282"/>
      <c r="H43" s="181" t="s">
        <v>20</v>
      </c>
      <c r="I43" s="1286"/>
      <c r="J43" s="1479"/>
      <c r="K43" s="1479"/>
      <c r="L43" s="151">
        <v>60</v>
      </c>
      <c r="M43" s="151" t="s">
        <v>4</v>
      </c>
      <c r="N43" s="151" t="s">
        <v>6</v>
      </c>
      <c r="O43" s="1282"/>
      <c r="P43" s="1510"/>
      <c r="Q43" s="1511"/>
    </row>
    <row r="44" spans="1:19" s="4" customFormat="1" ht="30.1" customHeight="1" x14ac:dyDescent="0.25">
      <c r="A44" s="261"/>
      <c r="B44" s="265" t="s">
        <v>1765</v>
      </c>
      <c r="C44" s="265" t="s">
        <v>1766</v>
      </c>
      <c r="D44" s="262" t="s">
        <v>348</v>
      </c>
      <c r="E44" s="263">
        <v>26108111</v>
      </c>
      <c r="F44" s="262" t="s">
        <v>362</v>
      </c>
      <c r="G44" s="262" t="s">
        <v>1767</v>
      </c>
      <c r="H44" s="262" t="s">
        <v>1768</v>
      </c>
      <c r="I44" s="323" t="s">
        <v>1769</v>
      </c>
      <c r="J44" s="264">
        <v>43585</v>
      </c>
      <c r="K44" s="264">
        <v>43585</v>
      </c>
      <c r="L44" s="264">
        <v>43614</v>
      </c>
      <c r="M44" s="262">
        <v>20</v>
      </c>
      <c r="N44" s="262" t="s">
        <v>4</v>
      </c>
      <c r="O44" s="262">
        <v>20</v>
      </c>
      <c r="P44" s="262"/>
      <c r="Q44" s="262"/>
    </row>
    <row r="45" spans="1:19" s="4" customFormat="1" ht="30.1" customHeight="1" x14ac:dyDescent="0.25">
      <c r="A45" s="261"/>
      <c r="B45" s="265" t="s">
        <v>1773</v>
      </c>
      <c r="C45" s="265" t="s">
        <v>1774</v>
      </c>
      <c r="D45" s="262" t="s">
        <v>348</v>
      </c>
      <c r="E45" s="263">
        <v>78714052</v>
      </c>
      <c r="F45" s="262" t="s">
        <v>362</v>
      </c>
      <c r="G45" s="262" t="s">
        <v>742</v>
      </c>
      <c r="H45" s="262" t="s">
        <v>1775</v>
      </c>
      <c r="I45" s="262" t="s">
        <v>1776</v>
      </c>
      <c r="J45" s="264">
        <v>43587</v>
      </c>
      <c r="K45" s="264">
        <v>43587</v>
      </c>
      <c r="L45" s="264">
        <v>43602</v>
      </c>
      <c r="M45" s="262">
        <v>15</v>
      </c>
      <c r="N45" s="262" t="s">
        <v>4</v>
      </c>
      <c r="O45" s="262">
        <v>15</v>
      </c>
      <c r="P45" s="262"/>
      <c r="Q45" s="262"/>
    </row>
    <row r="46" spans="1:19" s="7" customFormat="1" ht="30.1" customHeight="1" x14ac:dyDescent="0.25">
      <c r="A46" s="73">
        <v>38</v>
      </c>
      <c r="B46" s="96" t="s">
        <v>2021</v>
      </c>
      <c r="C46" s="96" t="s">
        <v>2022</v>
      </c>
      <c r="D46" s="96" t="s">
        <v>348</v>
      </c>
      <c r="E46" s="23">
        <v>78290571</v>
      </c>
      <c r="F46" s="96" t="s">
        <v>357</v>
      </c>
      <c r="G46" s="96" t="s">
        <v>480</v>
      </c>
      <c r="H46" s="96" t="s">
        <v>15</v>
      </c>
      <c r="I46" s="96" t="s">
        <v>2023</v>
      </c>
      <c r="J46" s="96" t="s">
        <v>2024</v>
      </c>
      <c r="K46" s="74">
        <v>43605</v>
      </c>
      <c r="L46" s="74">
        <v>43605</v>
      </c>
      <c r="M46" s="74">
        <v>43610</v>
      </c>
      <c r="N46" s="96">
        <v>15</v>
      </c>
      <c r="O46" s="96" t="s">
        <v>5</v>
      </c>
      <c r="P46" s="96">
        <v>15</v>
      </c>
      <c r="Q46" s="96" t="s">
        <v>16</v>
      </c>
      <c r="R46" s="96" t="s">
        <v>2025</v>
      </c>
      <c r="S46" s="21"/>
    </row>
    <row r="47" spans="1:19" s="7" customFormat="1" ht="30.1" customHeight="1" x14ac:dyDescent="0.25">
      <c r="A47" s="73">
        <v>39</v>
      </c>
      <c r="B47" s="96" t="s">
        <v>2080</v>
      </c>
      <c r="C47" s="96" t="s">
        <v>2081</v>
      </c>
      <c r="D47" s="96" t="s">
        <v>348</v>
      </c>
      <c r="E47" s="23">
        <v>50850248</v>
      </c>
      <c r="F47" s="96" t="s">
        <v>353</v>
      </c>
      <c r="G47" s="96" t="s">
        <v>1940</v>
      </c>
      <c r="H47" s="96" t="s">
        <v>9</v>
      </c>
      <c r="I47" s="96" t="s">
        <v>2082</v>
      </c>
      <c r="J47" s="96" t="s">
        <v>2083</v>
      </c>
      <c r="K47" s="74">
        <v>43609</v>
      </c>
      <c r="L47" s="74">
        <v>43609</v>
      </c>
      <c r="M47" s="74">
        <v>43614</v>
      </c>
      <c r="N47" s="96">
        <v>20</v>
      </c>
      <c r="O47" s="96" t="s">
        <v>5</v>
      </c>
      <c r="P47" s="96">
        <v>20</v>
      </c>
      <c r="Q47" s="96" t="s">
        <v>7</v>
      </c>
      <c r="R47" s="96"/>
      <c r="S47" s="21"/>
    </row>
    <row r="48" spans="1:19" s="11" customFormat="1" ht="19.55" customHeight="1" x14ac:dyDescent="0.25">
      <c r="A48" s="598"/>
      <c r="B48" s="394" t="s">
        <v>1777</v>
      </c>
      <c r="C48" s="394" t="s">
        <v>1778</v>
      </c>
      <c r="D48" s="101">
        <v>26159415</v>
      </c>
      <c r="E48" s="391" t="s">
        <v>1779</v>
      </c>
      <c r="F48" s="392">
        <v>43587</v>
      </c>
      <c r="G48" s="392">
        <v>43615</v>
      </c>
      <c r="H48" s="571" t="s">
        <v>686</v>
      </c>
      <c r="I48" s="393">
        <v>20</v>
      </c>
      <c r="J48" s="393" t="s">
        <v>4</v>
      </c>
      <c r="K48" s="391">
        <v>3107124182</v>
      </c>
      <c r="L48" s="395" t="s">
        <v>1780</v>
      </c>
      <c r="M48" s="391" t="s">
        <v>330</v>
      </c>
      <c r="N48" s="15"/>
      <c r="O48" s="13"/>
    </row>
    <row r="49" spans="1:19" s="7" customFormat="1" ht="30.1" customHeight="1" x14ac:dyDescent="0.25">
      <c r="A49" s="73"/>
      <c r="B49" s="20" t="s">
        <v>370</v>
      </c>
      <c r="C49" s="20" t="s">
        <v>369</v>
      </c>
      <c r="D49" s="20" t="s">
        <v>356</v>
      </c>
      <c r="E49" s="23">
        <v>1138028726</v>
      </c>
      <c r="F49" s="77" t="s">
        <v>357</v>
      </c>
      <c r="G49" s="20"/>
      <c r="H49" s="96" t="s">
        <v>15</v>
      </c>
      <c r="I49" s="20" t="s">
        <v>368</v>
      </c>
      <c r="J49" s="20">
        <v>3003446207</v>
      </c>
      <c r="K49" s="24">
        <v>43336</v>
      </c>
      <c r="L49" s="24">
        <v>43339</v>
      </c>
      <c r="M49" s="24">
        <v>43502</v>
      </c>
      <c r="N49" s="20">
        <v>48</v>
      </c>
      <c r="O49" s="20" t="s">
        <v>8</v>
      </c>
      <c r="P49" s="20">
        <v>48</v>
      </c>
      <c r="Q49" s="20" t="s">
        <v>367</v>
      </c>
      <c r="R49" s="20" t="s">
        <v>366</v>
      </c>
      <c r="S49" s="21" t="s">
        <v>365</v>
      </c>
    </row>
    <row r="50" spans="1:19" s="7" customFormat="1" ht="30.1" customHeight="1" x14ac:dyDescent="0.25">
      <c r="A50" s="73"/>
      <c r="B50" s="180" t="s">
        <v>1183</v>
      </c>
      <c r="C50" s="180" t="s">
        <v>1184</v>
      </c>
      <c r="D50" s="96" t="s">
        <v>348</v>
      </c>
      <c r="E50" s="23">
        <v>25975119</v>
      </c>
      <c r="F50" s="96" t="s">
        <v>349</v>
      </c>
      <c r="G50" s="96" t="s">
        <v>490</v>
      </c>
      <c r="H50" s="96" t="s">
        <v>21</v>
      </c>
      <c r="I50" s="96" t="s">
        <v>1185</v>
      </c>
      <c r="J50" s="96">
        <v>3106943685</v>
      </c>
      <c r="K50" s="74">
        <v>43532</v>
      </c>
      <c r="L50" s="74">
        <v>43532</v>
      </c>
      <c r="M50" s="74">
        <v>43616</v>
      </c>
      <c r="N50" s="96">
        <v>12</v>
      </c>
      <c r="O50" s="96" t="s">
        <v>4</v>
      </c>
      <c r="P50" s="96">
        <v>36</v>
      </c>
      <c r="Q50" s="96" t="s">
        <v>540</v>
      </c>
      <c r="R50" s="96" t="s">
        <v>726</v>
      </c>
      <c r="S50" s="21"/>
    </row>
    <row r="51" spans="1:19" s="7" customFormat="1" ht="30.1" customHeight="1" x14ac:dyDescent="0.25">
      <c r="A51" s="73"/>
      <c r="B51" s="180" t="s">
        <v>1542</v>
      </c>
      <c r="C51" s="180" t="s">
        <v>1349</v>
      </c>
      <c r="D51" s="56" t="s">
        <v>348</v>
      </c>
      <c r="E51" s="23">
        <v>2789238</v>
      </c>
      <c r="F51" s="89" t="s">
        <v>362</v>
      </c>
      <c r="G51" s="56" t="s">
        <v>1350</v>
      </c>
      <c r="H51" s="96" t="s">
        <v>9</v>
      </c>
      <c r="I51" s="56" t="s">
        <v>1351</v>
      </c>
      <c r="J51" s="56" t="s">
        <v>1352</v>
      </c>
      <c r="K51" s="57">
        <v>43556</v>
      </c>
      <c r="L51" s="470">
        <v>43557</v>
      </c>
      <c r="M51" s="470">
        <v>43616</v>
      </c>
      <c r="N51" s="56">
        <v>12</v>
      </c>
      <c r="O51" s="56" t="s">
        <v>4</v>
      </c>
      <c r="P51" s="56">
        <v>24</v>
      </c>
      <c r="Q51" s="56" t="s">
        <v>1255</v>
      </c>
      <c r="R51" s="56" t="s">
        <v>1353</v>
      </c>
      <c r="S51" s="21"/>
    </row>
    <row r="52" spans="1:19" s="7" customFormat="1" ht="53" customHeight="1" x14ac:dyDescent="0.25">
      <c r="A52" s="73"/>
      <c r="B52" s="96" t="s">
        <v>1648</v>
      </c>
      <c r="C52" s="96" t="s">
        <v>1649</v>
      </c>
      <c r="D52" s="96" t="s">
        <v>348</v>
      </c>
      <c r="E52" s="23">
        <v>3511802</v>
      </c>
      <c r="F52" s="96" t="s">
        <v>906</v>
      </c>
      <c r="G52" s="96" t="s">
        <v>480</v>
      </c>
      <c r="H52" s="96" t="s">
        <v>9</v>
      </c>
      <c r="I52" s="96" t="s">
        <v>1074</v>
      </c>
      <c r="J52" s="96" t="s">
        <v>1650</v>
      </c>
      <c r="K52" s="74">
        <v>43572</v>
      </c>
      <c r="L52" s="74">
        <v>43572</v>
      </c>
      <c r="M52" s="74">
        <v>43608</v>
      </c>
      <c r="N52" s="96">
        <v>36</v>
      </c>
      <c r="O52" s="96" t="s">
        <v>5</v>
      </c>
      <c r="P52" s="96">
        <v>36</v>
      </c>
      <c r="Q52" s="96" t="s">
        <v>7</v>
      </c>
      <c r="R52" s="96" t="s">
        <v>1651</v>
      </c>
      <c r="S52" s="21"/>
    </row>
    <row r="54" spans="1:19" s="1" customFormat="1" ht="30.1" customHeight="1" x14ac:dyDescent="0.25">
      <c r="A54" s="1476">
        <v>10</v>
      </c>
      <c r="B54" s="1484" t="s">
        <v>403</v>
      </c>
      <c r="C54" s="1484" t="s">
        <v>404</v>
      </c>
      <c r="D54" s="1148" t="s">
        <v>348</v>
      </c>
      <c r="E54" s="1477">
        <v>4021122</v>
      </c>
      <c r="F54" s="440" t="s">
        <v>362</v>
      </c>
      <c r="G54" s="1484" t="s">
        <v>505</v>
      </c>
      <c r="H54" s="440" t="s">
        <v>19</v>
      </c>
      <c r="I54" s="1481">
        <v>3004931017</v>
      </c>
      <c r="J54" s="1482">
        <v>3004931017</v>
      </c>
      <c r="K54" s="1480"/>
      <c r="L54" s="1483">
        <v>43595</v>
      </c>
      <c r="M54" s="1483">
        <v>43626</v>
      </c>
      <c r="N54" s="440">
        <v>12</v>
      </c>
      <c r="O54" s="440" t="s">
        <v>4</v>
      </c>
      <c r="P54" s="440">
        <v>20</v>
      </c>
      <c r="Q54" s="440" t="s">
        <v>18</v>
      </c>
      <c r="R54" s="1242" t="s">
        <v>2067</v>
      </c>
      <c r="S54" s="443"/>
    </row>
    <row r="55" spans="1:19" s="1" customFormat="1" ht="30.1" customHeight="1" x14ac:dyDescent="0.25">
      <c r="A55" s="1476"/>
      <c r="B55" s="1484"/>
      <c r="C55" s="1484"/>
      <c r="D55" s="1148"/>
      <c r="E55" s="1477"/>
      <c r="F55" s="440" t="s">
        <v>362</v>
      </c>
      <c r="G55" s="1484"/>
      <c r="H55" s="440" t="s">
        <v>19</v>
      </c>
      <c r="I55" s="1481"/>
      <c r="J55" s="1482"/>
      <c r="K55" s="1480"/>
      <c r="L55" s="1483"/>
      <c r="M55" s="1483"/>
      <c r="N55" s="440">
        <v>12</v>
      </c>
      <c r="O55" s="440" t="s">
        <v>215</v>
      </c>
      <c r="P55" s="440">
        <v>20</v>
      </c>
      <c r="Q55" s="440" t="s">
        <v>207</v>
      </c>
      <c r="R55" s="1243"/>
      <c r="S55" s="443"/>
    </row>
    <row r="56" spans="1:19" s="179" customFormat="1" ht="30.1" customHeight="1" x14ac:dyDescent="0.25">
      <c r="A56" s="175"/>
      <c r="B56" s="287" t="s">
        <v>1280</v>
      </c>
      <c r="C56" s="287" t="s">
        <v>1281</v>
      </c>
      <c r="D56" s="176" t="s">
        <v>348</v>
      </c>
      <c r="E56" s="587">
        <v>26044552</v>
      </c>
      <c r="F56" s="176" t="s">
        <v>349</v>
      </c>
      <c r="G56" s="176" t="s">
        <v>1282</v>
      </c>
      <c r="H56" s="176" t="s">
        <v>1283</v>
      </c>
      <c r="I56" s="117" t="s">
        <v>1295</v>
      </c>
      <c r="J56" s="178">
        <v>43545</v>
      </c>
      <c r="K56" s="178">
        <v>43546</v>
      </c>
      <c r="L56" s="178">
        <v>43637</v>
      </c>
      <c r="M56" s="176">
        <v>12</v>
      </c>
      <c r="N56" s="176" t="s">
        <v>4</v>
      </c>
      <c r="O56" s="176">
        <v>36</v>
      </c>
      <c r="P56" s="176" t="s">
        <v>1284</v>
      </c>
      <c r="Q56" s="176"/>
    </row>
    <row r="57" spans="1:19" s="215" customFormat="1" ht="30.1" customHeight="1" x14ac:dyDescent="0.25">
      <c r="A57" s="477"/>
      <c r="B57" s="479" t="s">
        <v>858</v>
      </c>
      <c r="C57" s="479" t="s">
        <v>859</v>
      </c>
      <c r="D57" s="476" t="s">
        <v>348</v>
      </c>
      <c r="E57" s="586">
        <v>6869481</v>
      </c>
      <c r="F57" s="214" t="s">
        <v>835</v>
      </c>
      <c r="G57" s="476" t="s">
        <v>860</v>
      </c>
      <c r="H57" s="476" t="s">
        <v>861</v>
      </c>
      <c r="I57" s="476" t="s">
        <v>862</v>
      </c>
      <c r="J57" s="478">
        <v>43605</v>
      </c>
      <c r="K57" s="478">
        <v>43606</v>
      </c>
      <c r="L57" s="478">
        <v>43636</v>
      </c>
      <c r="M57" s="214">
        <v>30</v>
      </c>
      <c r="N57" s="214" t="s">
        <v>4</v>
      </c>
      <c r="O57" s="214">
        <v>30</v>
      </c>
      <c r="P57" s="214"/>
      <c r="Q57" s="214"/>
    </row>
    <row r="58" spans="1:19" s="7" customFormat="1" ht="30.1" customHeight="1" x14ac:dyDescent="0.25">
      <c r="A58" s="73"/>
      <c r="B58" s="180" t="s">
        <v>1018</v>
      </c>
      <c r="C58" s="180" t="s">
        <v>1019</v>
      </c>
      <c r="D58" s="56" t="s">
        <v>348</v>
      </c>
      <c r="E58" s="23">
        <v>78250092</v>
      </c>
      <c r="F58" s="89" t="s">
        <v>362</v>
      </c>
      <c r="G58" s="56" t="s">
        <v>1020</v>
      </c>
      <c r="H58" s="96" t="s">
        <v>709</v>
      </c>
      <c r="I58" s="56" t="s">
        <v>1021</v>
      </c>
      <c r="J58" s="56">
        <v>3209872611</v>
      </c>
      <c r="K58" s="57">
        <v>43528</v>
      </c>
      <c r="L58" s="57">
        <v>43529</v>
      </c>
      <c r="M58" s="57">
        <v>43620</v>
      </c>
      <c r="N58" s="56">
        <v>20</v>
      </c>
      <c r="O58" s="56" t="s">
        <v>4</v>
      </c>
      <c r="P58" s="56">
        <v>60</v>
      </c>
      <c r="Q58" s="56" t="s">
        <v>710</v>
      </c>
      <c r="R58" s="56"/>
      <c r="S58" s="21"/>
    </row>
    <row r="59" spans="1:19" s="7" customFormat="1" ht="30.1" customHeight="1" x14ac:dyDescent="0.25">
      <c r="A59" s="1101"/>
      <c r="B59" s="1378" t="s">
        <v>1251</v>
      </c>
      <c r="C59" s="1378" t="s">
        <v>1252</v>
      </c>
      <c r="D59" s="1094" t="s">
        <v>348</v>
      </c>
      <c r="E59" s="1104">
        <v>25852297</v>
      </c>
      <c r="F59" s="182" t="s">
        <v>362</v>
      </c>
      <c r="G59" s="1094" t="s">
        <v>494</v>
      </c>
      <c r="H59" s="182" t="s">
        <v>96</v>
      </c>
      <c r="I59" s="1094" t="s">
        <v>1253</v>
      </c>
      <c r="J59" s="1094" t="s">
        <v>1254</v>
      </c>
      <c r="K59" s="1092">
        <v>43542</v>
      </c>
      <c r="L59" s="1092">
        <v>43543</v>
      </c>
      <c r="M59" s="1092">
        <v>43634</v>
      </c>
      <c r="N59" s="56">
        <v>12</v>
      </c>
      <c r="O59" s="56" t="s">
        <v>4</v>
      </c>
      <c r="P59" s="56">
        <v>36</v>
      </c>
      <c r="Q59" s="56" t="s">
        <v>1255</v>
      </c>
      <c r="R59" s="1094" t="s">
        <v>1256</v>
      </c>
      <c r="S59" s="21"/>
    </row>
    <row r="60" spans="1:19" s="7" customFormat="1" ht="30.1" customHeight="1" x14ac:dyDescent="0.25">
      <c r="A60" s="1102"/>
      <c r="B60" s="1379"/>
      <c r="C60" s="1379"/>
      <c r="D60" s="1097"/>
      <c r="E60" s="1105"/>
      <c r="F60" s="182" t="s">
        <v>362</v>
      </c>
      <c r="G60" s="1097"/>
      <c r="H60" s="182" t="s">
        <v>96</v>
      </c>
      <c r="I60" s="1097"/>
      <c r="J60" s="1097"/>
      <c r="K60" s="1096"/>
      <c r="L60" s="1096"/>
      <c r="M60" s="1096"/>
      <c r="N60" s="96">
        <v>12</v>
      </c>
      <c r="O60" s="96" t="s">
        <v>8</v>
      </c>
      <c r="P60" s="96">
        <v>36</v>
      </c>
      <c r="Q60" s="56" t="s">
        <v>381</v>
      </c>
      <c r="R60" s="1097"/>
      <c r="S60" s="21"/>
    </row>
    <row r="61" spans="1:19" s="7" customFormat="1" ht="30.1" customHeight="1" x14ac:dyDescent="0.25">
      <c r="A61" s="1103"/>
      <c r="B61" s="1380"/>
      <c r="C61" s="1380"/>
      <c r="D61" s="1095"/>
      <c r="E61" s="1106"/>
      <c r="F61" s="182" t="s">
        <v>362</v>
      </c>
      <c r="G61" s="1095"/>
      <c r="H61" s="182" t="s">
        <v>96</v>
      </c>
      <c r="I61" s="1095"/>
      <c r="J61" s="1095"/>
      <c r="K61" s="1093"/>
      <c r="L61" s="1093"/>
      <c r="M61" s="1093"/>
      <c r="N61" s="96">
        <v>12</v>
      </c>
      <c r="O61" s="96" t="s">
        <v>215</v>
      </c>
      <c r="P61" s="96">
        <v>36</v>
      </c>
      <c r="Q61" s="56" t="s">
        <v>44</v>
      </c>
      <c r="R61" s="1095"/>
      <c r="S61" s="21"/>
    </row>
    <row r="62" spans="1:19" s="7" customFormat="1" ht="30.1" customHeight="1" x14ac:dyDescent="0.25">
      <c r="A62" s="1101"/>
      <c r="B62" s="1094" t="s">
        <v>1716</v>
      </c>
      <c r="C62" s="1094" t="s">
        <v>1717</v>
      </c>
      <c r="D62" s="1094" t="s">
        <v>348</v>
      </c>
      <c r="E62" s="1104">
        <v>1100692081</v>
      </c>
      <c r="F62" s="96" t="s">
        <v>362</v>
      </c>
      <c r="G62" s="1094" t="s">
        <v>809</v>
      </c>
      <c r="H62" s="96" t="s">
        <v>1718</v>
      </c>
      <c r="I62" s="1094" t="s">
        <v>1719</v>
      </c>
      <c r="J62" s="1094" t="s">
        <v>1720</v>
      </c>
      <c r="K62" s="1092">
        <v>43580</v>
      </c>
      <c r="L62" s="1092">
        <v>43581</v>
      </c>
      <c r="M62" s="1092">
        <v>43610</v>
      </c>
      <c r="N62" s="96">
        <v>60</v>
      </c>
      <c r="O62" s="96" t="s">
        <v>4</v>
      </c>
      <c r="P62" s="96">
        <v>60</v>
      </c>
      <c r="Q62" s="96" t="s">
        <v>1721</v>
      </c>
      <c r="R62" s="96" t="s">
        <v>1723</v>
      </c>
      <c r="S62" s="21"/>
    </row>
    <row r="63" spans="1:19" s="7" customFormat="1" ht="30.1" customHeight="1" x14ac:dyDescent="0.25">
      <c r="A63" s="1102"/>
      <c r="B63" s="1097"/>
      <c r="C63" s="1097"/>
      <c r="D63" s="1097"/>
      <c r="E63" s="1105"/>
      <c r="F63" s="96" t="s">
        <v>362</v>
      </c>
      <c r="G63" s="1097"/>
      <c r="H63" s="96" t="s">
        <v>1718</v>
      </c>
      <c r="I63" s="1097"/>
      <c r="J63" s="1097"/>
      <c r="K63" s="1096"/>
      <c r="L63" s="1096"/>
      <c r="M63" s="1096"/>
      <c r="N63" s="96">
        <v>30</v>
      </c>
      <c r="O63" s="96" t="s">
        <v>215</v>
      </c>
      <c r="P63" s="96">
        <v>30</v>
      </c>
      <c r="Q63" s="96" t="s">
        <v>1722</v>
      </c>
      <c r="R63" s="96"/>
      <c r="S63" s="21"/>
    </row>
    <row r="64" spans="1:19" s="7" customFormat="1" ht="30.1" customHeight="1" x14ac:dyDescent="0.25">
      <c r="A64" s="1103"/>
      <c r="B64" s="1095"/>
      <c r="C64" s="1095"/>
      <c r="D64" s="1095"/>
      <c r="E64" s="1106"/>
      <c r="F64" s="96" t="s">
        <v>362</v>
      </c>
      <c r="G64" s="1095"/>
      <c r="H64" s="96" t="s">
        <v>1718</v>
      </c>
      <c r="I64" s="1095"/>
      <c r="J64" s="1095"/>
      <c r="K64" s="1093"/>
      <c r="L64" s="1093"/>
      <c r="M64" s="1093"/>
      <c r="N64" s="96">
        <v>30</v>
      </c>
      <c r="O64" s="96" t="s">
        <v>8</v>
      </c>
      <c r="P64" s="96">
        <v>30</v>
      </c>
      <c r="Q64" s="77" t="s">
        <v>1724</v>
      </c>
      <c r="R64" s="96"/>
      <c r="S64" s="21"/>
    </row>
    <row r="65" spans="1:21" s="7" customFormat="1" ht="30.1" customHeight="1" x14ac:dyDescent="0.25">
      <c r="A65" s="73"/>
      <c r="B65" s="96" t="s">
        <v>1737</v>
      </c>
      <c r="C65" s="96" t="s">
        <v>1738</v>
      </c>
      <c r="D65" s="96" t="s">
        <v>348</v>
      </c>
      <c r="E65" s="23">
        <v>25839015</v>
      </c>
      <c r="F65" s="96" t="s">
        <v>362</v>
      </c>
      <c r="G65" s="159" t="s">
        <v>1739</v>
      </c>
      <c r="H65" s="96" t="s">
        <v>9</v>
      </c>
      <c r="I65" s="96" t="s">
        <v>1740</v>
      </c>
      <c r="J65" s="96">
        <v>3234058538</v>
      </c>
      <c r="K65" s="74">
        <v>43581</v>
      </c>
      <c r="L65" s="74">
        <v>43582</v>
      </c>
      <c r="M65" s="74">
        <v>43611</v>
      </c>
      <c r="N65" s="96">
        <v>20</v>
      </c>
      <c r="O65" s="96" t="s">
        <v>4</v>
      </c>
      <c r="P65" s="96">
        <v>20</v>
      </c>
      <c r="Q65" s="96" t="s">
        <v>1255</v>
      </c>
      <c r="R65" s="96"/>
      <c r="S65" s="21"/>
    </row>
    <row r="66" spans="1:21" s="7" customFormat="1" ht="30.1" customHeight="1" x14ac:dyDescent="0.25">
      <c r="A66" s="73"/>
      <c r="B66" s="22" t="s">
        <v>1748</v>
      </c>
      <c r="C66" s="22" t="s">
        <v>1749</v>
      </c>
      <c r="D66" s="22" t="s">
        <v>348</v>
      </c>
      <c r="E66" s="321">
        <v>25874143</v>
      </c>
      <c r="F66" s="96" t="s">
        <v>362</v>
      </c>
      <c r="G66" s="96" t="s">
        <v>1752</v>
      </c>
      <c r="H66" s="96" t="s">
        <v>22</v>
      </c>
      <c r="I66" s="96" t="s">
        <v>216</v>
      </c>
      <c r="J66" s="96" t="s">
        <v>1751</v>
      </c>
      <c r="K66" s="74">
        <v>43584</v>
      </c>
      <c r="L66" s="74">
        <v>43582</v>
      </c>
      <c r="M66" s="74">
        <v>43611</v>
      </c>
      <c r="N66" s="96">
        <v>20</v>
      </c>
      <c r="O66" s="96" t="s">
        <v>4</v>
      </c>
      <c r="P66" s="96">
        <v>20</v>
      </c>
      <c r="Q66" s="96" t="s">
        <v>1750</v>
      </c>
      <c r="R66" s="96"/>
      <c r="S66" s="21"/>
    </row>
    <row r="67" spans="1:21" s="7" customFormat="1" ht="30.1" customHeight="1" x14ac:dyDescent="0.25">
      <c r="A67" s="73"/>
      <c r="B67" s="22" t="s">
        <v>744</v>
      </c>
      <c r="C67" s="22" t="s">
        <v>1756</v>
      </c>
      <c r="D67" s="22" t="s">
        <v>348</v>
      </c>
      <c r="E67" s="321">
        <v>35114224</v>
      </c>
      <c r="F67" s="96" t="s">
        <v>362</v>
      </c>
      <c r="G67" s="96" t="s">
        <v>1757</v>
      </c>
      <c r="H67" s="96" t="s">
        <v>9</v>
      </c>
      <c r="I67" s="96" t="s">
        <v>1758</v>
      </c>
      <c r="J67" s="96" t="s">
        <v>1759</v>
      </c>
      <c r="K67" s="74">
        <v>43584</v>
      </c>
      <c r="L67" s="74">
        <v>43585</v>
      </c>
      <c r="M67" s="74">
        <v>43614</v>
      </c>
      <c r="N67" s="96">
        <v>20</v>
      </c>
      <c r="O67" s="96" t="s">
        <v>4</v>
      </c>
      <c r="P67" s="96">
        <v>20</v>
      </c>
      <c r="Q67" s="96" t="s">
        <v>7</v>
      </c>
      <c r="R67" s="96"/>
      <c r="S67" s="21"/>
    </row>
    <row r="68" spans="1:21" s="7" customFormat="1" ht="30.1" customHeight="1" x14ac:dyDescent="0.25">
      <c r="A68" s="73"/>
      <c r="B68" s="22" t="s">
        <v>1839</v>
      </c>
      <c r="C68" s="22" t="s">
        <v>1840</v>
      </c>
      <c r="D68" s="22" t="s">
        <v>348</v>
      </c>
      <c r="E68" s="321">
        <v>2756718</v>
      </c>
      <c r="F68" s="96" t="s">
        <v>362</v>
      </c>
      <c r="G68" s="96" t="s">
        <v>1841</v>
      </c>
      <c r="H68" s="96" t="s">
        <v>22</v>
      </c>
      <c r="I68" s="96" t="s">
        <v>1842</v>
      </c>
      <c r="J68" s="96">
        <v>3008484750</v>
      </c>
      <c r="K68" s="74">
        <v>43588</v>
      </c>
      <c r="L68" s="74">
        <v>43588</v>
      </c>
      <c r="M68" s="74">
        <v>43618</v>
      </c>
      <c r="N68" s="96">
        <v>30</v>
      </c>
      <c r="O68" s="96" t="s">
        <v>4</v>
      </c>
      <c r="P68" s="96">
        <v>30</v>
      </c>
      <c r="Q68" s="96" t="s">
        <v>1750</v>
      </c>
      <c r="R68" s="96"/>
      <c r="S68" s="21"/>
      <c r="U68" s="7" t="s">
        <v>415</v>
      </c>
    </row>
    <row r="69" spans="1:21" s="7" customFormat="1" ht="30.1" customHeight="1" x14ac:dyDescent="0.25">
      <c r="A69" s="73"/>
      <c r="B69" s="96" t="s">
        <v>1822</v>
      </c>
      <c r="C69" s="96" t="s">
        <v>1873</v>
      </c>
      <c r="D69" s="96" t="s">
        <v>348</v>
      </c>
      <c r="E69" s="23">
        <v>25986663</v>
      </c>
      <c r="F69" s="96" t="s">
        <v>349</v>
      </c>
      <c r="G69" s="96" t="s">
        <v>1874</v>
      </c>
      <c r="H69" s="96" t="s">
        <v>15</v>
      </c>
      <c r="I69" s="96"/>
      <c r="J69" s="96">
        <v>3105985144</v>
      </c>
      <c r="K69" s="74">
        <v>43592</v>
      </c>
      <c r="L69" s="74">
        <v>43593</v>
      </c>
      <c r="M69" s="74">
        <v>43623</v>
      </c>
      <c r="N69" s="96">
        <v>20</v>
      </c>
      <c r="O69" s="96" t="s">
        <v>4</v>
      </c>
      <c r="P69" s="96">
        <v>20</v>
      </c>
      <c r="Q69" s="96" t="s">
        <v>16</v>
      </c>
      <c r="R69" s="96"/>
      <c r="S69" s="21"/>
    </row>
    <row r="70" spans="1:21" s="7" customFormat="1" ht="30.1" customHeight="1" x14ac:dyDescent="0.25">
      <c r="A70" s="73"/>
      <c r="B70" s="96" t="s">
        <v>1921</v>
      </c>
      <c r="C70" s="96" t="s">
        <v>1922</v>
      </c>
      <c r="D70" s="96" t="s">
        <v>348</v>
      </c>
      <c r="E70" s="23">
        <v>25810244</v>
      </c>
      <c r="F70" s="96" t="s">
        <v>362</v>
      </c>
      <c r="G70" s="96" t="s">
        <v>1923</v>
      </c>
      <c r="H70" s="96" t="s">
        <v>25</v>
      </c>
      <c r="I70" s="96" t="s">
        <v>1924</v>
      </c>
      <c r="J70" s="96" t="s">
        <v>1925</v>
      </c>
      <c r="K70" s="74">
        <v>43560</v>
      </c>
      <c r="L70" s="74">
        <v>43563</v>
      </c>
      <c r="M70" s="74">
        <v>43593</v>
      </c>
      <c r="N70" s="96">
        <v>30</v>
      </c>
      <c r="O70" s="96" t="s">
        <v>4</v>
      </c>
      <c r="P70" s="96">
        <v>30</v>
      </c>
      <c r="Q70" s="96" t="s">
        <v>26</v>
      </c>
      <c r="R70" s="96"/>
      <c r="S70" s="21"/>
    </row>
    <row r="71" spans="1:21" s="7" customFormat="1" ht="30.1" customHeight="1" x14ac:dyDescent="0.25">
      <c r="A71" s="73"/>
      <c r="B71" s="96" t="s">
        <v>1932</v>
      </c>
      <c r="C71" s="96" t="s">
        <v>1933</v>
      </c>
      <c r="D71" s="96" t="s">
        <v>348</v>
      </c>
      <c r="E71" s="23">
        <v>98624442</v>
      </c>
      <c r="F71" s="96" t="s">
        <v>906</v>
      </c>
      <c r="G71" s="96" t="s">
        <v>1625</v>
      </c>
      <c r="H71" s="96" t="s">
        <v>9</v>
      </c>
      <c r="I71" s="96" t="s">
        <v>1934</v>
      </c>
      <c r="J71" s="96" t="s">
        <v>1935</v>
      </c>
      <c r="K71" s="74">
        <v>43599</v>
      </c>
      <c r="L71" s="74">
        <v>43599</v>
      </c>
      <c r="M71" s="74">
        <v>43609</v>
      </c>
      <c r="N71" s="96">
        <v>20</v>
      </c>
      <c r="O71" s="96" t="s">
        <v>5</v>
      </c>
      <c r="P71" s="96">
        <v>20</v>
      </c>
      <c r="Q71" s="96" t="s">
        <v>7</v>
      </c>
      <c r="R71" s="96"/>
      <c r="S71" s="21"/>
    </row>
    <row r="72" spans="1:21" s="3" customFormat="1" ht="20.05" customHeight="1" x14ac:dyDescent="0.25">
      <c r="A72" s="320"/>
      <c r="B72" s="567" t="s">
        <v>2120</v>
      </c>
      <c r="C72" s="567" t="s">
        <v>2121</v>
      </c>
      <c r="D72" s="565">
        <v>26158124</v>
      </c>
      <c r="E72" s="564" t="s">
        <v>2122</v>
      </c>
      <c r="F72" s="568">
        <v>43617</v>
      </c>
      <c r="G72" s="568">
        <v>43646</v>
      </c>
      <c r="H72" s="563" t="s">
        <v>686</v>
      </c>
      <c r="I72" s="216">
        <v>15</v>
      </c>
      <c r="J72" s="216" t="s">
        <v>4</v>
      </c>
      <c r="K72" s="81" t="s">
        <v>822</v>
      </c>
      <c r="L72" s="566" t="s">
        <v>2123</v>
      </c>
      <c r="M72" s="564">
        <v>0</v>
      </c>
      <c r="N72" s="44"/>
      <c r="O72" s="41"/>
    </row>
    <row r="73" spans="1:21" s="116" customFormat="1" ht="68.3" customHeight="1" x14ac:dyDescent="0.25">
      <c r="A73" s="1329"/>
      <c r="B73" s="1360" t="s">
        <v>941</v>
      </c>
      <c r="C73" s="1360" t="s">
        <v>942</v>
      </c>
      <c r="D73" s="1360" t="s">
        <v>355</v>
      </c>
      <c r="E73" s="1398">
        <v>1137975345</v>
      </c>
      <c r="F73" s="219" t="s">
        <v>906</v>
      </c>
      <c r="G73" s="1360" t="s">
        <v>484</v>
      </c>
      <c r="H73" s="148" t="s">
        <v>383</v>
      </c>
      <c r="I73" s="1360" t="s">
        <v>943</v>
      </c>
      <c r="J73" s="1329">
        <v>6</v>
      </c>
      <c r="K73" s="1478">
        <v>5</v>
      </c>
      <c r="L73" s="153">
        <v>24</v>
      </c>
      <c r="M73" s="53" t="s">
        <v>4</v>
      </c>
      <c r="N73" s="148" t="s">
        <v>944</v>
      </c>
      <c r="O73" s="148" t="s">
        <v>945</v>
      </c>
      <c r="P73" s="53"/>
    </row>
    <row r="74" spans="1:21" s="116" customFormat="1" ht="58.6" customHeight="1" x14ac:dyDescent="0.25">
      <c r="A74" s="1330"/>
      <c r="B74" s="1362"/>
      <c r="C74" s="1362"/>
      <c r="D74" s="1362"/>
      <c r="E74" s="1399"/>
      <c r="F74" s="238" t="s">
        <v>906</v>
      </c>
      <c r="G74" s="1362"/>
      <c r="H74" s="238" t="s">
        <v>383</v>
      </c>
      <c r="I74" s="1362"/>
      <c r="J74" s="1330"/>
      <c r="K74" s="1479"/>
      <c r="L74" s="240">
        <v>12</v>
      </c>
      <c r="M74" s="53" t="s">
        <v>8</v>
      </c>
      <c r="N74" s="238" t="s">
        <v>1552</v>
      </c>
      <c r="O74" s="238" t="s">
        <v>1551</v>
      </c>
      <c r="P74" s="53" t="s">
        <v>1553</v>
      </c>
    </row>
    <row r="75" spans="1:21" s="7" customFormat="1" ht="30.1" customHeight="1" x14ac:dyDescent="0.25">
      <c r="A75" s="1101"/>
      <c r="B75" s="1378" t="s">
        <v>2378</v>
      </c>
      <c r="C75" s="1378" t="s">
        <v>2379</v>
      </c>
      <c r="D75" s="1094" t="s">
        <v>348</v>
      </c>
      <c r="E75" s="1104">
        <v>78029710</v>
      </c>
      <c r="F75" s="697" t="s">
        <v>349</v>
      </c>
      <c r="G75" s="1094" t="s">
        <v>2380</v>
      </c>
      <c r="H75" s="697" t="s">
        <v>9</v>
      </c>
      <c r="I75" s="1094" t="s">
        <v>2381</v>
      </c>
      <c r="J75" s="1094" t="s">
        <v>2382</v>
      </c>
      <c r="K75" s="1092">
        <v>43563</v>
      </c>
      <c r="L75" s="1092">
        <v>43564</v>
      </c>
      <c r="M75" s="1092">
        <v>43654</v>
      </c>
      <c r="N75" s="96">
        <v>8</v>
      </c>
      <c r="O75" s="96" t="s">
        <v>4</v>
      </c>
      <c r="P75" s="96">
        <v>24</v>
      </c>
      <c r="Q75" s="96" t="s">
        <v>711</v>
      </c>
      <c r="R75" s="1094" t="s">
        <v>2383</v>
      </c>
      <c r="S75" s="698"/>
    </row>
    <row r="76" spans="1:21" s="7" customFormat="1" ht="30.1" customHeight="1" x14ac:dyDescent="0.25">
      <c r="A76" s="1103"/>
      <c r="B76" s="1380"/>
      <c r="C76" s="1380"/>
      <c r="D76" s="1095"/>
      <c r="E76" s="1106"/>
      <c r="F76" s="96" t="s">
        <v>349</v>
      </c>
      <c r="G76" s="1095"/>
      <c r="H76" s="96" t="s">
        <v>9</v>
      </c>
      <c r="I76" s="1095"/>
      <c r="J76" s="1095"/>
      <c r="K76" s="1093"/>
      <c r="L76" s="1093"/>
      <c r="M76" s="1093"/>
      <c r="N76" s="96">
        <v>4</v>
      </c>
      <c r="O76" s="96" t="s">
        <v>8</v>
      </c>
      <c r="P76" s="96">
        <v>12</v>
      </c>
      <c r="Q76" s="96" t="s">
        <v>381</v>
      </c>
      <c r="R76" s="1095"/>
      <c r="S76" s="96"/>
    </row>
    <row r="77" spans="1:21" s="4" customFormat="1" ht="30.1" customHeight="1" x14ac:dyDescent="0.25">
      <c r="A77" s="60"/>
      <c r="B77" s="644" t="s">
        <v>354</v>
      </c>
      <c r="C77" s="644" t="s">
        <v>721</v>
      </c>
      <c r="D77" s="58" t="s">
        <v>348</v>
      </c>
      <c r="E77" s="587">
        <v>10967175</v>
      </c>
      <c r="F77" s="86" t="s">
        <v>349</v>
      </c>
      <c r="G77" s="58" t="s">
        <v>527</v>
      </c>
      <c r="H77" s="58" t="s">
        <v>1318</v>
      </c>
      <c r="I77" s="58" t="s">
        <v>2198</v>
      </c>
      <c r="J77" s="59">
        <v>43552</v>
      </c>
      <c r="K77" s="59">
        <v>43556</v>
      </c>
      <c r="L77" s="59">
        <v>43646</v>
      </c>
      <c r="M77" s="78">
        <v>12</v>
      </c>
      <c r="N77" s="78" t="s">
        <v>4</v>
      </c>
      <c r="O77" s="78">
        <v>36</v>
      </c>
      <c r="P77" s="643" t="s">
        <v>822</v>
      </c>
      <c r="Q77" s="58" t="s">
        <v>722</v>
      </c>
      <c r="R77" s="58"/>
    </row>
    <row r="78" spans="1:21" s="4" customFormat="1" ht="30.1" customHeight="1" x14ac:dyDescent="0.25">
      <c r="A78" s="363"/>
      <c r="B78" s="644" t="s">
        <v>1860</v>
      </c>
      <c r="C78" s="644" t="s">
        <v>1861</v>
      </c>
      <c r="D78" s="362" t="s">
        <v>348</v>
      </c>
      <c r="E78" s="587">
        <v>4436630</v>
      </c>
      <c r="F78" s="362" t="s">
        <v>362</v>
      </c>
      <c r="G78" s="246" t="s">
        <v>1862</v>
      </c>
      <c r="H78" s="362" t="s">
        <v>1863</v>
      </c>
      <c r="I78" s="362" t="s">
        <v>1864</v>
      </c>
      <c r="J78" s="361">
        <v>43592</v>
      </c>
      <c r="K78" s="361">
        <v>43593</v>
      </c>
      <c r="L78" s="361">
        <v>43636</v>
      </c>
      <c r="M78" s="362">
        <v>30</v>
      </c>
      <c r="N78" s="362" t="s">
        <v>4</v>
      </c>
      <c r="O78" s="362">
        <v>30</v>
      </c>
      <c r="P78" s="643" t="s">
        <v>822</v>
      </c>
      <c r="Q78" s="362"/>
      <c r="R78" s="362"/>
    </row>
    <row r="79" spans="1:21" s="4" customFormat="1" ht="30.1" customHeight="1" x14ac:dyDescent="0.25">
      <c r="A79" s="324"/>
      <c r="B79" s="644" t="s">
        <v>2099</v>
      </c>
      <c r="C79" s="644" t="s">
        <v>2100</v>
      </c>
      <c r="D79" s="323" t="s">
        <v>348</v>
      </c>
      <c r="E79" s="587">
        <v>34905177</v>
      </c>
      <c r="F79" s="323" t="s">
        <v>362</v>
      </c>
      <c r="G79" s="323" t="s">
        <v>2101</v>
      </c>
      <c r="H79" s="323" t="s">
        <v>2102</v>
      </c>
      <c r="I79" s="323">
        <v>3104520531</v>
      </c>
      <c r="J79" s="322">
        <v>43614</v>
      </c>
      <c r="K79" s="322">
        <v>43615</v>
      </c>
      <c r="L79" s="322">
        <v>43641</v>
      </c>
      <c r="M79" s="323">
        <v>15</v>
      </c>
      <c r="N79" s="323" t="s">
        <v>4</v>
      </c>
      <c r="O79" s="323">
        <v>15</v>
      </c>
      <c r="P79" s="643"/>
      <c r="Q79" s="323"/>
      <c r="R79" s="323"/>
    </row>
    <row r="80" spans="1:21" s="4" customFormat="1" ht="30.1" customHeight="1" x14ac:dyDescent="0.25">
      <c r="A80" s="111"/>
      <c r="B80" s="677" t="s">
        <v>1214</v>
      </c>
      <c r="C80" s="677" t="s">
        <v>1215</v>
      </c>
      <c r="D80" s="249" t="s">
        <v>348</v>
      </c>
      <c r="E80" s="587">
        <v>6892721</v>
      </c>
      <c r="F80" s="249" t="s">
        <v>349</v>
      </c>
      <c r="G80" s="249" t="s">
        <v>494</v>
      </c>
      <c r="H80" s="249" t="s">
        <v>1216</v>
      </c>
      <c r="I80" s="249" t="s">
        <v>1217</v>
      </c>
      <c r="J80" s="248">
        <v>43538</v>
      </c>
      <c r="K80" s="248">
        <v>43539</v>
      </c>
      <c r="L80" s="248">
        <v>43643</v>
      </c>
      <c r="M80" s="249">
        <v>20</v>
      </c>
      <c r="N80" s="249" t="s">
        <v>4</v>
      </c>
      <c r="O80" s="249">
        <v>60</v>
      </c>
      <c r="P80" s="643" t="s">
        <v>2303</v>
      </c>
      <c r="Q80" s="249" t="s">
        <v>352</v>
      </c>
      <c r="R80" s="249" t="s">
        <v>1591</v>
      </c>
    </row>
    <row r="81" spans="1:18" s="4" customFormat="1" ht="30.1" customHeight="1" x14ac:dyDescent="0.25">
      <c r="A81" s="324"/>
      <c r="B81" s="644" t="s">
        <v>1865</v>
      </c>
      <c r="C81" s="644" t="s">
        <v>1866</v>
      </c>
      <c r="D81" s="323" t="s">
        <v>348</v>
      </c>
      <c r="E81" s="587">
        <v>39776587</v>
      </c>
      <c r="F81" s="323" t="s">
        <v>906</v>
      </c>
      <c r="G81" s="323" t="s">
        <v>1928</v>
      </c>
      <c r="H81" s="323" t="s">
        <v>1929</v>
      </c>
      <c r="I81" s="323" t="s">
        <v>1930</v>
      </c>
      <c r="J81" s="322">
        <v>43591</v>
      </c>
      <c r="K81" s="322">
        <v>43592</v>
      </c>
      <c r="L81" s="322">
        <v>43631</v>
      </c>
      <c r="M81" s="323">
        <v>30</v>
      </c>
      <c r="N81" s="323" t="s">
        <v>4</v>
      </c>
      <c r="O81" s="323">
        <v>30</v>
      </c>
      <c r="P81" s="643"/>
      <c r="Q81" s="323"/>
      <c r="R81" s="323"/>
    </row>
    <row r="82" spans="1:18" s="4" customFormat="1" ht="30.1" customHeight="1" x14ac:dyDescent="0.25">
      <c r="A82" s="324"/>
      <c r="B82" s="644" t="s">
        <v>2055</v>
      </c>
      <c r="C82" s="644" t="s">
        <v>2056</v>
      </c>
      <c r="D82" s="323" t="s">
        <v>348</v>
      </c>
      <c r="E82" s="587">
        <v>34969331</v>
      </c>
      <c r="F82" s="323" t="s">
        <v>362</v>
      </c>
      <c r="G82" s="323" t="s">
        <v>530</v>
      </c>
      <c r="H82" s="323" t="s">
        <v>2057</v>
      </c>
      <c r="I82" s="323">
        <v>3144075929</v>
      </c>
      <c r="J82" s="322">
        <v>43607</v>
      </c>
      <c r="K82" s="322">
        <v>43608</v>
      </c>
      <c r="L82" s="322">
        <v>43638</v>
      </c>
      <c r="M82" s="323">
        <v>20</v>
      </c>
      <c r="N82" s="323" t="s">
        <v>4</v>
      </c>
      <c r="O82" s="323">
        <v>20</v>
      </c>
      <c r="P82" s="643"/>
      <c r="Q82" s="323"/>
      <c r="R82" s="323"/>
    </row>
    <row r="83" spans="1:18" s="62" customFormat="1" ht="30.1" customHeight="1" x14ac:dyDescent="0.25">
      <c r="A83" s="111"/>
      <c r="B83" s="673" t="s">
        <v>969</v>
      </c>
      <c r="C83" s="673" t="s">
        <v>970</v>
      </c>
      <c r="D83" s="112" t="s">
        <v>348</v>
      </c>
      <c r="E83" s="587">
        <v>35000129</v>
      </c>
      <c r="F83" s="112" t="s">
        <v>906</v>
      </c>
      <c r="G83" s="112" t="s">
        <v>971</v>
      </c>
      <c r="H83" s="112" t="s">
        <v>972</v>
      </c>
      <c r="I83" s="112" t="s">
        <v>973</v>
      </c>
      <c r="J83" s="110">
        <v>43614</v>
      </c>
      <c r="K83" s="110">
        <v>43615</v>
      </c>
      <c r="L83" s="110">
        <v>43646</v>
      </c>
      <c r="M83" s="112">
        <v>30</v>
      </c>
      <c r="N83" s="112" t="s">
        <v>4</v>
      </c>
      <c r="O83" s="112">
        <v>30</v>
      </c>
      <c r="P83" s="643" t="s">
        <v>2301</v>
      </c>
      <c r="Q83" s="112"/>
      <c r="R83" s="112"/>
    </row>
    <row r="84" spans="1:18" s="4" customFormat="1" ht="30.1" customHeight="1" x14ac:dyDescent="0.25">
      <c r="A84" s="552"/>
      <c r="B84" s="644" t="s">
        <v>2124</v>
      </c>
      <c r="C84" s="644" t="s">
        <v>2125</v>
      </c>
      <c r="D84" s="551" t="s">
        <v>348</v>
      </c>
      <c r="E84" s="587">
        <v>34978320</v>
      </c>
      <c r="F84" s="551" t="s">
        <v>906</v>
      </c>
      <c r="G84" s="551" t="s">
        <v>2126</v>
      </c>
      <c r="H84" s="551" t="s">
        <v>2127</v>
      </c>
      <c r="I84" s="551" t="s">
        <v>2128</v>
      </c>
      <c r="J84" s="550">
        <v>43617</v>
      </c>
      <c r="K84" s="550">
        <v>43617</v>
      </c>
      <c r="L84" s="550">
        <v>43624</v>
      </c>
      <c r="M84" s="551">
        <v>28</v>
      </c>
      <c r="N84" s="551" t="s">
        <v>5</v>
      </c>
      <c r="O84" s="551">
        <v>28</v>
      </c>
      <c r="P84" s="643"/>
      <c r="Q84" s="551" t="s">
        <v>2129</v>
      </c>
      <c r="R84" s="551"/>
    </row>
    <row r="85" spans="1:18" s="4" customFormat="1" ht="30.1" customHeight="1" x14ac:dyDescent="0.25">
      <c r="A85" s="552"/>
      <c r="B85" s="644" t="s">
        <v>2210</v>
      </c>
      <c r="C85" s="644" t="s">
        <v>2211</v>
      </c>
      <c r="D85" s="551" t="s">
        <v>348</v>
      </c>
      <c r="E85" s="587">
        <v>34962389</v>
      </c>
      <c r="F85" s="551" t="s">
        <v>349</v>
      </c>
      <c r="G85" s="551" t="s">
        <v>1625</v>
      </c>
      <c r="H85" s="551" t="s">
        <v>2212</v>
      </c>
      <c r="I85" s="551" t="s">
        <v>2213</v>
      </c>
      <c r="J85" s="550">
        <v>43627</v>
      </c>
      <c r="K85" s="550">
        <v>43627</v>
      </c>
      <c r="L85" s="550">
        <v>43632</v>
      </c>
      <c r="M85" s="551">
        <v>20</v>
      </c>
      <c r="N85" s="551" t="s">
        <v>5</v>
      </c>
      <c r="O85" s="551">
        <v>20</v>
      </c>
      <c r="P85" s="643"/>
      <c r="Q85" s="551" t="s">
        <v>2221</v>
      </c>
      <c r="R85" s="551"/>
    </row>
    <row r="86" spans="1:18" s="4" customFormat="1" ht="30.1" customHeight="1" x14ac:dyDescent="0.25">
      <c r="A86" s="552"/>
      <c r="B86" s="644" t="s">
        <v>2216</v>
      </c>
      <c r="C86" s="644" t="s">
        <v>2217</v>
      </c>
      <c r="D86" s="551" t="s">
        <v>348</v>
      </c>
      <c r="E86" s="587">
        <v>6886459</v>
      </c>
      <c r="F86" s="551" t="s">
        <v>2218</v>
      </c>
      <c r="G86" s="551" t="s">
        <v>1625</v>
      </c>
      <c r="H86" s="551" t="s">
        <v>2219</v>
      </c>
      <c r="I86" s="551" t="s">
        <v>2220</v>
      </c>
      <c r="J86" s="550">
        <v>43626</v>
      </c>
      <c r="K86" s="550">
        <v>43626</v>
      </c>
      <c r="L86" s="550">
        <v>43631</v>
      </c>
      <c r="M86" s="551">
        <v>20</v>
      </c>
      <c r="N86" s="551" t="s">
        <v>5</v>
      </c>
      <c r="O86" s="551">
        <v>20</v>
      </c>
      <c r="P86" s="643" t="s">
        <v>2298</v>
      </c>
      <c r="Q86" s="551" t="s">
        <v>2221</v>
      </c>
      <c r="R86" s="551"/>
    </row>
    <row r="87" spans="1:18" s="705" customFormat="1" ht="30.1" customHeight="1" x14ac:dyDescent="0.25">
      <c r="A87" s="706"/>
      <c r="B87" s="702" t="s">
        <v>2232</v>
      </c>
      <c r="C87" s="702" t="s">
        <v>2233</v>
      </c>
      <c r="D87" s="702" t="s">
        <v>355</v>
      </c>
      <c r="E87" s="701">
        <v>1138077470</v>
      </c>
      <c r="F87" s="703" t="s">
        <v>349</v>
      </c>
      <c r="G87" s="702" t="s">
        <v>484</v>
      </c>
      <c r="H87" s="702" t="s">
        <v>2234</v>
      </c>
      <c r="I87" s="702" t="s">
        <v>2235</v>
      </c>
      <c r="J87" s="704">
        <v>43598</v>
      </c>
      <c r="K87" s="704">
        <v>43598</v>
      </c>
      <c r="L87" s="704">
        <v>43628</v>
      </c>
      <c r="M87" s="703">
        <v>30</v>
      </c>
      <c r="N87" s="703" t="s">
        <v>5</v>
      </c>
      <c r="O87" s="703">
        <v>30</v>
      </c>
      <c r="P87" s="703"/>
      <c r="Q87" s="703"/>
      <c r="R87" s="703"/>
    </row>
    <row r="88" spans="1:18" s="3" customFormat="1" ht="20.05" customHeight="1" x14ac:dyDescent="0.25">
      <c r="A88" s="320"/>
      <c r="B88" s="1473" t="s">
        <v>1428</v>
      </c>
      <c r="C88" s="1473" t="s">
        <v>1429</v>
      </c>
      <c r="D88" s="1226">
        <v>1016036311</v>
      </c>
      <c r="E88" s="1223" t="s">
        <v>1430</v>
      </c>
      <c r="F88" s="1470">
        <v>43591</v>
      </c>
      <c r="G88" s="1470">
        <v>43615</v>
      </c>
      <c r="H88" s="1467" t="s">
        <v>65</v>
      </c>
      <c r="I88" s="85">
        <v>30</v>
      </c>
      <c r="J88" s="85" t="s">
        <v>4</v>
      </c>
      <c r="K88" s="660"/>
      <c r="L88" s="1233">
        <v>3117038782</v>
      </c>
      <c r="M88" s="1223" t="s">
        <v>1431</v>
      </c>
      <c r="N88" s="422"/>
      <c r="O88" s="41"/>
    </row>
    <row r="89" spans="1:18" s="3" customFormat="1" ht="20.05" customHeight="1" x14ac:dyDescent="0.25">
      <c r="A89" s="320"/>
      <c r="B89" s="1474"/>
      <c r="C89" s="1474"/>
      <c r="D89" s="1227"/>
      <c r="E89" s="1224"/>
      <c r="F89" s="1471"/>
      <c r="G89" s="1471"/>
      <c r="H89" s="1468"/>
      <c r="I89" s="85">
        <v>4</v>
      </c>
      <c r="J89" s="85" t="s">
        <v>214</v>
      </c>
      <c r="K89" s="660"/>
      <c r="L89" s="1234"/>
      <c r="M89" s="1224"/>
      <c r="N89" s="423"/>
      <c r="O89" s="41"/>
    </row>
    <row r="90" spans="1:18" s="3" customFormat="1" ht="20.05" customHeight="1" x14ac:dyDescent="0.25">
      <c r="A90" s="320"/>
      <c r="B90" s="1475"/>
      <c r="C90" s="1475"/>
      <c r="D90" s="1228"/>
      <c r="E90" s="1225"/>
      <c r="F90" s="1472"/>
      <c r="G90" s="1472"/>
      <c r="H90" s="1469"/>
      <c r="I90" s="85">
        <v>30</v>
      </c>
      <c r="J90" s="85" t="s">
        <v>8</v>
      </c>
      <c r="K90" s="660"/>
      <c r="L90" s="1235"/>
      <c r="M90" s="1225"/>
      <c r="N90" s="424"/>
      <c r="O90" s="41"/>
    </row>
    <row r="91" spans="1:18" s="3" customFormat="1" ht="20.05" customHeight="1" x14ac:dyDescent="0.25">
      <c r="A91" s="320"/>
      <c r="B91" s="191" t="s">
        <v>870</v>
      </c>
      <c r="C91" s="191" t="s">
        <v>1331</v>
      </c>
      <c r="D91" s="192">
        <v>6888265</v>
      </c>
      <c r="E91" s="193" t="s">
        <v>558</v>
      </c>
      <c r="F91" s="589">
        <v>43592</v>
      </c>
      <c r="G91" s="589">
        <v>43615</v>
      </c>
      <c r="H91" s="413" t="s">
        <v>33</v>
      </c>
      <c r="I91" s="411">
        <v>12</v>
      </c>
      <c r="J91" s="411" t="s">
        <v>4</v>
      </c>
      <c r="K91" s="660"/>
      <c r="L91" s="194">
        <v>3113077747</v>
      </c>
      <c r="M91" s="193" t="s">
        <v>1332</v>
      </c>
      <c r="N91" s="44" t="s">
        <v>1333</v>
      </c>
      <c r="O91" s="41"/>
    </row>
    <row r="92" spans="1:18" s="3" customFormat="1" ht="20.05" customHeight="1" x14ac:dyDescent="0.25">
      <c r="A92" s="320"/>
      <c r="B92" s="106" t="s">
        <v>1264</v>
      </c>
      <c r="C92" s="106" t="s">
        <v>1265</v>
      </c>
      <c r="D92" s="138">
        <v>6573401</v>
      </c>
      <c r="E92" s="169" t="s">
        <v>490</v>
      </c>
      <c r="F92" s="589">
        <v>43592</v>
      </c>
      <c r="G92" s="589">
        <v>43615</v>
      </c>
      <c r="H92" s="413" t="s">
        <v>33</v>
      </c>
      <c r="I92" s="411">
        <v>12</v>
      </c>
      <c r="J92" s="411" t="s">
        <v>4</v>
      </c>
      <c r="K92" s="660"/>
      <c r="L92" s="170">
        <v>7898545</v>
      </c>
      <c r="M92" s="169" t="s">
        <v>1266</v>
      </c>
      <c r="N92" s="169"/>
      <c r="O92" s="41"/>
    </row>
    <row r="93" spans="1:18" s="3" customFormat="1" ht="20.05" customHeight="1" x14ac:dyDescent="0.25">
      <c r="A93" s="320"/>
      <c r="B93" s="1186" t="s">
        <v>1177</v>
      </c>
      <c r="C93" s="1186" t="s">
        <v>1178</v>
      </c>
      <c r="D93" s="1189">
        <v>22156191</v>
      </c>
      <c r="E93" s="1186" t="s">
        <v>1179</v>
      </c>
      <c r="F93" s="1465">
        <v>43592</v>
      </c>
      <c r="G93" s="1465">
        <v>43615</v>
      </c>
      <c r="H93" s="1459" t="s">
        <v>1016</v>
      </c>
      <c r="I93" s="425">
        <v>20</v>
      </c>
      <c r="J93" s="425" t="s">
        <v>4</v>
      </c>
      <c r="K93" s="629"/>
      <c r="L93" s="1457" t="s">
        <v>1180</v>
      </c>
      <c r="M93" s="1186" t="s">
        <v>1181</v>
      </c>
      <c r="N93" s="1461" t="s">
        <v>1891</v>
      </c>
      <c r="O93" s="1462"/>
    </row>
    <row r="94" spans="1:18" s="3" customFormat="1" ht="22.45" customHeight="1" x14ac:dyDescent="0.25">
      <c r="A94" s="320"/>
      <c r="B94" s="1188"/>
      <c r="C94" s="1188"/>
      <c r="D94" s="1191"/>
      <c r="E94" s="1188"/>
      <c r="F94" s="1466"/>
      <c r="G94" s="1466"/>
      <c r="H94" s="1460"/>
      <c r="I94" s="425">
        <v>20</v>
      </c>
      <c r="J94" s="425" t="s">
        <v>5</v>
      </c>
      <c r="K94" s="629"/>
      <c r="L94" s="1458"/>
      <c r="M94" s="1188"/>
      <c r="N94" s="1463"/>
      <c r="O94" s="1464"/>
    </row>
    <row r="95" spans="1:18" s="3" customFormat="1" ht="20.05" customHeight="1" x14ac:dyDescent="0.25">
      <c r="A95" s="320"/>
      <c r="B95" s="198" t="s">
        <v>1366</v>
      </c>
      <c r="C95" s="198" t="s">
        <v>1367</v>
      </c>
      <c r="D95" s="197">
        <v>26082422</v>
      </c>
      <c r="E95" s="203" t="s">
        <v>1368</v>
      </c>
      <c r="F95" s="535">
        <v>43592</v>
      </c>
      <c r="G95" s="535">
        <v>43615</v>
      </c>
      <c r="H95" s="133" t="s">
        <v>33</v>
      </c>
      <c r="I95" s="421">
        <v>12</v>
      </c>
      <c r="J95" s="421" t="s">
        <v>4</v>
      </c>
      <c r="K95" s="660"/>
      <c r="L95" s="199">
        <v>3126220136</v>
      </c>
      <c r="M95" s="199" t="s">
        <v>1369</v>
      </c>
      <c r="N95" s="200"/>
      <c r="O95" s="41"/>
    </row>
    <row r="96" spans="1:18" s="3" customFormat="1" ht="20.05" customHeight="1" x14ac:dyDescent="0.25">
      <c r="A96" s="320"/>
      <c r="B96" s="579" t="s">
        <v>715</v>
      </c>
      <c r="C96" s="579" t="s">
        <v>2157</v>
      </c>
      <c r="D96" s="580">
        <v>1067840037</v>
      </c>
      <c r="E96" s="490" t="s">
        <v>1976</v>
      </c>
      <c r="F96" s="471">
        <v>43621</v>
      </c>
      <c r="G96" s="471">
        <v>43646</v>
      </c>
      <c r="H96" s="174" t="s">
        <v>686</v>
      </c>
      <c r="I96" s="490">
        <v>18</v>
      </c>
      <c r="J96" s="490" t="s">
        <v>4</v>
      </c>
      <c r="K96" s="629" t="s">
        <v>2313</v>
      </c>
      <c r="L96" s="459">
        <v>3147685676</v>
      </c>
      <c r="M96" s="490" t="s">
        <v>2158</v>
      </c>
      <c r="N96" s="1453" t="s">
        <v>2159</v>
      </c>
      <c r="O96" s="1454"/>
    </row>
    <row r="97" spans="1:20" s="3" customFormat="1" ht="20.05" customHeight="1" x14ac:dyDescent="0.25">
      <c r="A97" s="320"/>
      <c r="B97" s="41" t="s">
        <v>1586</v>
      </c>
      <c r="C97" s="41" t="s">
        <v>1587</v>
      </c>
      <c r="D97" s="137">
        <v>34970383</v>
      </c>
      <c r="E97" s="247" t="s">
        <v>503</v>
      </c>
      <c r="F97" s="589"/>
      <c r="G97" s="589"/>
      <c r="H97" s="546"/>
      <c r="I97" s="12"/>
      <c r="J97" s="12"/>
      <c r="K97" s="661"/>
      <c r="L97" s="44" t="s">
        <v>1588</v>
      </c>
      <c r="M97" s="43" t="s">
        <v>1589</v>
      </c>
      <c r="N97" s="44" t="s">
        <v>1590</v>
      </c>
      <c r="O97" s="41"/>
    </row>
    <row r="98" spans="1:20" s="3" customFormat="1" ht="20.05" customHeight="1" x14ac:dyDescent="0.25">
      <c r="A98" s="320"/>
      <c r="B98" s="187" t="s">
        <v>1243</v>
      </c>
      <c r="C98" s="187" t="s">
        <v>1244</v>
      </c>
      <c r="D98" s="173">
        <v>25764584</v>
      </c>
      <c r="E98" s="172" t="s">
        <v>1245</v>
      </c>
      <c r="F98" s="535">
        <v>43592</v>
      </c>
      <c r="G98" s="535">
        <v>43615</v>
      </c>
      <c r="H98" s="133" t="s">
        <v>33</v>
      </c>
      <c r="I98" s="421">
        <v>12</v>
      </c>
      <c r="J98" s="421" t="s">
        <v>4</v>
      </c>
      <c r="K98" s="660"/>
      <c r="L98" s="154">
        <v>3145715951</v>
      </c>
      <c r="M98" s="318" t="s">
        <v>1246</v>
      </c>
      <c r="N98" s="1455" t="s">
        <v>1725</v>
      </c>
      <c r="O98" s="1456"/>
    </row>
    <row r="99" spans="1:20" s="3" customFormat="1" ht="22.6" customHeight="1" x14ac:dyDescent="0.25">
      <c r="A99" s="320"/>
      <c r="B99" s="185" t="s">
        <v>1098</v>
      </c>
      <c r="C99" s="185" t="s">
        <v>1097</v>
      </c>
      <c r="D99" s="139">
        <v>1007573270</v>
      </c>
      <c r="E99" s="134" t="s">
        <v>526</v>
      </c>
      <c r="F99" s="535">
        <v>43593</v>
      </c>
      <c r="G99" s="535">
        <v>43615</v>
      </c>
      <c r="H99" s="133" t="s">
        <v>33</v>
      </c>
      <c r="I99" s="373">
        <v>12</v>
      </c>
      <c r="J99" s="373" t="s">
        <v>4</v>
      </c>
      <c r="K99" s="660"/>
      <c r="L99" s="135" t="s">
        <v>1099</v>
      </c>
      <c r="M99" s="130" t="s">
        <v>1100</v>
      </c>
      <c r="N99" s="129"/>
      <c r="O99" s="64"/>
    </row>
    <row r="100" spans="1:20" s="3" customFormat="1" ht="20.05" customHeight="1" x14ac:dyDescent="0.25">
      <c r="A100" s="320"/>
      <c r="B100" s="106" t="s">
        <v>997</v>
      </c>
      <c r="C100" s="106" t="s">
        <v>998</v>
      </c>
      <c r="D100" s="138">
        <v>8172332</v>
      </c>
      <c r="E100" s="119" t="s">
        <v>530</v>
      </c>
      <c r="F100" s="412">
        <v>43592</v>
      </c>
      <c r="G100" s="412">
        <v>43615</v>
      </c>
      <c r="H100" s="413" t="s">
        <v>33</v>
      </c>
      <c r="I100" s="411">
        <v>12</v>
      </c>
      <c r="J100" s="411" t="s">
        <v>4</v>
      </c>
      <c r="K100" s="660"/>
      <c r="L100" s="104">
        <v>3127444774</v>
      </c>
      <c r="M100" s="119" t="s">
        <v>1040</v>
      </c>
      <c r="N100" s="44"/>
      <c r="O100" s="45"/>
    </row>
    <row r="101" spans="1:20" s="1" customFormat="1" ht="30.1" customHeight="1" x14ac:dyDescent="0.25">
      <c r="A101" s="441"/>
      <c r="B101" s="571" t="s">
        <v>1693</v>
      </c>
      <c r="C101" s="571" t="s">
        <v>1694</v>
      </c>
      <c r="D101" s="450" t="s">
        <v>348</v>
      </c>
      <c r="E101" s="446">
        <v>1067868038</v>
      </c>
      <c r="F101" s="450" t="s">
        <v>362</v>
      </c>
      <c r="G101" s="450" t="s">
        <v>1695</v>
      </c>
      <c r="H101" s="450" t="s">
        <v>14</v>
      </c>
      <c r="I101" s="449" t="s">
        <v>1950</v>
      </c>
      <c r="J101" s="453" t="s">
        <v>1951</v>
      </c>
      <c r="K101" s="443">
        <v>43578</v>
      </c>
      <c r="L101" s="545">
        <v>43639</v>
      </c>
      <c r="M101" s="545">
        <v>43668</v>
      </c>
      <c r="N101" s="450">
        <v>12</v>
      </c>
      <c r="O101" s="450" t="s">
        <v>4</v>
      </c>
      <c r="P101" s="450">
        <v>12</v>
      </c>
      <c r="Q101" s="671" t="s">
        <v>1869</v>
      </c>
      <c r="R101" s="450" t="s">
        <v>2206</v>
      </c>
      <c r="S101" s="450" t="s">
        <v>1579</v>
      </c>
    </row>
    <row r="102" spans="1:20" s="7" customFormat="1" ht="30.1" customHeight="1" x14ac:dyDescent="0.25">
      <c r="A102" s="1248"/>
      <c r="B102" s="1451" t="s">
        <v>1519</v>
      </c>
      <c r="C102" s="1236" t="s">
        <v>1520</v>
      </c>
      <c r="D102" s="1236" t="s">
        <v>348</v>
      </c>
      <c r="E102" s="1256">
        <v>26105019</v>
      </c>
      <c r="F102" s="503" t="s">
        <v>362</v>
      </c>
      <c r="G102" s="1236" t="s">
        <v>494</v>
      </c>
      <c r="H102" s="503" t="s">
        <v>21</v>
      </c>
      <c r="I102" s="1259" t="s">
        <v>1521</v>
      </c>
      <c r="J102" s="1242"/>
      <c r="K102" s="1245">
        <v>43563</v>
      </c>
      <c r="L102" s="1240">
        <v>43624</v>
      </c>
      <c r="M102" s="1240">
        <v>43653</v>
      </c>
      <c r="N102" s="503">
        <v>20</v>
      </c>
      <c r="O102" s="503" t="s">
        <v>4</v>
      </c>
      <c r="P102" s="503">
        <v>20</v>
      </c>
      <c r="Q102" s="624" t="s">
        <v>335</v>
      </c>
      <c r="R102" s="1236" t="s">
        <v>2306</v>
      </c>
      <c r="S102" s="1238">
        <v>43563</v>
      </c>
      <c r="T102" s="1450" t="s">
        <v>2440</v>
      </c>
    </row>
    <row r="103" spans="1:20" s="7" customFormat="1" ht="30.1" customHeight="1" x14ac:dyDescent="0.25">
      <c r="A103" s="1330"/>
      <c r="B103" s="1452"/>
      <c r="C103" s="1237"/>
      <c r="D103" s="1237"/>
      <c r="E103" s="1258"/>
      <c r="F103" s="503" t="s">
        <v>362</v>
      </c>
      <c r="G103" s="1237"/>
      <c r="H103" s="503" t="s">
        <v>21</v>
      </c>
      <c r="I103" s="1261"/>
      <c r="J103" s="1243"/>
      <c r="K103" s="1247"/>
      <c r="L103" s="1241"/>
      <c r="M103" s="1241"/>
      <c r="N103" s="503">
        <v>20</v>
      </c>
      <c r="O103" s="503" t="s">
        <v>215</v>
      </c>
      <c r="P103" s="503">
        <v>20</v>
      </c>
      <c r="Q103" s="671" t="s">
        <v>207</v>
      </c>
      <c r="R103" s="1237"/>
      <c r="S103" s="1239"/>
      <c r="T103" s="1450"/>
    </row>
    <row r="104" spans="1:20" s="3" customFormat="1" ht="20.05" customHeight="1" x14ac:dyDescent="0.25">
      <c r="A104" s="320"/>
      <c r="B104" s="267" t="s">
        <v>1235</v>
      </c>
      <c r="C104" s="267" t="s">
        <v>1236</v>
      </c>
      <c r="D104" s="270">
        <v>6856396</v>
      </c>
      <c r="E104" s="266" t="s">
        <v>486</v>
      </c>
      <c r="F104" s="547">
        <v>43614</v>
      </c>
      <c r="G104" s="547">
        <v>43646</v>
      </c>
      <c r="H104" s="180" t="s">
        <v>686</v>
      </c>
      <c r="I104" s="216">
        <v>12</v>
      </c>
      <c r="J104" s="216" t="s">
        <v>4</v>
      </c>
      <c r="K104" s="81" t="s">
        <v>2305</v>
      </c>
      <c r="L104" s="268">
        <v>3144838303</v>
      </c>
      <c r="M104" s="269" t="s">
        <v>1237</v>
      </c>
      <c r="N104" s="269"/>
      <c r="O104" s="41"/>
    </row>
    <row r="105" spans="1:20" s="4" customFormat="1" ht="38.049999999999997" customHeight="1" x14ac:dyDescent="0.25">
      <c r="A105" s="552"/>
      <c r="B105" s="673" t="s">
        <v>2250</v>
      </c>
      <c r="C105" s="673" t="s">
        <v>2251</v>
      </c>
      <c r="D105" s="551" t="s">
        <v>348</v>
      </c>
      <c r="E105" s="587">
        <v>42201608</v>
      </c>
      <c r="F105" s="551" t="s">
        <v>906</v>
      </c>
      <c r="G105" s="551" t="s">
        <v>2252</v>
      </c>
      <c r="H105" s="551" t="s">
        <v>2253</v>
      </c>
      <c r="I105" s="551" t="s">
        <v>2254</v>
      </c>
      <c r="J105" s="550">
        <v>43634</v>
      </c>
      <c r="K105" s="600">
        <v>43635</v>
      </c>
      <c r="L105" s="600">
        <v>43655</v>
      </c>
      <c r="M105" s="551">
        <v>15</v>
      </c>
      <c r="N105" s="599" t="s">
        <v>4</v>
      </c>
      <c r="O105" s="599">
        <v>15</v>
      </c>
      <c r="P105" s="643"/>
      <c r="Q105" s="551"/>
      <c r="R105" s="551"/>
    </row>
    <row r="106" spans="1:20" s="4" customFormat="1" ht="30.1" customHeight="1" x14ac:dyDescent="0.25">
      <c r="A106" s="552"/>
      <c r="B106" s="673" t="s">
        <v>2345</v>
      </c>
      <c r="C106" s="673" t="s">
        <v>2346</v>
      </c>
      <c r="D106" s="551" t="s">
        <v>355</v>
      </c>
      <c r="E106" s="587">
        <v>1138083949</v>
      </c>
      <c r="F106" s="551" t="s">
        <v>362</v>
      </c>
      <c r="G106" s="551" t="s">
        <v>867</v>
      </c>
      <c r="H106" s="551" t="s">
        <v>2347</v>
      </c>
      <c r="I106" s="551" t="s">
        <v>2348</v>
      </c>
      <c r="J106" s="550">
        <v>43649</v>
      </c>
      <c r="K106" s="550">
        <v>43649</v>
      </c>
      <c r="L106" s="550">
        <v>43659</v>
      </c>
      <c r="M106" s="551">
        <v>40</v>
      </c>
      <c r="N106" s="551" t="s">
        <v>5</v>
      </c>
      <c r="O106" s="551">
        <v>40</v>
      </c>
      <c r="P106" s="643"/>
      <c r="Q106" s="551" t="s">
        <v>2349</v>
      </c>
      <c r="R106" s="551"/>
    </row>
    <row r="107" spans="1:20" s="4" customFormat="1" ht="30.1" customHeight="1" x14ac:dyDescent="0.25">
      <c r="A107" s="1078"/>
      <c r="B107" s="1086" t="s">
        <v>1493</v>
      </c>
      <c r="C107" s="1086" t="s">
        <v>1494</v>
      </c>
      <c r="D107" s="1086" t="s">
        <v>356</v>
      </c>
      <c r="E107" s="1088">
        <v>1040879908</v>
      </c>
      <c r="F107" s="225" t="s">
        <v>362</v>
      </c>
      <c r="G107" s="1086" t="s">
        <v>484</v>
      </c>
      <c r="H107" s="1086" t="s">
        <v>1495</v>
      </c>
      <c r="I107" s="1086">
        <v>3208814611</v>
      </c>
      <c r="J107" s="1090">
        <v>43566</v>
      </c>
      <c r="K107" s="1512">
        <v>43567</v>
      </c>
      <c r="L107" s="1090">
        <v>43657</v>
      </c>
      <c r="M107" s="225">
        <v>12</v>
      </c>
      <c r="N107" s="225" t="s">
        <v>4</v>
      </c>
      <c r="O107" s="225">
        <v>36</v>
      </c>
      <c r="P107" s="744" t="s">
        <v>2310</v>
      </c>
      <c r="Q107" s="1086" t="s">
        <v>878</v>
      </c>
      <c r="R107" s="225"/>
    </row>
    <row r="108" spans="1:20" s="4" customFormat="1" ht="30.1" customHeight="1" x14ac:dyDescent="0.25">
      <c r="A108" s="1080"/>
      <c r="B108" s="1087"/>
      <c r="C108" s="1087"/>
      <c r="D108" s="1087"/>
      <c r="E108" s="1089"/>
      <c r="F108" s="225" t="s">
        <v>362</v>
      </c>
      <c r="G108" s="1087"/>
      <c r="H108" s="1087"/>
      <c r="I108" s="1087"/>
      <c r="J108" s="1091"/>
      <c r="K108" s="1513"/>
      <c r="L108" s="1091"/>
      <c r="M108" s="225">
        <v>12</v>
      </c>
      <c r="N108" s="225" t="s">
        <v>215</v>
      </c>
      <c r="O108" s="225">
        <v>36</v>
      </c>
      <c r="P108" s="642" t="s">
        <v>926</v>
      </c>
      <c r="Q108" s="1087"/>
      <c r="R108" s="225"/>
    </row>
    <row r="109" spans="1:20" s="347" customFormat="1" ht="30.1" customHeight="1" x14ac:dyDescent="0.25">
      <c r="A109" s="346"/>
      <c r="B109" s="778" t="s">
        <v>1825</v>
      </c>
      <c r="C109" s="778" t="s">
        <v>1826</v>
      </c>
      <c r="D109" s="345" t="s">
        <v>348</v>
      </c>
      <c r="E109" s="587">
        <v>35870664</v>
      </c>
      <c r="F109" s="345" t="s">
        <v>349</v>
      </c>
      <c r="G109" s="345" t="s">
        <v>530</v>
      </c>
      <c r="H109" s="345" t="s">
        <v>1827</v>
      </c>
      <c r="I109" s="345" t="s">
        <v>1828</v>
      </c>
      <c r="J109" s="344">
        <v>43587</v>
      </c>
      <c r="K109" s="344">
        <v>43591</v>
      </c>
      <c r="L109" s="344">
        <v>43651</v>
      </c>
      <c r="M109" s="345">
        <v>12</v>
      </c>
      <c r="N109" s="345" t="s">
        <v>4</v>
      </c>
      <c r="O109" s="345">
        <v>36</v>
      </c>
      <c r="P109" s="744" t="s">
        <v>822</v>
      </c>
      <c r="Q109" s="345" t="s">
        <v>1829</v>
      </c>
      <c r="R109" s="345"/>
    </row>
    <row r="110" spans="1:20" s="602" customFormat="1" ht="30.1" customHeight="1" x14ac:dyDescent="0.25">
      <c r="A110" s="603"/>
      <c r="B110" s="673" t="s">
        <v>1462</v>
      </c>
      <c r="C110" s="673" t="s">
        <v>1463</v>
      </c>
      <c r="D110" s="196" t="s">
        <v>348</v>
      </c>
      <c r="E110" s="587">
        <v>25750563</v>
      </c>
      <c r="F110" s="196" t="s">
        <v>906</v>
      </c>
      <c r="G110" s="196" t="s">
        <v>584</v>
      </c>
      <c r="H110" s="196" t="s">
        <v>1464</v>
      </c>
      <c r="I110" s="196" t="s">
        <v>1465</v>
      </c>
      <c r="J110" s="195">
        <v>43564</v>
      </c>
      <c r="K110" s="195">
        <v>43565</v>
      </c>
      <c r="L110" s="195">
        <v>43655</v>
      </c>
      <c r="M110" s="196">
        <v>12</v>
      </c>
      <c r="N110" s="196" t="s">
        <v>4</v>
      </c>
      <c r="O110" s="196">
        <v>36</v>
      </c>
      <c r="P110" s="643" t="s">
        <v>1869</v>
      </c>
      <c r="Q110" s="196" t="s">
        <v>878</v>
      </c>
      <c r="R110" s="599"/>
    </row>
    <row r="111" spans="1:20" s="62" customFormat="1" ht="30.1" customHeight="1" x14ac:dyDescent="0.25">
      <c r="A111" s="1078"/>
      <c r="B111" s="1086" t="s">
        <v>2046</v>
      </c>
      <c r="C111" s="1086" t="s">
        <v>2047</v>
      </c>
      <c r="D111" s="1086" t="s">
        <v>348</v>
      </c>
      <c r="E111" s="1088">
        <v>6857650</v>
      </c>
      <c r="F111" s="570" t="s">
        <v>357</v>
      </c>
      <c r="G111" s="1086" t="s">
        <v>2048</v>
      </c>
      <c r="H111" s="1086" t="s">
        <v>2049</v>
      </c>
      <c r="I111" s="1086" t="s">
        <v>2050</v>
      </c>
      <c r="J111" s="1090">
        <v>43620</v>
      </c>
      <c r="K111" s="1090">
        <v>43620</v>
      </c>
      <c r="L111" s="1090">
        <v>43649</v>
      </c>
      <c r="M111" s="570">
        <v>30</v>
      </c>
      <c r="N111" s="570" t="s">
        <v>4</v>
      </c>
      <c r="O111" s="570">
        <v>30</v>
      </c>
      <c r="P111" s="643" t="s">
        <v>822</v>
      </c>
      <c r="Q111" s="570"/>
      <c r="R111" s="1086" t="s">
        <v>2059</v>
      </c>
    </row>
    <row r="112" spans="1:20" s="62" customFormat="1" ht="30.1" customHeight="1" x14ac:dyDescent="0.25">
      <c r="A112" s="1080"/>
      <c r="B112" s="1087"/>
      <c r="C112" s="1087"/>
      <c r="D112" s="1087"/>
      <c r="E112" s="1089"/>
      <c r="F112" s="570" t="s">
        <v>357</v>
      </c>
      <c r="G112" s="1087"/>
      <c r="H112" s="1087"/>
      <c r="I112" s="1087"/>
      <c r="J112" s="1091"/>
      <c r="K112" s="1091"/>
      <c r="L112" s="1091"/>
      <c r="M112" s="570">
        <v>30</v>
      </c>
      <c r="N112" s="570" t="s">
        <v>5</v>
      </c>
      <c r="O112" s="570">
        <v>30</v>
      </c>
      <c r="P112" s="696" t="s">
        <v>822</v>
      </c>
      <c r="Q112" s="570"/>
      <c r="R112" s="1087"/>
    </row>
    <row r="113" spans="1:19" s="4" customFormat="1" ht="30.1" customHeight="1" x14ac:dyDescent="0.25">
      <c r="A113" s="552"/>
      <c r="B113" s="673" t="s">
        <v>2222</v>
      </c>
      <c r="C113" s="673" t="s">
        <v>2223</v>
      </c>
      <c r="D113" s="551" t="s">
        <v>348</v>
      </c>
      <c r="E113" s="587">
        <v>6858660</v>
      </c>
      <c r="F113" s="551" t="s">
        <v>362</v>
      </c>
      <c r="G113" s="551" t="s">
        <v>2224</v>
      </c>
      <c r="H113" s="551" t="s">
        <v>2225</v>
      </c>
      <c r="I113" s="551" t="s">
        <v>2226</v>
      </c>
      <c r="J113" s="550">
        <v>43626</v>
      </c>
      <c r="K113" s="550">
        <v>43627</v>
      </c>
      <c r="L113" s="550">
        <v>43656</v>
      </c>
      <c r="M113" s="551">
        <v>20</v>
      </c>
      <c r="N113" s="551" t="s">
        <v>4</v>
      </c>
      <c r="O113" s="551">
        <v>20</v>
      </c>
      <c r="P113" s="643" t="s">
        <v>2303</v>
      </c>
      <c r="Q113" s="551"/>
      <c r="R113" s="551"/>
    </row>
    <row r="114" spans="1:19" s="4" customFormat="1" ht="30.1" customHeight="1" x14ac:dyDescent="0.25">
      <c r="A114" s="552"/>
      <c r="B114" s="673" t="s">
        <v>2241</v>
      </c>
      <c r="C114" s="673" t="s">
        <v>2242</v>
      </c>
      <c r="D114" s="551" t="s">
        <v>348</v>
      </c>
      <c r="E114" s="587">
        <v>9053464</v>
      </c>
      <c r="F114" s="551" t="s">
        <v>362</v>
      </c>
      <c r="G114" s="551" t="s">
        <v>1322</v>
      </c>
      <c r="H114" s="551" t="s">
        <v>2243</v>
      </c>
      <c r="I114" s="551">
        <v>3003356620</v>
      </c>
      <c r="J114" s="550">
        <v>43630</v>
      </c>
      <c r="K114" s="550">
        <v>43630</v>
      </c>
      <c r="L114" s="550">
        <v>43659</v>
      </c>
      <c r="M114" s="551">
        <v>20</v>
      </c>
      <c r="N114" s="551" t="s">
        <v>4</v>
      </c>
      <c r="O114" s="551">
        <v>20</v>
      </c>
      <c r="P114" s="744" t="s">
        <v>2300</v>
      </c>
      <c r="Q114" s="551"/>
      <c r="R114" s="551"/>
    </row>
    <row r="115" spans="1:19" s="4" customFormat="1" ht="30.1" customHeight="1" x14ac:dyDescent="0.25">
      <c r="A115" s="552"/>
      <c r="B115" s="673" t="s">
        <v>2393</v>
      </c>
      <c r="C115" s="673" t="s">
        <v>2394</v>
      </c>
      <c r="D115" s="551" t="s">
        <v>348</v>
      </c>
      <c r="E115" s="587">
        <v>6876435</v>
      </c>
      <c r="F115" s="551" t="s">
        <v>2395</v>
      </c>
      <c r="G115" s="551" t="s">
        <v>867</v>
      </c>
      <c r="H115" s="551" t="s">
        <v>2396</v>
      </c>
      <c r="I115" s="551" t="s">
        <v>2397</v>
      </c>
      <c r="J115" s="550">
        <v>43655</v>
      </c>
      <c r="K115" s="550">
        <v>43655</v>
      </c>
      <c r="L115" s="550">
        <v>43659</v>
      </c>
      <c r="M115" s="551">
        <v>16</v>
      </c>
      <c r="N115" s="551" t="s">
        <v>5</v>
      </c>
      <c r="O115" s="551">
        <v>16</v>
      </c>
      <c r="P115" s="643"/>
      <c r="Q115" s="551" t="s">
        <v>2398</v>
      </c>
      <c r="R115" s="551"/>
    </row>
    <row r="116" spans="1:19" s="7" customFormat="1" ht="30.1" customHeight="1" x14ac:dyDescent="0.25">
      <c r="A116" s="73"/>
      <c r="B116" s="96" t="s">
        <v>1526</v>
      </c>
      <c r="C116" s="96" t="s">
        <v>1527</v>
      </c>
      <c r="D116" s="96" t="s">
        <v>348</v>
      </c>
      <c r="E116" s="23">
        <v>15017976</v>
      </c>
      <c r="F116" s="96" t="s">
        <v>362</v>
      </c>
      <c r="G116" s="96" t="s">
        <v>494</v>
      </c>
      <c r="H116" s="96" t="s">
        <v>21</v>
      </c>
      <c r="I116" s="96" t="s">
        <v>1528</v>
      </c>
      <c r="J116" s="96" t="s">
        <v>1529</v>
      </c>
      <c r="K116" s="74">
        <v>43566</v>
      </c>
      <c r="L116" s="470">
        <v>43567</v>
      </c>
      <c r="M116" s="470">
        <v>43657</v>
      </c>
      <c r="N116" s="96">
        <v>20</v>
      </c>
      <c r="O116" s="96" t="s">
        <v>4</v>
      </c>
      <c r="P116" s="96">
        <v>60</v>
      </c>
      <c r="Q116" s="665" t="s">
        <v>540</v>
      </c>
      <c r="R116" s="96" t="s">
        <v>1458</v>
      </c>
      <c r="S116" s="21"/>
    </row>
    <row r="118" spans="1:19" s="7" customFormat="1" ht="30.1" customHeight="1" x14ac:dyDescent="0.25">
      <c r="A118" s="73"/>
      <c r="B118" s="96" t="s">
        <v>2195</v>
      </c>
      <c r="C118" s="96" t="s">
        <v>2196</v>
      </c>
      <c r="D118" s="96" t="s">
        <v>348</v>
      </c>
      <c r="E118" s="23">
        <v>1048557932</v>
      </c>
      <c r="F118" s="96" t="s">
        <v>349</v>
      </c>
      <c r="G118" s="96" t="s">
        <v>742</v>
      </c>
      <c r="H118" s="96" t="s">
        <v>110</v>
      </c>
      <c r="I118" s="96" t="s">
        <v>2245</v>
      </c>
      <c r="J118" s="96" t="s">
        <v>2197</v>
      </c>
      <c r="K118" s="601">
        <v>43623</v>
      </c>
      <c r="L118" s="601">
        <v>43624</v>
      </c>
      <c r="M118" s="601">
        <v>43653</v>
      </c>
      <c r="N118" s="96">
        <v>20</v>
      </c>
      <c r="O118" s="96" t="s">
        <v>4</v>
      </c>
      <c r="P118" s="96">
        <v>20</v>
      </c>
      <c r="Q118" s="96" t="s">
        <v>377</v>
      </c>
      <c r="R118" s="96"/>
      <c r="S118" s="21"/>
    </row>
    <row r="119" spans="1:19" s="7" customFormat="1" ht="30.1" customHeight="1" x14ac:dyDescent="0.25">
      <c r="A119" s="73"/>
      <c r="B119" s="96" t="s">
        <v>2227</v>
      </c>
      <c r="C119" s="96" t="s">
        <v>2228</v>
      </c>
      <c r="D119" s="96" t="s">
        <v>348</v>
      </c>
      <c r="E119" s="23">
        <v>6614957</v>
      </c>
      <c r="F119" s="96" t="s">
        <v>906</v>
      </c>
      <c r="G119" s="96" t="s">
        <v>494</v>
      </c>
      <c r="H119" s="96" t="s">
        <v>15</v>
      </c>
      <c r="I119" s="96" t="s">
        <v>2229</v>
      </c>
      <c r="J119" s="96"/>
      <c r="K119" s="601">
        <v>43625</v>
      </c>
      <c r="L119" s="601">
        <v>43626</v>
      </c>
      <c r="M119" s="601">
        <v>43655</v>
      </c>
      <c r="N119" s="96">
        <v>30</v>
      </c>
      <c r="O119" s="96" t="s">
        <v>4</v>
      </c>
      <c r="P119" s="96">
        <v>30</v>
      </c>
      <c r="Q119" s="96" t="s">
        <v>16</v>
      </c>
      <c r="R119" s="96"/>
      <c r="S119" s="21"/>
    </row>
    <row r="120" spans="1:19" s="734" customFormat="1" ht="30.1" customHeight="1" x14ac:dyDescent="0.25">
      <c r="A120" s="729"/>
      <c r="B120" s="779" t="s">
        <v>1189</v>
      </c>
      <c r="C120" s="779" t="s">
        <v>1190</v>
      </c>
      <c r="D120" s="730" t="s">
        <v>348</v>
      </c>
      <c r="E120" s="735">
        <v>25769247</v>
      </c>
      <c r="F120" s="733" t="s">
        <v>835</v>
      </c>
      <c r="G120" s="730" t="s">
        <v>1007</v>
      </c>
      <c r="H120" s="730" t="s">
        <v>1191</v>
      </c>
      <c r="I120" s="730">
        <v>3003196699</v>
      </c>
      <c r="J120" s="728">
        <v>43657</v>
      </c>
      <c r="K120" s="728">
        <v>43657</v>
      </c>
      <c r="L120" s="728">
        <v>43667</v>
      </c>
      <c r="M120" s="732">
        <v>10</v>
      </c>
      <c r="N120" s="732" t="s">
        <v>5</v>
      </c>
      <c r="O120" s="732">
        <v>10</v>
      </c>
      <c r="P120" s="781" t="s">
        <v>390</v>
      </c>
      <c r="Q120" s="731" t="s">
        <v>2310</v>
      </c>
    </row>
    <row r="121" spans="1:19" s="4" customFormat="1" ht="30.1" customHeight="1" x14ac:dyDescent="0.25">
      <c r="A121" s="552"/>
      <c r="B121" s="673" t="s">
        <v>2445</v>
      </c>
      <c r="C121" s="673" t="s">
        <v>2446</v>
      </c>
      <c r="D121" s="551" t="s">
        <v>348</v>
      </c>
      <c r="E121" s="587">
        <v>78587891</v>
      </c>
      <c r="F121" s="551" t="s">
        <v>349</v>
      </c>
      <c r="G121" s="551" t="s">
        <v>2447</v>
      </c>
      <c r="H121" s="551" t="s">
        <v>2448</v>
      </c>
      <c r="I121" s="551" t="s">
        <v>2449</v>
      </c>
      <c r="J121" s="550">
        <v>43655</v>
      </c>
      <c r="K121" s="550">
        <v>43655</v>
      </c>
      <c r="L121" s="550">
        <v>43665</v>
      </c>
      <c r="M121" s="551">
        <v>10</v>
      </c>
      <c r="N121" s="551" t="s">
        <v>5</v>
      </c>
      <c r="O121" s="551">
        <v>10</v>
      </c>
      <c r="P121" s="781" t="s">
        <v>1869</v>
      </c>
      <c r="Q121" s="551"/>
      <c r="R121" s="551"/>
    </row>
    <row r="122" spans="1:19" s="4" customFormat="1" ht="30.1" customHeight="1" x14ac:dyDescent="0.25">
      <c r="A122" s="552"/>
      <c r="B122" s="673" t="s">
        <v>2522</v>
      </c>
      <c r="C122" s="673" t="s">
        <v>2523</v>
      </c>
      <c r="D122" s="551" t="s">
        <v>348</v>
      </c>
      <c r="E122" s="587">
        <v>34805154</v>
      </c>
      <c r="F122" s="551" t="s">
        <v>835</v>
      </c>
      <c r="G122" s="551" t="s">
        <v>2126</v>
      </c>
      <c r="H122" s="551" t="s">
        <v>2524</v>
      </c>
      <c r="I122" s="551">
        <v>3135488526</v>
      </c>
      <c r="J122" s="550">
        <v>43662</v>
      </c>
      <c r="K122" s="550">
        <v>43662</v>
      </c>
      <c r="L122" s="550">
        <v>43667</v>
      </c>
      <c r="M122" s="551">
        <v>24</v>
      </c>
      <c r="N122" s="551" t="s">
        <v>5</v>
      </c>
      <c r="O122" s="551">
        <v>24</v>
      </c>
      <c r="P122" s="781" t="s">
        <v>2466</v>
      </c>
      <c r="Q122" s="551" t="s">
        <v>2525</v>
      </c>
      <c r="R122" s="551"/>
    </row>
    <row r="123" spans="1:19" s="4" customFormat="1" ht="30.1" customHeight="1" x14ac:dyDescent="0.25">
      <c r="A123" s="552"/>
      <c r="B123" s="673" t="s">
        <v>2544</v>
      </c>
      <c r="C123" s="673" t="s">
        <v>2545</v>
      </c>
      <c r="D123" s="551" t="s">
        <v>348</v>
      </c>
      <c r="E123" s="587">
        <v>78692712</v>
      </c>
      <c r="F123" s="551" t="s">
        <v>362</v>
      </c>
      <c r="G123" s="551" t="s">
        <v>2546</v>
      </c>
      <c r="H123" s="551" t="s">
        <v>2547</v>
      </c>
      <c r="I123" s="551" t="s">
        <v>2548</v>
      </c>
      <c r="J123" s="550">
        <v>43663</v>
      </c>
      <c r="K123" s="550">
        <v>43663</v>
      </c>
      <c r="L123" s="550">
        <v>43668</v>
      </c>
      <c r="M123" s="551">
        <v>12</v>
      </c>
      <c r="N123" s="551" t="s">
        <v>5</v>
      </c>
      <c r="O123" s="551">
        <v>12</v>
      </c>
      <c r="P123" s="781" t="s">
        <v>2301</v>
      </c>
      <c r="Q123" s="551"/>
      <c r="R123" s="551"/>
    </row>
    <row r="124" spans="1:19" s="861" customFormat="1" ht="21.75" customHeight="1" x14ac:dyDescent="0.25">
      <c r="A124" s="865"/>
      <c r="B124" s="1076" t="s">
        <v>2259</v>
      </c>
      <c r="C124" s="1076" t="s">
        <v>2260</v>
      </c>
      <c r="D124" s="1076" t="s">
        <v>348</v>
      </c>
      <c r="E124" s="1077">
        <v>1062434971</v>
      </c>
      <c r="F124" s="863" t="s">
        <v>349</v>
      </c>
      <c r="G124" s="1076" t="s">
        <v>2261</v>
      </c>
      <c r="H124" s="1076" t="s">
        <v>2262</v>
      </c>
      <c r="I124" s="1076">
        <v>3209181668</v>
      </c>
      <c r="J124" s="1073">
        <v>43635</v>
      </c>
      <c r="K124" s="1073">
        <v>43635</v>
      </c>
      <c r="L124" s="1073">
        <v>43664</v>
      </c>
      <c r="M124" s="861">
        <v>24</v>
      </c>
      <c r="N124" s="861" t="s">
        <v>5</v>
      </c>
      <c r="O124" s="861">
        <v>24</v>
      </c>
      <c r="P124" s="861" t="s">
        <v>2310</v>
      </c>
    </row>
    <row r="125" spans="1:19" s="861" customFormat="1" ht="21.75" customHeight="1" x14ac:dyDescent="0.25">
      <c r="A125" s="865"/>
      <c r="B125" s="1076"/>
      <c r="C125" s="1076"/>
      <c r="D125" s="1076"/>
      <c r="E125" s="1077"/>
      <c r="F125" s="863" t="s">
        <v>349</v>
      </c>
      <c r="G125" s="1076"/>
      <c r="H125" s="1076"/>
      <c r="I125" s="1076"/>
      <c r="J125" s="1073"/>
      <c r="K125" s="1073"/>
      <c r="L125" s="1073"/>
      <c r="M125" s="861">
        <v>12</v>
      </c>
      <c r="N125" s="861" t="s">
        <v>4</v>
      </c>
      <c r="O125" s="861">
        <v>12</v>
      </c>
      <c r="P125" s="861" t="s">
        <v>2310</v>
      </c>
    </row>
    <row r="126" spans="1:19" s="861" customFormat="1" ht="21.75" customHeight="1" x14ac:dyDescent="0.25">
      <c r="A126" s="865"/>
      <c r="B126" s="1076"/>
      <c r="C126" s="1076"/>
      <c r="D126" s="1076"/>
      <c r="E126" s="1077"/>
      <c r="F126" s="863" t="s">
        <v>349</v>
      </c>
      <c r="G126" s="1076"/>
      <c r="H126" s="1076"/>
      <c r="I126" s="1076"/>
      <c r="J126" s="1073"/>
      <c r="K126" s="1073"/>
      <c r="L126" s="1073"/>
      <c r="M126" s="861">
        <v>12</v>
      </c>
      <c r="N126" s="861" t="s">
        <v>215</v>
      </c>
      <c r="O126" s="861">
        <v>12</v>
      </c>
    </row>
    <row r="127" spans="1:19" s="861" customFormat="1" ht="21.75" customHeight="1" x14ac:dyDescent="0.25">
      <c r="A127" s="865"/>
      <c r="B127" s="1076"/>
      <c r="C127" s="1076"/>
      <c r="D127" s="1076"/>
      <c r="E127" s="1077"/>
      <c r="F127" s="863" t="s">
        <v>349</v>
      </c>
      <c r="G127" s="1076"/>
      <c r="H127" s="1076"/>
      <c r="I127" s="1076"/>
      <c r="J127" s="1073"/>
      <c r="K127" s="1073"/>
      <c r="L127" s="1073"/>
      <c r="M127" s="861">
        <v>12</v>
      </c>
      <c r="N127" s="861" t="s">
        <v>8</v>
      </c>
      <c r="O127" s="861">
        <v>12</v>
      </c>
      <c r="P127" s="861" t="s">
        <v>2299</v>
      </c>
    </row>
    <row r="128" spans="1:19" s="310" customFormat="1" ht="20.05" customHeight="1" x14ac:dyDescent="0.25">
      <c r="A128" s="1449" t="s">
        <v>216</v>
      </c>
      <c r="B128" s="1155" t="s">
        <v>217</v>
      </c>
      <c r="C128" s="1155" t="s">
        <v>218</v>
      </c>
      <c r="D128" s="1157">
        <v>50954763</v>
      </c>
      <c r="E128" s="1149" t="s">
        <v>518</v>
      </c>
      <c r="F128" s="1448"/>
      <c r="G128" s="1448"/>
      <c r="H128" s="1445"/>
      <c r="I128" s="12"/>
      <c r="J128" s="12"/>
      <c r="K128" s="1445" t="s">
        <v>23</v>
      </c>
      <c r="L128" s="1447">
        <v>3012840976</v>
      </c>
      <c r="M128" s="1447" t="s">
        <v>216</v>
      </c>
      <c r="N128" s="1444" t="s">
        <v>850</v>
      </c>
      <c r="O128" s="1446"/>
    </row>
    <row r="129" spans="1:15" s="310" customFormat="1" ht="20.05" customHeight="1" x14ac:dyDescent="0.25">
      <c r="A129" s="1449"/>
      <c r="B129" s="1155"/>
      <c r="C129" s="1155"/>
      <c r="D129" s="1157"/>
      <c r="E129" s="1149"/>
      <c r="F129" s="1448"/>
      <c r="G129" s="1448"/>
      <c r="H129" s="1445"/>
      <c r="I129" s="12"/>
      <c r="J129" s="128"/>
      <c r="K129" s="1445"/>
      <c r="L129" s="1447"/>
      <c r="M129" s="1447"/>
      <c r="N129" s="1444"/>
      <c r="O129" s="1446"/>
    </row>
  </sheetData>
  <autoFilter ref="A1:S1"/>
  <mergeCells count="209">
    <mergeCell ref="D124:D127"/>
    <mergeCell ref="E124:E127"/>
    <mergeCell ref="C124:C127"/>
    <mergeCell ref="B124:B127"/>
    <mergeCell ref="L124:L127"/>
    <mergeCell ref="K124:K127"/>
    <mergeCell ref="J124:J127"/>
    <mergeCell ref="I124:I127"/>
    <mergeCell ref="H124:H127"/>
    <mergeCell ref="G124:G127"/>
    <mergeCell ref="S20:S21"/>
    <mergeCell ref="R20:R21"/>
    <mergeCell ref="L20:L21"/>
    <mergeCell ref="M20:M21"/>
    <mergeCell ref="A20:A21"/>
    <mergeCell ref="B20:B21"/>
    <mergeCell ref="C20:C21"/>
    <mergeCell ref="D20:D21"/>
    <mergeCell ref="E20:E21"/>
    <mergeCell ref="I20:I21"/>
    <mergeCell ref="J20:J21"/>
    <mergeCell ref="K20:K21"/>
    <mergeCell ref="G20:G21"/>
    <mergeCell ref="Q107:Q108"/>
    <mergeCell ref="A111:A112"/>
    <mergeCell ref="R111:R112"/>
    <mergeCell ref="K111:K112"/>
    <mergeCell ref="L111:L112"/>
    <mergeCell ref="B111:B112"/>
    <mergeCell ref="C111:C112"/>
    <mergeCell ref="D111:D112"/>
    <mergeCell ref="E111:E112"/>
    <mergeCell ref="G111:G112"/>
    <mergeCell ref="H111:H112"/>
    <mergeCell ref="I111:I112"/>
    <mergeCell ref="J111:J112"/>
    <mergeCell ref="A107:A108"/>
    <mergeCell ref="B107:B108"/>
    <mergeCell ref="C107:C108"/>
    <mergeCell ref="D107:D108"/>
    <mergeCell ref="E107:E108"/>
    <mergeCell ref="L107:L108"/>
    <mergeCell ref="G107:G108"/>
    <mergeCell ref="H107:H108"/>
    <mergeCell ref="I107:I108"/>
    <mergeCell ref="K107:K108"/>
    <mergeCell ref="J107:J108"/>
    <mergeCell ref="L62:L64"/>
    <mergeCell ref="M62:M64"/>
    <mergeCell ref="A62:A64"/>
    <mergeCell ref="B62:B64"/>
    <mergeCell ref="C62:C64"/>
    <mergeCell ref="D62:D64"/>
    <mergeCell ref="E62:E64"/>
    <mergeCell ref="G62:G64"/>
    <mergeCell ref="I62:I64"/>
    <mergeCell ref="J62:J64"/>
    <mergeCell ref="K62:K64"/>
    <mergeCell ref="R59:R61"/>
    <mergeCell ref="G59:G61"/>
    <mergeCell ref="I59:I61"/>
    <mergeCell ref="A59:A61"/>
    <mergeCell ref="B59:B61"/>
    <mergeCell ref="C59:C61"/>
    <mergeCell ref="D59:D61"/>
    <mergeCell ref="E59:E61"/>
    <mergeCell ref="J59:J61"/>
    <mergeCell ref="K59:K61"/>
    <mergeCell ref="L59:L61"/>
    <mergeCell ref="M59:M61"/>
    <mergeCell ref="P42:Q43"/>
    <mergeCell ref="K42:K43"/>
    <mergeCell ref="A42:A43"/>
    <mergeCell ref="B42:B43"/>
    <mergeCell ref="C42:C43"/>
    <mergeCell ref="O42:O43"/>
    <mergeCell ref="D42:D43"/>
    <mergeCell ref="E42:E43"/>
    <mergeCell ref="G42:G43"/>
    <mergeCell ref="I42:I43"/>
    <mergeCell ref="J42:J43"/>
    <mergeCell ref="A40:A41"/>
    <mergeCell ref="J40:J41"/>
    <mergeCell ref="K40:K41"/>
    <mergeCell ref="L40:L41"/>
    <mergeCell ref="B40:B41"/>
    <mergeCell ref="C40:C41"/>
    <mergeCell ref="D40:D41"/>
    <mergeCell ref="E40:E41"/>
    <mergeCell ref="G40:G41"/>
    <mergeCell ref="H40:H41"/>
    <mergeCell ref="I40:I41"/>
    <mergeCell ref="P33:P34"/>
    <mergeCell ref="C33:C34"/>
    <mergeCell ref="D33:D34"/>
    <mergeCell ref="E33:E34"/>
    <mergeCell ref="A33:A34"/>
    <mergeCell ref="L33:L34"/>
    <mergeCell ref="G33:G34"/>
    <mergeCell ref="H33:H34"/>
    <mergeCell ref="I33:I34"/>
    <mergeCell ref="J33:J34"/>
    <mergeCell ref="K33:K34"/>
    <mergeCell ref="B33:B34"/>
    <mergeCell ref="L5:L6"/>
    <mergeCell ref="A5:A6"/>
    <mergeCell ref="B5:B6"/>
    <mergeCell ref="C5:C6"/>
    <mergeCell ref="D5:D6"/>
    <mergeCell ref="E5:E6"/>
    <mergeCell ref="G5:G6"/>
    <mergeCell ref="H5:H6"/>
    <mergeCell ref="I5:I6"/>
    <mergeCell ref="J5:J6"/>
    <mergeCell ref="K5:K6"/>
    <mergeCell ref="S14:S16"/>
    <mergeCell ref="A14:A16"/>
    <mergeCell ref="B14:B16"/>
    <mergeCell ref="C14:C16"/>
    <mergeCell ref="D14:D16"/>
    <mergeCell ref="E14:E16"/>
    <mergeCell ref="G14:G16"/>
    <mergeCell ref="I14:I16"/>
    <mergeCell ref="L14:L16"/>
    <mergeCell ref="M14:M16"/>
    <mergeCell ref="R14:R16"/>
    <mergeCell ref="J14:J16"/>
    <mergeCell ref="K14:K16"/>
    <mergeCell ref="R54:R55"/>
    <mergeCell ref="K54:K55"/>
    <mergeCell ref="I54:I55"/>
    <mergeCell ref="J54:J55"/>
    <mergeCell ref="M54:M55"/>
    <mergeCell ref="L54:L55"/>
    <mergeCell ref="B54:B55"/>
    <mergeCell ref="C54:C55"/>
    <mergeCell ref="G54:G55"/>
    <mergeCell ref="A54:A55"/>
    <mergeCell ref="D54:D55"/>
    <mergeCell ref="E54:E55"/>
    <mergeCell ref="J73:J74"/>
    <mergeCell ref="K73:K74"/>
    <mergeCell ref="I73:I74"/>
    <mergeCell ref="C73:C74"/>
    <mergeCell ref="D73:D74"/>
    <mergeCell ref="E73:E74"/>
    <mergeCell ref="G73:G74"/>
    <mergeCell ref="A73:A74"/>
    <mergeCell ref="B73:B74"/>
    <mergeCell ref="L75:L76"/>
    <mergeCell ref="M75:M76"/>
    <mergeCell ref="R75:R76"/>
    <mergeCell ref="A75:A76"/>
    <mergeCell ref="B75:B76"/>
    <mergeCell ref="C75:C76"/>
    <mergeCell ref="D75:D76"/>
    <mergeCell ref="E75:E76"/>
    <mergeCell ref="G75:G76"/>
    <mergeCell ref="I75:I76"/>
    <mergeCell ref="J75:J76"/>
    <mergeCell ref="K75:K76"/>
    <mergeCell ref="B93:B94"/>
    <mergeCell ref="C93:C94"/>
    <mergeCell ref="M88:M90"/>
    <mergeCell ref="H88:H90"/>
    <mergeCell ref="L88:L90"/>
    <mergeCell ref="G88:G90"/>
    <mergeCell ref="D88:D90"/>
    <mergeCell ref="E88:E90"/>
    <mergeCell ref="F88:F90"/>
    <mergeCell ref="B88:B90"/>
    <mergeCell ref="C88:C90"/>
    <mergeCell ref="N96:O96"/>
    <mergeCell ref="N98:O98"/>
    <mergeCell ref="L93:L94"/>
    <mergeCell ref="H93:H94"/>
    <mergeCell ref="M93:M94"/>
    <mergeCell ref="N93:O94"/>
    <mergeCell ref="D93:D94"/>
    <mergeCell ref="E93:E94"/>
    <mergeCell ref="F93:F94"/>
    <mergeCell ref="G93:G94"/>
    <mergeCell ref="T102:T103"/>
    <mergeCell ref="R102:R103"/>
    <mergeCell ref="S102:S103"/>
    <mergeCell ref="M102:M103"/>
    <mergeCell ref="A102:A103"/>
    <mergeCell ref="B102:B103"/>
    <mergeCell ref="C102:C103"/>
    <mergeCell ref="D102:D103"/>
    <mergeCell ref="E102:E103"/>
    <mergeCell ref="G102:G103"/>
    <mergeCell ref="I102:I103"/>
    <mergeCell ref="J102:J103"/>
    <mergeCell ref="K102:K103"/>
    <mergeCell ref="L102:L103"/>
    <mergeCell ref="E128:E129"/>
    <mergeCell ref="N128:N129"/>
    <mergeCell ref="K128:K129"/>
    <mergeCell ref="O128:O129"/>
    <mergeCell ref="L128:L129"/>
    <mergeCell ref="G128:G129"/>
    <mergeCell ref="H128:H129"/>
    <mergeCell ref="F128:F129"/>
    <mergeCell ref="A128:A129"/>
    <mergeCell ref="B128:B129"/>
    <mergeCell ref="M128:M129"/>
    <mergeCell ref="D128:D129"/>
    <mergeCell ref="C128:C129"/>
  </mergeCell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S90"/>
  <sheetViews>
    <sheetView topLeftCell="A5" workbookViewId="0">
      <selection activeCell="C10" sqref="C10:C11"/>
    </sheetView>
  </sheetViews>
  <sheetFormatPr baseColWidth="10" defaultRowHeight="14.3" x14ac:dyDescent="0.25"/>
  <cols>
    <col min="1" max="1" width="11" style="308"/>
    <col min="2" max="2" width="16.375" style="308" customWidth="1"/>
    <col min="3" max="4" width="11" style="308"/>
    <col min="5" max="5" width="12.875" style="308" customWidth="1"/>
    <col min="6" max="16" width="11" style="308"/>
    <col min="17" max="17" width="23.75" style="308" customWidth="1"/>
    <col min="18" max="16384" width="11" style="308"/>
  </cols>
  <sheetData>
    <row r="1" spans="1:17" s="310" customFormat="1" ht="20.05" customHeight="1" x14ac:dyDescent="0.25">
      <c r="A1" s="308"/>
      <c r="B1" s="1138" t="s">
        <v>898</v>
      </c>
      <c r="C1" s="1138" t="s">
        <v>899</v>
      </c>
      <c r="D1" s="1205">
        <v>26188481</v>
      </c>
      <c r="E1" s="1141" t="s">
        <v>530</v>
      </c>
      <c r="F1" s="1538"/>
      <c r="G1" s="1538"/>
      <c r="H1" s="1561"/>
      <c r="I1" s="202"/>
      <c r="J1" s="202"/>
      <c r="K1" s="1138" t="s">
        <v>901</v>
      </c>
      <c r="L1" s="1138" t="s">
        <v>900</v>
      </c>
      <c r="M1" s="307" t="s">
        <v>44</v>
      </c>
      <c r="N1" s="1141" t="s">
        <v>1356</v>
      </c>
      <c r="O1" s="309"/>
    </row>
    <row r="2" spans="1:17" s="310" customFormat="1" ht="20.05" customHeight="1" x14ac:dyDescent="0.25">
      <c r="A2" s="308"/>
      <c r="B2" s="1138"/>
      <c r="C2" s="1138"/>
      <c r="D2" s="1205"/>
      <c r="E2" s="1141"/>
      <c r="F2" s="1538"/>
      <c r="G2" s="1538"/>
      <c r="H2" s="1561"/>
      <c r="I2" s="202"/>
      <c r="J2" s="202"/>
      <c r="K2" s="1138"/>
      <c r="L2" s="1138"/>
      <c r="M2" s="307" t="s">
        <v>711</v>
      </c>
      <c r="N2" s="1141"/>
      <c r="O2" s="309"/>
    </row>
    <row r="3" spans="1:17" s="310" customFormat="1" ht="20.05" customHeight="1" x14ac:dyDescent="0.25">
      <c r="A3" s="308"/>
      <c r="B3" s="1138"/>
      <c r="C3" s="1138"/>
      <c r="D3" s="1205"/>
      <c r="E3" s="1141"/>
      <c r="F3" s="1538"/>
      <c r="G3" s="1538"/>
      <c r="H3" s="1561"/>
      <c r="I3" s="202"/>
      <c r="J3" s="202"/>
      <c r="K3" s="1138"/>
      <c r="L3" s="1138"/>
      <c r="M3" s="307" t="s">
        <v>711</v>
      </c>
      <c r="N3" s="1141"/>
      <c r="O3" s="309"/>
    </row>
    <row r="4" spans="1:17" s="310" customFormat="1" ht="27.7" customHeight="1" x14ac:dyDescent="0.25">
      <c r="A4" s="311"/>
      <c r="B4" s="312" t="s">
        <v>593</v>
      </c>
      <c r="C4" s="312" t="s">
        <v>594</v>
      </c>
      <c r="D4" s="141">
        <v>15036751</v>
      </c>
      <c r="E4" s="307"/>
      <c r="F4" s="127">
        <v>43528</v>
      </c>
      <c r="G4" s="127">
        <v>43555</v>
      </c>
      <c r="H4" s="307" t="s">
        <v>33</v>
      </c>
      <c r="I4" s="307"/>
      <c r="J4" s="307"/>
      <c r="K4" s="189" t="s">
        <v>694</v>
      </c>
      <c r="L4" s="307" t="s">
        <v>693</v>
      </c>
      <c r="M4" s="307" t="s">
        <v>48</v>
      </c>
      <c r="N4" s="1562" t="s">
        <v>1035</v>
      </c>
      <c r="O4" s="1562"/>
    </row>
    <row r="5" spans="1:17" s="313" customFormat="1" ht="30.6" customHeight="1" x14ac:dyDescent="0.25">
      <c r="A5" s="223"/>
      <c r="B5" s="186" t="s">
        <v>147</v>
      </c>
      <c r="C5" s="186" t="s">
        <v>148</v>
      </c>
      <c r="D5" s="140"/>
      <c r="E5" s="307" t="s">
        <v>493</v>
      </c>
      <c r="F5" s="93">
        <v>43502</v>
      </c>
      <c r="G5" s="93">
        <v>43524</v>
      </c>
      <c r="H5" s="304" t="s">
        <v>33</v>
      </c>
      <c r="I5" s="307"/>
      <c r="J5" s="307"/>
      <c r="K5" s="83">
        <v>3165012169</v>
      </c>
      <c r="L5" s="307" t="s">
        <v>310</v>
      </c>
      <c r="M5" s="1138" t="s">
        <v>892</v>
      </c>
      <c r="N5" s="1138"/>
    </row>
    <row r="6" spans="1:17" s="313" customFormat="1" ht="30.6" customHeight="1" x14ac:dyDescent="0.25">
      <c r="A6" s="223"/>
      <c r="B6" s="186" t="s">
        <v>172</v>
      </c>
      <c r="C6" s="186" t="s">
        <v>173</v>
      </c>
      <c r="D6" s="140"/>
      <c r="E6" s="307" t="s">
        <v>493</v>
      </c>
      <c r="F6" s="93">
        <v>43502</v>
      </c>
      <c r="G6" s="93">
        <v>43524</v>
      </c>
      <c r="H6" s="83" t="s">
        <v>33</v>
      </c>
      <c r="I6" s="307"/>
      <c r="J6" s="307"/>
      <c r="K6" s="83">
        <v>3217725137</v>
      </c>
      <c r="L6" s="307" t="s">
        <v>299</v>
      </c>
      <c r="M6" s="1558" t="s">
        <v>902</v>
      </c>
      <c r="N6" s="1558"/>
    </row>
    <row r="7" spans="1:17" s="313" customFormat="1" ht="30.6" customHeight="1" x14ac:dyDescent="0.25">
      <c r="A7" s="223"/>
      <c r="B7" s="186" t="s">
        <v>887</v>
      </c>
      <c r="C7" s="186" t="s">
        <v>888</v>
      </c>
      <c r="D7" s="140">
        <v>33165990</v>
      </c>
      <c r="E7" s="307" t="s">
        <v>889</v>
      </c>
      <c r="F7" s="93">
        <v>43528</v>
      </c>
      <c r="G7" s="93">
        <v>43555</v>
      </c>
      <c r="H7" s="304" t="s">
        <v>33</v>
      </c>
      <c r="I7" s="307">
        <v>12</v>
      </c>
      <c r="J7" s="307" t="s">
        <v>4</v>
      </c>
      <c r="K7" s="83" t="s">
        <v>890</v>
      </c>
      <c r="L7" s="189" t="s">
        <v>891</v>
      </c>
      <c r="M7" s="1559" t="s">
        <v>1316</v>
      </c>
      <c r="N7" s="1559"/>
    </row>
    <row r="8" spans="1:17" s="186" customFormat="1" ht="30.1" customHeight="1" x14ac:dyDescent="0.25">
      <c r="A8" s="223"/>
      <c r="B8" s="188" t="s">
        <v>737</v>
      </c>
      <c r="C8" s="188" t="s">
        <v>738</v>
      </c>
      <c r="D8" s="141">
        <v>25751951</v>
      </c>
      <c r="E8" s="307" t="s">
        <v>672</v>
      </c>
      <c r="F8" s="93">
        <v>43528</v>
      </c>
      <c r="G8" s="93">
        <v>43555</v>
      </c>
      <c r="H8" s="304" t="s">
        <v>33</v>
      </c>
      <c r="I8" s="307">
        <v>12</v>
      </c>
      <c r="J8" s="307" t="s">
        <v>4</v>
      </c>
      <c r="K8" s="83">
        <v>3148856380</v>
      </c>
      <c r="L8" s="307" t="s">
        <v>739</v>
      </c>
      <c r="M8" s="1138" t="s">
        <v>1158</v>
      </c>
      <c r="N8" s="1138"/>
    </row>
    <row r="9" spans="1:17" s="310" customFormat="1" ht="26.5" customHeight="1" x14ac:dyDescent="0.25">
      <c r="A9" s="311"/>
      <c r="B9" s="312" t="s">
        <v>250</v>
      </c>
      <c r="C9" s="312" t="s">
        <v>251</v>
      </c>
      <c r="D9" s="141">
        <v>26044294</v>
      </c>
      <c r="E9" s="190" t="s">
        <v>727</v>
      </c>
      <c r="F9" s="127">
        <v>43528</v>
      </c>
      <c r="G9" s="127">
        <v>43555</v>
      </c>
      <c r="H9" s="307" t="s">
        <v>33</v>
      </c>
      <c r="I9" s="307">
        <v>12</v>
      </c>
      <c r="J9" s="307" t="s">
        <v>4</v>
      </c>
      <c r="K9" s="307">
        <v>3014761148</v>
      </c>
      <c r="L9" s="307" t="s">
        <v>252</v>
      </c>
      <c r="M9" s="307" t="s">
        <v>48</v>
      </c>
      <c r="N9" s="309"/>
      <c r="O9" s="309"/>
    </row>
    <row r="10" spans="1:17" s="309" customFormat="1" ht="20.05" customHeight="1" x14ac:dyDescent="0.25">
      <c r="A10" s="314"/>
      <c r="B10" s="1560" t="s">
        <v>124</v>
      </c>
      <c r="C10" s="1560" t="s">
        <v>125</v>
      </c>
      <c r="D10" s="1205">
        <v>26020408</v>
      </c>
      <c r="E10" s="1138" t="s">
        <v>486</v>
      </c>
      <c r="F10" s="127">
        <v>43528</v>
      </c>
      <c r="G10" s="127">
        <v>43555</v>
      </c>
      <c r="H10" s="307" t="s">
        <v>33</v>
      </c>
      <c r="I10" s="307">
        <v>12</v>
      </c>
      <c r="J10" s="307" t="s">
        <v>4</v>
      </c>
      <c r="K10" s="1138">
        <v>3116851554</v>
      </c>
      <c r="L10" s="1138" t="s">
        <v>235</v>
      </c>
      <c r="M10" s="307" t="s">
        <v>6</v>
      </c>
      <c r="N10" s="315" t="s">
        <v>537</v>
      </c>
      <c r="O10" s="1558" t="s">
        <v>1546</v>
      </c>
    </row>
    <row r="11" spans="1:17" s="309" customFormat="1" ht="21.1" customHeight="1" x14ac:dyDescent="0.25">
      <c r="A11" s="314"/>
      <c r="B11" s="1560"/>
      <c r="C11" s="1560"/>
      <c r="D11" s="1205"/>
      <c r="E11" s="1138"/>
      <c r="F11" s="127"/>
      <c r="G11" s="127"/>
      <c r="H11" s="307"/>
      <c r="I11" s="307"/>
      <c r="J11" s="307"/>
      <c r="K11" s="1138"/>
      <c r="L11" s="1138"/>
      <c r="M11" s="307" t="s">
        <v>614</v>
      </c>
      <c r="O11" s="1558"/>
    </row>
    <row r="12" spans="1:17" s="307" customFormat="1" ht="30.1" customHeight="1" x14ac:dyDescent="0.25">
      <c r="A12" s="305"/>
      <c r="B12" s="188" t="s">
        <v>797</v>
      </c>
      <c r="C12" s="188" t="s">
        <v>798</v>
      </c>
      <c r="D12" s="307" t="s">
        <v>348</v>
      </c>
      <c r="E12" s="306">
        <v>64548823</v>
      </c>
      <c r="F12" s="307" t="s">
        <v>357</v>
      </c>
      <c r="H12" s="307" t="s">
        <v>1294</v>
      </c>
      <c r="I12" s="307">
        <v>3126723228</v>
      </c>
      <c r="J12" s="127">
        <v>43483</v>
      </c>
      <c r="K12" s="127">
        <v>43529</v>
      </c>
      <c r="L12" s="127">
        <v>43570</v>
      </c>
      <c r="M12" s="307">
        <v>30</v>
      </c>
      <c r="N12" s="307" t="s">
        <v>4</v>
      </c>
      <c r="O12" s="307">
        <v>30</v>
      </c>
      <c r="P12" s="307" t="s">
        <v>1329</v>
      </c>
      <c r="Q12" s="190" t="s">
        <v>1414</v>
      </c>
    </row>
    <row r="13" spans="1:17" s="316" customFormat="1" ht="23.95" customHeight="1" x14ac:dyDescent="0.25">
      <c r="A13" s="1539">
        <v>8</v>
      </c>
      <c r="B13" s="1540" t="s">
        <v>409</v>
      </c>
      <c r="C13" s="1540" t="s">
        <v>410</v>
      </c>
      <c r="D13" s="1138" t="s">
        <v>348</v>
      </c>
      <c r="E13" s="1537">
        <v>1003189185</v>
      </c>
      <c r="F13" s="304" t="s">
        <v>349</v>
      </c>
      <c r="G13" s="1540" t="s">
        <v>484</v>
      </c>
      <c r="H13" s="304" t="s">
        <v>22</v>
      </c>
      <c r="I13" s="1563">
        <v>3126882922</v>
      </c>
      <c r="J13" s="1542">
        <v>1</v>
      </c>
      <c r="K13" s="1542">
        <v>30</v>
      </c>
      <c r="L13" s="304">
        <v>20</v>
      </c>
      <c r="M13" s="304" t="s">
        <v>4</v>
      </c>
      <c r="N13" s="304" t="s">
        <v>23</v>
      </c>
      <c r="O13" s="1540" t="s">
        <v>1443</v>
      </c>
      <c r="P13" s="304"/>
    </row>
    <row r="14" spans="1:17" s="316" customFormat="1" ht="24.8" customHeight="1" x14ac:dyDescent="0.25">
      <c r="A14" s="1539"/>
      <c r="B14" s="1540"/>
      <c r="C14" s="1540"/>
      <c r="D14" s="1138"/>
      <c r="E14" s="1537"/>
      <c r="F14" s="304" t="s">
        <v>349</v>
      </c>
      <c r="G14" s="1540"/>
      <c r="H14" s="304" t="s">
        <v>22</v>
      </c>
      <c r="I14" s="1563"/>
      <c r="J14" s="1542"/>
      <c r="K14" s="1542"/>
      <c r="L14" s="304">
        <v>8</v>
      </c>
      <c r="M14" s="304" t="s">
        <v>215</v>
      </c>
      <c r="N14" s="304" t="s">
        <v>543</v>
      </c>
      <c r="O14" s="1540"/>
      <c r="P14" s="304"/>
    </row>
    <row r="15" spans="1:17" s="316" customFormat="1" ht="27" customHeight="1" x14ac:dyDescent="0.25">
      <c r="A15" s="1539"/>
      <c r="B15" s="1540"/>
      <c r="C15" s="1540"/>
      <c r="D15" s="1138"/>
      <c r="E15" s="1537"/>
      <c r="F15" s="304" t="s">
        <v>349</v>
      </c>
      <c r="G15" s="1540"/>
      <c r="H15" s="304" t="s">
        <v>22</v>
      </c>
      <c r="I15" s="1563"/>
      <c r="J15" s="1542"/>
      <c r="K15" s="1542"/>
      <c r="L15" s="304">
        <v>60</v>
      </c>
      <c r="M15" s="304" t="s">
        <v>5</v>
      </c>
      <c r="N15" s="304" t="s">
        <v>23</v>
      </c>
      <c r="O15" s="1540"/>
      <c r="P15" s="304"/>
    </row>
    <row r="16" spans="1:17" s="12" customFormat="1" ht="30.1" customHeight="1" x14ac:dyDescent="0.25">
      <c r="A16" s="1539">
        <v>24</v>
      </c>
      <c r="B16" s="1162" t="s">
        <v>1285</v>
      </c>
      <c r="C16" s="1162" t="s">
        <v>1286</v>
      </c>
      <c r="D16" s="1138" t="s">
        <v>348</v>
      </c>
      <c r="E16" s="1537">
        <v>6892555</v>
      </c>
      <c r="F16" s="307" t="s">
        <v>835</v>
      </c>
      <c r="G16" s="1138"/>
      <c r="H16" s="1138" t="s">
        <v>1287</v>
      </c>
      <c r="I16" s="1138">
        <v>3205422035</v>
      </c>
      <c r="J16" s="1564">
        <v>43545</v>
      </c>
      <c r="K16" s="1538">
        <v>43546</v>
      </c>
      <c r="L16" s="1538">
        <v>43576</v>
      </c>
      <c r="M16" s="307">
        <v>1</v>
      </c>
      <c r="N16" s="307" t="s">
        <v>214</v>
      </c>
      <c r="O16" s="307">
        <v>1</v>
      </c>
      <c r="P16" s="1559" t="s">
        <v>1288</v>
      </c>
      <c r="Q16" s="1138" t="s">
        <v>1632</v>
      </c>
    </row>
    <row r="17" spans="1:19" s="12" customFormat="1" ht="30.1" customHeight="1" x14ac:dyDescent="0.25">
      <c r="A17" s="1539"/>
      <c r="B17" s="1162"/>
      <c r="C17" s="1162"/>
      <c r="D17" s="1138"/>
      <c r="E17" s="1537"/>
      <c r="F17" s="307" t="s">
        <v>835</v>
      </c>
      <c r="G17" s="1138"/>
      <c r="H17" s="1138"/>
      <c r="I17" s="1138"/>
      <c r="J17" s="1564"/>
      <c r="K17" s="1538"/>
      <c r="L17" s="1538"/>
      <c r="M17" s="307">
        <v>12</v>
      </c>
      <c r="N17" s="307" t="s">
        <v>4</v>
      </c>
      <c r="O17" s="307">
        <v>12</v>
      </c>
      <c r="P17" s="1559"/>
      <c r="Q17" s="1138"/>
    </row>
    <row r="18" spans="1:19" s="1" customFormat="1" ht="28.55" customHeight="1" x14ac:dyDescent="0.25">
      <c r="A18" s="1346">
        <v>53</v>
      </c>
      <c r="B18" s="1349" t="s">
        <v>1337</v>
      </c>
      <c r="C18" s="1349" t="s">
        <v>1338</v>
      </c>
      <c r="D18" s="1349" t="s">
        <v>348</v>
      </c>
      <c r="E18" s="1352">
        <v>26025621</v>
      </c>
      <c r="F18" s="259" t="s">
        <v>906</v>
      </c>
      <c r="G18" s="1349" t="s">
        <v>1339</v>
      </c>
      <c r="H18" s="259" t="s">
        <v>14</v>
      </c>
      <c r="I18" s="1565" t="s">
        <v>1340</v>
      </c>
      <c r="J18" s="1567">
        <v>1</v>
      </c>
      <c r="K18" s="1567">
        <v>30</v>
      </c>
      <c r="L18" s="259">
        <v>20</v>
      </c>
      <c r="M18" s="259" t="s">
        <v>4</v>
      </c>
      <c r="N18" s="259" t="s">
        <v>390</v>
      </c>
      <c r="O18" s="1349" t="s">
        <v>1432</v>
      </c>
      <c r="P18" s="1349" t="s">
        <v>1631</v>
      </c>
    </row>
    <row r="19" spans="1:19" s="1" customFormat="1" ht="32.6" customHeight="1" x14ac:dyDescent="0.25">
      <c r="A19" s="1348"/>
      <c r="B19" s="1351"/>
      <c r="C19" s="1351"/>
      <c r="D19" s="1351"/>
      <c r="E19" s="1354"/>
      <c r="F19" s="259" t="s">
        <v>906</v>
      </c>
      <c r="G19" s="1351"/>
      <c r="H19" s="259" t="s">
        <v>14</v>
      </c>
      <c r="I19" s="1566"/>
      <c r="J19" s="1568"/>
      <c r="K19" s="1568"/>
      <c r="L19" s="259">
        <v>8</v>
      </c>
      <c r="M19" s="259" t="s">
        <v>215</v>
      </c>
      <c r="N19" s="259" t="s">
        <v>390</v>
      </c>
      <c r="O19" s="1351"/>
      <c r="P19" s="1351"/>
    </row>
    <row r="20" spans="1:19" s="1" customFormat="1" ht="30.1" customHeight="1" x14ac:dyDescent="0.25">
      <c r="A20" s="1346">
        <v>95</v>
      </c>
      <c r="B20" s="1349" t="s">
        <v>1652</v>
      </c>
      <c r="C20" s="1349" t="s">
        <v>1653</v>
      </c>
      <c r="D20" s="1349" t="s">
        <v>348</v>
      </c>
      <c r="E20" s="1352">
        <v>78697029</v>
      </c>
      <c r="F20" s="302" t="s">
        <v>906</v>
      </c>
      <c r="G20" s="1349" t="s">
        <v>530</v>
      </c>
      <c r="H20" s="302" t="s">
        <v>14</v>
      </c>
      <c r="I20" s="1569" t="s">
        <v>1654</v>
      </c>
      <c r="J20" s="1567">
        <v>18</v>
      </c>
      <c r="K20" s="1567">
        <v>17</v>
      </c>
      <c r="L20" s="302">
        <v>120</v>
      </c>
      <c r="M20" s="302" t="s">
        <v>5</v>
      </c>
      <c r="N20" s="302" t="s">
        <v>390</v>
      </c>
      <c r="O20" s="1349" t="s">
        <v>1676</v>
      </c>
      <c r="P20" s="1349" t="s">
        <v>1698</v>
      </c>
    </row>
    <row r="21" spans="1:19" s="1" customFormat="1" ht="30.1" customHeight="1" x14ac:dyDescent="0.25">
      <c r="A21" s="1348"/>
      <c r="B21" s="1351"/>
      <c r="C21" s="1351"/>
      <c r="D21" s="1351"/>
      <c r="E21" s="1354"/>
      <c r="F21" s="302" t="s">
        <v>906</v>
      </c>
      <c r="G21" s="1351"/>
      <c r="H21" s="302" t="s">
        <v>14</v>
      </c>
      <c r="I21" s="1570"/>
      <c r="J21" s="1568"/>
      <c r="K21" s="1568"/>
      <c r="L21" s="302">
        <v>30</v>
      </c>
      <c r="M21" s="302" t="s">
        <v>4</v>
      </c>
      <c r="N21" s="302" t="s">
        <v>390</v>
      </c>
      <c r="O21" s="1351"/>
      <c r="P21" s="1351"/>
    </row>
    <row r="22" spans="1:19" s="210" customFormat="1" ht="31.95" customHeight="1" x14ac:dyDescent="0.25">
      <c r="A22" s="243"/>
      <c r="B22" s="125" t="s">
        <v>691</v>
      </c>
      <c r="C22" s="126" t="s">
        <v>692</v>
      </c>
      <c r="D22" s="209">
        <v>1548835</v>
      </c>
      <c r="E22" s="82" t="s">
        <v>530</v>
      </c>
      <c r="F22" s="127">
        <v>43559</v>
      </c>
      <c r="G22" s="127">
        <v>43585</v>
      </c>
      <c r="H22" s="82" t="s">
        <v>33</v>
      </c>
      <c r="I22" s="82"/>
      <c r="J22" s="82" t="s">
        <v>4</v>
      </c>
      <c r="K22" s="82" t="s">
        <v>1381</v>
      </c>
      <c r="L22" s="204" t="s">
        <v>1380</v>
      </c>
      <c r="M22" s="204" t="s">
        <v>711</v>
      </c>
      <c r="N22" s="1556" t="s">
        <v>1382</v>
      </c>
      <c r="O22" s="1557"/>
    </row>
    <row r="23" spans="1:19" s="11" customFormat="1" ht="33.299999999999997" customHeight="1" thickBot="1" x14ac:dyDescent="0.3">
      <c r="A23" s="326"/>
      <c r="B23" s="277" t="s">
        <v>1199</v>
      </c>
      <c r="C23" s="278" t="s">
        <v>1200</v>
      </c>
      <c r="D23" s="279">
        <v>25802787</v>
      </c>
      <c r="E23" s="280" t="s">
        <v>486</v>
      </c>
      <c r="F23" s="281">
        <v>43557</v>
      </c>
      <c r="G23" s="281">
        <v>43585</v>
      </c>
      <c r="H23" s="282" t="s">
        <v>33</v>
      </c>
      <c r="I23" s="282">
        <v>12</v>
      </c>
      <c r="J23" s="282" t="s">
        <v>4</v>
      </c>
      <c r="K23" s="283" t="s">
        <v>1201</v>
      </c>
      <c r="L23" s="283" t="s">
        <v>1202</v>
      </c>
      <c r="M23" s="283" t="s">
        <v>450</v>
      </c>
      <c r="N23" s="1527" t="s">
        <v>1668</v>
      </c>
      <c r="O23" s="1528"/>
    </row>
    <row r="24" spans="1:19" s="7" customFormat="1" ht="30.1" customHeight="1" x14ac:dyDescent="0.25">
      <c r="A24" s="1346">
        <v>11</v>
      </c>
      <c r="B24" s="1488" t="s">
        <v>1164</v>
      </c>
      <c r="C24" s="1488" t="s">
        <v>1165</v>
      </c>
      <c r="D24" s="1488" t="s">
        <v>348</v>
      </c>
      <c r="E24" s="1491">
        <v>9305275</v>
      </c>
      <c r="F24" s="254" t="s">
        <v>906</v>
      </c>
      <c r="G24" s="1488" t="s">
        <v>490</v>
      </c>
      <c r="H24" s="254" t="s">
        <v>9</v>
      </c>
      <c r="I24" s="1488" t="s">
        <v>1166</v>
      </c>
      <c r="J24" s="1488">
        <v>3017463396</v>
      </c>
      <c r="K24" s="1494">
        <v>43564</v>
      </c>
      <c r="L24" s="1494">
        <v>43566</v>
      </c>
      <c r="M24" s="1494">
        <v>43646</v>
      </c>
      <c r="N24" s="254">
        <v>20</v>
      </c>
      <c r="O24" s="254" t="s">
        <v>4</v>
      </c>
      <c r="P24" s="254">
        <v>20</v>
      </c>
      <c r="Q24" s="254" t="s">
        <v>711</v>
      </c>
      <c r="R24" s="254"/>
      <c r="S24" s="1485" t="s">
        <v>1602</v>
      </c>
    </row>
    <row r="25" spans="1:19" s="7" customFormat="1" ht="30.1" customHeight="1" x14ac:dyDescent="0.25">
      <c r="A25" s="1348"/>
      <c r="B25" s="1490"/>
      <c r="C25" s="1490"/>
      <c r="D25" s="1490"/>
      <c r="E25" s="1493"/>
      <c r="F25" s="254" t="s">
        <v>906</v>
      </c>
      <c r="G25" s="1490"/>
      <c r="H25" s="254" t="s">
        <v>9</v>
      </c>
      <c r="I25" s="1490"/>
      <c r="J25" s="1490"/>
      <c r="K25" s="1496"/>
      <c r="L25" s="1496"/>
      <c r="M25" s="1496"/>
      <c r="N25" s="254">
        <v>15</v>
      </c>
      <c r="O25" s="254" t="s">
        <v>5</v>
      </c>
      <c r="P25" s="254">
        <v>15</v>
      </c>
      <c r="Q25" s="254" t="s">
        <v>711</v>
      </c>
      <c r="R25" s="254"/>
      <c r="S25" s="1487"/>
    </row>
    <row r="26" spans="1:19" s="258" customFormat="1" ht="30.1" customHeight="1" x14ac:dyDescent="0.25">
      <c r="A26" s="1346">
        <v>30</v>
      </c>
      <c r="B26" s="1488" t="s">
        <v>34</v>
      </c>
      <c r="C26" s="1488" t="s">
        <v>1580</v>
      </c>
      <c r="D26" s="1488" t="s">
        <v>348</v>
      </c>
      <c r="E26" s="1491">
        <v>2777724</v>
      </c>
      <c r="F26" s="255" t="s">
        <v>362</v>
      </c>
      <c r="G26" s="1488" t="s">
        <v>1581</v>
      </c>
      <c r="H26" s="255" t="s">
        <v>1439</v>
      </c>
      <c r="I26" s="1488" t="s">
        <v>1582</v>
      </c>
      <c r="J26" s="1488" t="s">
        <v>1583</v>
      </c>
      <c r="K26" s="1494">
        <v>43571</v>
      </c>
      <c r="L26" s="1494">
        <v>43571</v>
      </c>
      <c r="M26" s="1494">
        <v>43753</v>
      </c>
      <c r="N26" s="255">
        <v>30</v>
      </c>
      <c r="O26" s="255" t="s">
        <v>4</v>
      </c>
      <c r="P26" s="255">
        <v>180</v>
      </c>
      <c r="Q26" s="255" t="s">
        <v>1584</v>
      </c>
      <c r="R26" s="1488" t="s">
        <v>1585</v>
      </c>
      <c r="S26" s="1485" t="s">
        <v>1604</v>
      </c>
    </row>
    <row r="27" spans="1:19" s="258" customFormat="1" ht="30.1" customHeight="1" x14ac:dyDescent="0.25">
      <c r="A27" s="1348"/>
      <c r="B27" s="1490"/>
      <c r="C27" s="1490"/>
      <c r="D27" s="1490"/>
      <c r="E27" s="1493"/>
      <c r="F27" s="255" t="s">
        <v>362</v>
      </c>
      <c r="G27" s="1490"/>
      <c r="H27" s="255" t="s">
        <v>1439</v>
      </c>
      <c r="I27" s="1490"/>
      <c r="J27" s="1490"/>
      <c r="K27" s="1496"/>
      <c r="L27" s="1496"/>
      <c r="M27" s="1496"/>
      <c r="N27" s="255">
        <v>60</v>
      </c>
      <c r="O27" s="255" t="s">
        <v>5</v>
      </c>
      <c r="P27" s="255">
        <v>360</v>
      </c>
      <c r="Q27" s="255" t="s">
        <v>1584</v>
      </c>
      <c r="R27" s="1490"/>
      <c r="S27" s="1487"/>
    </row>
    <row r="28" spans="1:19" s="3" customFormat="1" ht="30.6" customHeight="1" x14ac:dyDescent="0.25">
      <c r="A28" s="320"/>
      <c r="B28" s="186" t="s">
        <v>1409</v>
      </c>
      <c r="C28" s="186" t="s">
        <v>1410</v>
      </c>
      <c r="D28" s="140">
        <v>6575799</v>
      </c>
      <c r="E28" s="233" t="s">
        <v>1411</v>
      </c>
      <c r="F28" s="93">
        <v>43557</v>
      </c>
      <c r="G28" s="93">
        <v>43585</v>
      </c>
      <c r="H28" s="232" t="s">
        <v>33</v>
      </c>
      <c r="I28" s="233"/>
      <c r="J28" s="233" t="s">
        <v>4</v>
      </c>
      <c r="K28" s="83">
        <v>3014482318</v>
      </c>
      <c r="L28" s="233" t="s">
        <v>1412</v>
      </c>
      <c r="M28" s="1221" t="s">
        <v>1515</v>
      </c>
      <c r="N28" s="1222"/>
    </row>
    <row r="29" spans="1:19" s="3" customFormat="1" ht="29.9" customHeight="1" x14ac:dyDescent="0.25">
      <c r="A29" s="320"/>
      <c r="B29" s="293" t="s">
        <v>659</v>
      </c>
      <c r="C29" s="299" t="s">
        <v>660</v>
      </c>
      <c r="D29" s="296">
        <v>25758424</v>
      </c>
      <c r="E29" s="294" t="s">
        <v>661</v>
      </c>
      <c r="F29" s="93">
        <v>43557</v>
      </c>
      <c r="G29" s="93">
        <v>43585</v>
      </c>
      <c r="H29" s="295" t="s">
        <v>33</v>
      </c>
      <c r="I29" s="298">
        <v>12</v>
      </c>
      <c r="J29" s="298" t="s">
        <v>4</v>
      </c>
      <c r="K29" s="297" t="s">
        <v>662</v>
      </c>
      <c r="L29" s="294" t="s">
        <v>663</v>
      </c>
      <c r="M29" s="1355" t="s">
        <v>1697</v>
      </c>
      <c r="N29" s="1519"/>
    </row>
    <row r="30" spans="1:19" s="7" customFormat="1" ht="30.1" customHeight="1" x14ac:dyDescent="0.25">
      <c r="A30" s="1573">
        <v>28</v>
      </c>
      <c r="B30" s="1540" t="s">
        <v>376</v>
      </c>
      <c r="C30" s="1540" t="s">
        <v>460</v>
      </c>
      <c r="D30" s="1540" t="s">
        <v>348</v>
      </c>
      <c r="E30" s="1572">
        <v>1564567</v>
      </c>
      <c r="F30" s="260" t="s">
        <v>349</v>
      </c>
      <c r="G30" s="1540" t="s">
        <v>486</v>
      </c>
      <c r="H30" s="260" t="s">
        <v>233</v>
      </c>
      <c r="I30" s="1540" t="s">
        <v>863</v>
      </c>
      <c r="J30" s="1539">
        <v>1</v>
      </c>
      <c r="K30" s="1542">
        <v>30</v>
      </c>
      <c r="L30" s="260">
        <v>20</v>
      </c>
      <c r="M30" s="260" t="s">
        <v>4</v>
      </c>
      <c r="N30" s="260" t="s">
        <v>46</v>
      </c>
      <c r="O30" s="1540" t="s">
        <v>903</v>
      </c>
      <c r="P30" s="1488" t="s">
        <v>1631</v>
      </c>
      <c r="Q30" s="149"/>
      <c r="R30" s="1571"/>
      <c r="S30" s="1373"/>
    </row>
    <row r="31" spans="1:19" s="7" customFormat="1" ht="30.1" customHeight="1" x14ac:dyDescent="0.25">
      <c r="A31" s="1573"/>
      <c r="B31" s="1540"/>
      <c r="C31" s="1540"/>
      <c r="D31" s="1540"/>
      <c r="E31" s="1572"/>
      <c r="F31" s="260" t="s">
        <v>349</v>
      </c>
      <c r="G31" s="1540"/>
      <c r="H31" s="260" t="s">
        <v>233</v>
      </c>
      <c r="I31" s="1540"/>
      <c r="J31" s="1539"/>
      <c r="K31" s="1542"/>
      <c r="L31" s="260">
        <v>20</v>
      </c>
      <c r="M31" s="260" t="s">
        <v>5</v>
      </c>
      <c r="N31" s="260" t="s">
        <v>46</v>
      </c>
      <c r="O31" s="1540"/>
      <c r="P31" s="1489"/>
      <c r="Q31" s="149"/>
      <c r="R31" s="1571"/>
      <c r="S31" s="1373"/>
    </row>
    <row r="32" spans="1:19" s="7" customFormat="1" ht="30.1" customHeight="1" x14ac:dyDescent="0.25">
      <c r="A32" s="1539"/>
      <c r="B32" s="1540"/>
      <c r="C32" s="1540"/>
      <c r="D32" s="1540"/>
      <c r="E32" s="1572"/>
      <c r="F32" s="260" t="s">
        <v>349</v>
      </c>
      <c r="G32" s="1540"/>
      <c r="H32" s="260" t="s">
        <v>233</v>
      </c>
      <c r="I32" s="1540"/>
      <c r="J32" s="1539"/>
      <c r="K32" s="1542"/>
      <c r="L32" s="260">
        <v>20</v>
      </c>
      <c r="M32" s="260" t="s">
        <v>215</v>
      </c>
      <c r="N32" s="260" t="s">
        <v>129</v>
      </c>
      <c r="O32" s="1540"/>
      <c r="P32" s="1490"/>
      <c r="Q32" s="149"/>
      <c r="R32" s="1571"/>
      <c r="S32" s="1373"/>
    </row>
    <row r="33" spans="1:19" s="1" customFormat="1" ht="30.1" customHeight="1" x14ac:dyDescent="0.25">
      <c r="A33" s="334">
        <v>66</v>
      </c>
      <c r="B33" s="336" t="s">
        <v>1488</v>
      </c>
      <c r="C33" s="336" t="s">
        <v>1489</v>
      </c>
      <c r="D33" s="336" t="s">
        <v>348</v>
      </c>
      <c r="E33" s="337">
        <v>6574689</v>
      </c>
      <c r="F33" s="336" t="s">
        <v>362</v>
      </c>
      <c r="G33" s="336" t="s">
        <v>867</v>
      </c>
      <c r="H33" s="336" t="s">
        <v>14</v>
      </c>
      <c r="I33" s="189" t="s">
        <v>1490</v>
      </c>
      <c r="J33" s="335">
        <v>10</v>
      </c>
      <c r="K33" s="335">
        <v>9</v>
      </c>
      <c r="L33" s="336">
        <v>20</v>
      </c>
      <c r="M33" s="336" t="s">
        <v>4</v>
      </c>
      <c r="N33" s="336" t="s">
        <v>390</v>
      </c>
      <c r="O33" s="336" t="s">
        <v>1491</v>
      </c>
      <c r="P33" s="338" t="s">
        <v>1772</v>
      </c>
    </row>
    <row r="34" spans="1:19" s="4" customFormat="1" ht="30.1" customHeight="1" x14ac:dyDescent="0.25">
      <c r="A34" s="1346">
        <v>42</v>
      </c>
      <c r="B34" s="1349" t="s">
        <v>1781</v>
      </c>
      <c r="C34" s="1349" t="s">
        <v>1782</v>
      </c>
      <c r="D34" s="1349" t="s">
        <v>348</v>
      </c>
      <c r="E34" s="1352">
        <v>4326171</v>
      </c>
      <c r="F34" s="349" t="s">
        <v>906</v>
      </c>
      <c r="G34" s="1349" t="s">
        <v>486</v>
      </c>
      <c r="H34" s="1349" t="s">
        <v>1783</v>
      </c>
      <c r="I34" s="1349" t="s">
        <v>1784</v>
      </c>
      <c r="J34" s="1323">
        <v>43587</v>
      </c>
      <c r="K34" s="1323">
        <v>43587</v>
      </c>
      <c r="L34" s="1323">
        <v>43586</v>
      </c>
      <c r="M34" s="349">
        <v>60</v>
      </c>
      <c r="N34" s="349" t="s">
        <v>5</v>
      </c>
      <c r="O34" s="349">
        <v>60</v>
      </c>
      <c r="P34" s="349"/>
      <c r="Q34" s="1349" t="s">
        <v>1843</v>
      </c>
    </row>
    <row r="35" spans="1:19" s="4" customFormat="1" ht="30.1" customHeight="1" x14ac:dyDescent="0.25">
      <c r="A35" s="1348"/>
      <c r="B35" s="1351"/>
      <c r="C35" s="1351"/>
      <c r="D35" s="1351"/>
      <c r="E35" s="1354"/>
      <c r="F35" s="349" t="s">
        <v>906</v>
      </c>
      <c r="G35" s="1351"/>
      <c r="H35" s="1351"/>
      <c r="I35" s="1351"/>
      <c r="J35" s="1325"/>
      <c r="K35" s="1325"/>
      <c r="L35" s="1325"/>
      <c r="M35" s="349">
        <v>30</v>
      </c>
      <c r="N35" s="349" t="s">
        <v>4</v>
      </c>
      <c r="O35" s="349">
        <v>30</v>
      </c>
      <c r="P35" s="349"/>
      <c r="Q35" s="1351"/>
    </row>
    <row r="36" spans="1:19" s="360" customFormat="1" ht="30.1" customHeight="1" x14ac:dyDescent="0.25">
      <c r="A36" s="353">
        <v>30</v>
      </c>
      <c r="B36" s="354" t="s">
        <v>1610</v>
      </c>
      <c r="C36" s="354" t="s">
        <v>1611</v>
      </c>
      <c r="D36" s="350" t="s">
        <v>348</v>
      </c>
      <c r="E36" s="351">
        <v>70032904</v>
      </c>
      <c r="F36" s="350" t="s">
        <v>362</v>
      </c>
      <c r="G36" s="350" t="s">
        <v>1613</v>
      </c>
      <c r="H36" s="350" t="s">
        <v>1614</v>
      </c>
      <c r="I36" s="350">
        <v>3007104386</v>
      </c>
      <c r="J36" s="352">
        <v>43572</v>
      </c>
      <c r="K36" s="352">
        <v>43572</v>
      </c>
      <c r="L36" s="352">
        <v>43587</v>
      </c>
      <c r="M36" s="350">
        <v>30</v>
      </c>
      <c r="N36" s="350" t="s">
        <v>5</v>
      </c>
      <c r="O36" s="350">
        <v>30</v>
      </c>
      <c r="P36" s="350" t="s">
        <v>1615</v>
      </c>
      <c r="Q36" s="350" t="s">
        <v>1847</v>
      </c>
    </row>
    <row r="37" spans="1:19" s="1" customFormat="1" ht="30.1" customHeight="1" x14ac:dyDescent="0.25">
      <c r="A37" s="1346">
        <v>52</v>
      </c>
      <c r="B37" s="1349" t="s">
        <v>1373</v>
      </c>
      <c r="C37" s="1349" t="s">
        <v>1374</v>
      </c>
      <c r="D37" s="1349" t="s">
        <v>348</v>
      </c>
      <c r="E37" s="1352">
        <v>1538657</v>
      </c>
      <c r="F37" s="383" t="s">
        <v>362</v>
      </c>
      <c r="G37" s="1349" t="s">
        <v>481</v>
      </c>
      <c r="H37" s="383" t="s">
        <v>14</v>
      </c>
      <c r="I37" s="1569" t="s">
        <v>1375</v>
      </c>
      <c r="J37" s="1567">
        <v>1</v>
      </c>
      <c r="K37" s="1567">
        <v>30</v>
      </c>
      <c r="L37" s="383">
        <v>12</v>
      </c>
      <c r="M37" s="383" t="s">
        <v>4</v>
      </c>
      <c r="N37" s="383" t="s">
        <v>390</v>
      </c>
      <c r="O37" s="1349" t="s">
        <v>1425</v>
      </c>
      <c r="P37" s="1323" t="s">
        <v>1902</v>
      </c>
    </row>
    <row r="38" spans="1:19" s="1" customFormat="1" ht="30.1" customHeight="1" x14ac:dyDescent="0.25">
      <c r="A38" s="1347"/>
      <c r="B38" s="1350"/>
      <c r="C38" s="1350"/>
      <c r="D38" s="1350"/>
      <c r="E38" s="1353"/>
      <c r="F38" s="383" t="s">
        <v>362</v>
      </c>
      <c r="G38" s="1350"/>
      <c r="H38" s="383" t="s">
        <v>14</v>
      </c>
      <c r="I38" s="1581"/>
      <c r="J38" s="1580"/>
      <c r="K38" s="1580"/>
      <c r="L38" s="383">
        <v>8</v>
      </c>
      <c r="M38" s="383" t="s">
        <v>215</v>
      </c>
      <c r="N38" s="383" t="s">
        <v>390</v>
      </c>
      <c r="O38" s="1351"/>
      <c r="P38" s="1325"/>
    </row>
    <row r="39" spans="1:19" s="258" customFormat="1" ht="38.75" customHeight="1" x14ac:dyDescent="0.25">
      <c r="A39" s="406">
        <v>63</v>
      </c>
      <c r="B39" s="407" t="s">
        <v>804</v>
      </c>
      <c r="C39" s="407" t="s">
        <v>1481</v>
      </c>
      <c r="D39" s="407" t="s">
        <v>348</v>
      </c>
      <c r="E39" s="409">
        <v>15047735</v>
      </c>
      <c r="F39" s="407" t="s">
        <v>349</v>
      </c>
      <c r="G39" s="405" t="s">
        <v>805</v>
      </c>
      <c r="H39" s="407" t="s">
        <v>233</v>
      </c>
      <c r="I39" s="404" t="s">
        <v>1444</v>
      </c>
      <c r="J39" s="406">
        <v>1</v>
      </c>
      <c r="K39" s="408">
        <v>30</v>
      </c>
      <c r="L39" s="415">
        <v>20</v>
      </c>
      <c r="M39" s="93" t="s">
        <v>4</v>
      </c>
      <c r="N39" s="407" t="s">
        <v>806</v>
      </c>
      <c r="O39" s="407" t="s">
        <v>1445</v>
      </c>
      <c r="P39" s="416"/>
      <c r="Q39" s="417"/>
      <c r="R39" s="418"/>
      <c r="S39" s="419"/>
    </row>
    <row r="40" spans="1:19" s="11" customFormat="1" ht="21.1" customHeight="1" x14ac:dyDescent="0.25">
      <c r="A40" s="420"/>
      <c r="B40" s="1574" t="s">
        <v>574</v>
      </c>
      <c r="C40" s="1546" t="s">
        <v>575</v>
      </c>
      <c r="D40" s="1521">
        <v>10960086</v>
      </c>
      <c r="E40" s="1569" t="s">
        <v>573</v>
      </c>
      <c r="F40" s="1323">
        <v>43592</v>
      </c>
      <c r="G40" s="1323">
        <v>43615</v>
      </c>
      <c r="H40" s="1569" t="s">
        <v>1016</v>
      </c>
      <c r="I40" s="385">
        <v>20</v>
      </c>
      <c r="J40" s="386" t="s">
        <v>4</v>
      </c>
      <c r="K40" s="1349">
        <v>3014290683</v>
      </c>
      <c r="L40" s="1349" t="s">
        <v>576</v>
      </c>
      <c r="M40" s="1349" t="s">
        <v>6</v>
      </c>
      <c r="N40" s="1527" t="s">
        <v>1916</v>
      </c>
      <c r="O40" s="1528"/>
    </row>
    <row r="41" spans="1:19" s="11" customFormat="1" ht="21.1" customHeight="1" x14ac:dyDescent="0.25">
      <c r="A41" s="420"/>
      <c r="B41" s="1575"/>
      <c r="C41" s="1548"/>
      <c r="D41" s="1522"/>
      <c r="E41" s="1570"/>
      <c r="F41" s="1325"/>
      <c r="G41" s="1325"/>
      <c r="H41" s="1570"/>
      <c r="I41" s="385">
        <v>20</v>
      </c>
      <c r="J41" s="386" t="s">
        <v>5</v>
      </c>
      <c r="K41" s="1351"/>
      <c r="L41" s="1351"/>
      <c r="M41" s="1351"/>
      <c r="N41" s="1531"/>
      <c r="O41" s="1532"/>
    </row>
    <row r="42" spans="1:19" s="11" customFormat="1" ht="20.05" customHeight="1" x14ac:dyDescent="0.25">
      <c r="A42" s="243"/>
      <c r="B42" s="1543" t="s">
        <v>59</v>
      </c>
      <c r="C42" s="1546" t="s">
        <v>60</v>
      </c>
      <c r="D42" s="1521">
        <v>26045071</v>
      </c>
      <c r="E42" s="1349" t="s">
        <v>493</v>
      </c>
      <c r="F42" s="359"/>
      <c r="G42" s="359"/>
      <c r="H42" s="358"/>
      <c r="I42" s="355"/>
      <c r="J42" s="355"/>
      <c r="K42" s="1349">
        <v>3013563598</v>
      </c>
      <c r="L42" s="1349" t="s">
        <v>232</v>
      </c>
      <c r="M42" s="358" t="s">
        <v>129</v>
      </c>
      <c r="N42" s="1535" t="s">
        <v>1848</v>
      </c>
      <c r="O42" s="1536"/>
    </row>
    <row r="43" spans="1:19" s="11" customFormat="1" ht="20.25" customHeight="1" x14ac:dyDescent="0.25">
      <c r="A43" s="243"/>
      <c r="B43" s="1545"/>
      <c r="C43" s="1548"/>
      <c r="D43" s="1522"/>
      <c r="E43" s="1351"/>
      <c r="F43" s="359"/>
      <c r="G43" s="359"/>
      <c r="H43" s="358"/>
      <c r="I43" s="355"/>
      <c r="J43" s="355"/>
      <c r="K43" s="1351"/>
      <c r="L43" s="1351"/>
      <c r="M43" s="357" t="s">
        <v>46</v>
      </c>
      <c r="N43" s="1578"/>
      <c r="O43" s="1579"/>
    </row>
    <row r="44" spans="1:19" s="11" customFormat="1" ht="20.05" customHeight="1" x14ac:dyDescent="0.25">
      <c r="A44" s="243"/>
      <c r="B44" s="1543" t="s">
        <v>49</v>
      </c>
      <c r="C44" s="1546" t="s">
        <v>50</v>
      </c>
      <c r="D44" s="1521">
        <v>1556973</v>
      </c>
      <c r="E44" s="1349" t="s">
        <v>503</v>
      </c>
      <c r="F44" s="389">
        <v>43592</v>
      </c>
      <c r="G44" s="389">
        <v>43615</v>
      </c>
      <c r="H44" s="390" t="s">
        <v>33</v>
      </c>
      <c r="I44" s="390">
        <v>12</v>
      </c>
      <c r="J44" s="390" t="s">
        <v>4</v>
      </c>
      <c r="K44" s="388">
        <v>3012274296</v>
      </c>
      <c r="L44" s="387" t="s">
        <v>271</v>
      </c>
      <c r="M44" s="387" t="s">
        <v>46</v>
      </c>
      <c r="N44" s="1535" t="s">
        <v>1917</v>
      </c>
      <c r="O44" s="1536"/>
    </row>
    <row r="45" spans="1:19" s="11" customFormat="1" ht="20.05" customHeight="1" x14ac:dyDescent="0.25">
      <c r="A45" s="243"/>
      <c r="B45" s="1545"/>
      <c r="C45" s="1548"/>
      <c r="D45" s="1522"/>
      <c r="E45" s="1351"/>
      <c r="F45" s="389">
        <v>43594</v>
      </c>
      <c r="G45" s="389">
        <v>43615</v>
      </c>
      <c r="H45" s="388" t="s">
        <v>686</v>
      </c>
      <c r="I45" s="388">
        <v>12</v>
      </c>
      <c r="J45" s="388" t="s">
        <v>215</v>
      </c>
      <c r="K45" s="388">
        <v>3012274296</v>
      </c>
      <c r="L45" s="388" t="s">
        <v>237</v>
      </c>
      <c r="M45" s="388" t="s">
        <v>129</v>
      </c>
      <c r="N45" s="1578"/>
      <c r="O45" s="1579"/>
    </row>
    <row r="46" spans="1:19" s="3" customFormat="1" ht="27.85" customHeight="1" x14ac:dyDescent="0.25">
      <c r="A46" s="320"/>
      <c r="B46" s="371" t="s">
        <v>1819</v>
      </c>
      <c r="C46" s="371" t="s">
        <v>1820</v>
      </c>
      <c r="D46" s="364">
        <v>25751403</v>
      </c>
      <c r="E46" s="366" t="s">
        <v>481</v>
      </c>
      <c r="F46" s="365">
        <v>43587</v>
      </c>
      <c r="G46" s="365">
        <v>43615</v>
      </c>
      <c r="H46" s="372" t="s">
        <v>33</v>
      </c>
      <c r="I46" s="367">
        <v>12</v>
      </c>
      <c r="J46" s="367" t="s">
        <v>4</v>
      </c>
      <c r="K46" s="372">
        <v>3014887095</v>
      </c>
      <c r="L46" s="366" t="s">
        <v>1821</v>
      </c>
      <c r="M46" s="1221" t="s">
        <v>1867</v>
      </c>
      <c r="N46" s="1222"/>
    </row>
    <row r="47" spans="1:19" s="3" customFormat="1" ht="20.05" customHeight="1" x14ac:dyDescent="0.25">
      <c r="A47" s="320"/>
      <c r="B47" s="379" t="s">
        <v>1005</v>
      </c>
      <c r="C47" s="379" t="s">
        <v>1006</v>
      </c>
      <c r="D47" s="374">
        <v>25753951</v>
      </c>
      <c r="E47" s="375" t="s">
        <v>1007</v>
      </c>
      <c r="F47" s="93">
        <v>43593</v>
      </c>
      <c r="G47" s="93">
        <v>43615</v>
      </c>
      <c r="H47" s="378" t="s">
        <v>33</v>
      </c>
      <c r="I47" s="376">
        <v>12</v>
      </c>
      <c r="J47" s="376" t="s">
        <v>4</v>
      </c>
      <c r="K47" s="377" t="s">
        <v>1039</v>
      </c>
      <c r="L47" s="376" t="s">
        <v>1038</v>
      </c>
      <c r="M47" s="1221" t="s">
        <v>1880</v>
      </c>
      <c r="N47" s="1222"/>
    </row>
    <row r="48" spans="1:19" s="118" customFormat="1" ht="20.05" customHeight="1" x14ac:dyDescent="0.25">
      <c r="A48" s="320"/>
      <c r="B48" s="1514" t="s">
        <v>991</v>
      </c>
      <c r="C48" s="1514" t="s">
        <v>992</v>
      </c>
      <c r="D48" s="1521">
        <v>6875828</v>
      </c>
      <c r="E48" s="1349" t="s">
        <v>993</v>
      </c>
      <c r="F48" s="432">
        <v>43594</v>
      </c>
      <c r="G48" s="432">
        <v>43615</v>
      </c>
      <c r="H48" s="427" t="s">
        <v>686</v>
      </c>
      <c r="I48" s="428">
        <v>8</v>
      </c>
      <c r="J48" s="428" t="s">
        <v>4</v>
      </c>
      <c r="K48" s="1517">
        <v>3233199027</v>
      </c>
      <c r="L48" s="1349" t="s">
        <v>994</v>
      </c>
      <c r="M48" s="1527" t="s">
        <v>1946</v>
      </c>
      <c r="N48" s="1528"/>
    </row>
    <row r="49" spans="1:16" s="118" customFormat="1" ht="20.05" customHeight="1" x14ac:dyDescent="0.25">
      <c r="A49" s="320"/>
      <c r="B49" s="1516"/>
      <c r="C49" s="1516"/>
      <c r="D49" s="1522"/>
      <c r="E49" s="1351"/>
      <c r="F49" s="93">
        <v>43592</v>
      </c>
      <c r="G49" s="93">
        <v>43615</v>
      </c>
      <c r="H49" s="429" t="s">
        <v>33</v>
      </c>
      <c r="I49" s="428">
        <v>12</v>
      </c>
      <c r="J49" s="428" t="s">
        <v>4</v>
      </c>
      <c r="K49" s="1518"/>
      <c r="L49" s="1351"/>
      <c r="M49" s="1531"/>
      <c r="N49" s="1532"/>
    </row>
    <row r="50" spans="1:16" s="2" customFormat="1" ht="38.75" customHeight="1" x14ac:dyDescent="0.25">
      <c r="A50" s="320"/>
      <c r="B50" s="501" t="s">
        <v>470</v>
      </c>
      <c r="C50" s="501" t="s">
        <v>471</v>
      </c>
      <c r="D50" s="499">
        <v>1067943851</v>
      </c>
      <c r="E50" s="498"/>
      <c r="F50" s="497"/>
      <c r="G50" s="497"/>
      <c r="H50" s="496"/>
      <c r="I50" s="500"/>
      <c r="J50" s="500"/>
      <c r="K50" s="502">
        <v>3116479465</v>
      </c>
      <c r="L50" s="498"/>
      <c r="M50" s="1576" t="s">
        <v>2070</v>
      </c>
      <c r="N50" s="1577"/>
    </row>
    <row r="51" spans="1:16" s="3" customFormat="1" ht="20.05" customHeight="1" x14ac:dyDescent="0.25">
      <c r="A51" s="320"/>
      <c r="B51" s="1162" t="s">
        <v>143</v>
      </c>
      <c r="C51" s="1162" t="s">
        <v>98</v>
      </c>
      <c r="D51" s="1521">
        <v>25762427</v>
      </c>
      <c r="E51" s="1138" t="s">
        <v>486</v>
      </c>
      <c r="F51" s="1494">
        <v>43565</v>
      </c>
      <c r="G51" s="1494">
        <v>43589</v>
      </c>
      <c r="H51" s="1517" t="s">
        <v>65</v>
      </c>
      <c r="I51" s="509">
        <v>24</v>
      </c>
      <c r="J51" s="509" t="s">
        <v>4</v>
      </c>
      <c r="K51" s="1517" t="s">
        <v>479</v>
      </c>
      <c r="L51" s="1349" t="s">
        <v>698</v>
      </c>
      <c r="M51" s="1552" t="s">
        <v>2084</v>
      </c>
      <c r="N51" s="1553"/>
    </row>
    <row r="52" spans="1:16" s="3" customFormat="1" ht="20.05" customHeight="1" thickBot="1" x14ac:dyDescent="0.3">
      <c r="A52" s="320"/>
      <c r="B52" s="1162"/>
      <c r="C52" s="1162"/>
      <c r="D52" s="1522"/>
      <c r="E52" s="1138"/>
      <c r="F52" s="1496"/>
      <c r="G52" s="1496"/>
      <c r="H52" s="1518"/>
      <c r="I52" s="509">
        <v>24</v>
      </c>
      <c r="J52" s="509" t="s">
        <v>5</v>
      </c>
      <c r="K52" s="1551"/>
      <c r="L52" s="1350"/>
      <c r="M52" s="1554"/>
      <c r="N52" s="1555"/>
    </row>
    <row r="53" spans="1:16" s="210" customFormat="1" ht="41.45" customHeight="1" thickBot="1" x14ac:dyDescent="0.3">
      <c r="A53" s="511"/>
      <c r="B53" s="486" t="s">
        <v>793</v>
      </c>
      <c r="C53" s="487" t="s">
        <v>794</v>
      </c>
      <c r="D53" s="488">
        <v>23103230</v>
      </c>
      <c r="E53" s="489" t="s">
        <v>764</v>
      </c>
      <c r="F53" s="281">
        <v>43592</v>
      </c>
      <c r="G53" s="281">
        <v>43615</v>
      </c>
      <c r="H53" s="282" t="s">
        <v>33</v>
      </c>
      <c r="I53" s="282">
        <v>12</v>
      </c>
      <c r="J53" s="282" t="s">
        <v>5</v>
      </c>
      <c r="K53" s="489" t="s">
        <v>796</v>
      </c>
      <c r="L53" s="489" t="s">
        <v>795</v>
      </c>
      <c r="M53" s="489" t="s">
        <v>16</v>
      </c>
      <c r="N53" s="1535" t="s">
        <v>2058</v>
      </c>
      <c r="O53" s="1536"/>
    </row>
    <row r="54" spans="1:16" s="1" customFormat="1" ht="36.700000000000003" customHeight="1" x14ac:dyDescent="0.25">
      <c r="A54" s="522">
        <v>82</v>
      </c>
      <c r="B54" s="525" t="s">
        <v>1655</v>
      </c>
      <c r="C54" s="525" t="s">
        <v>1656</v>
      </c>
      <c r="D54" s="525" t="s">
        <v>348</v>
      </c>
      <c r="E54" s="529">
        <v>2758461</v>
      </c>
      <c r="F54" s="532" t="s">
        <v>906</v>
      </c>
      <c r="G54" s="525"/>
      <c r="H54" s="532" t="s">
        <v>22</v>
      </c>
      <c r="I54" s="527" t="s">
        <v>1657</v>
      </c>
      <c r="J54" s="528">
        <v>1</v>
      </c>
      <c r="K54" s="528">
        <v>30</v>
      </c>
      <c r="L54" s="532">
        <v>30</v>
      </c>
      <c r="M54" s="532" t="s">
        <v>4</v>
      </c>
      <c r="N54" s="532" t="s">
        <v>23</v>
      </c>
      <c r="O54" s="532" t="s">
        <v>1952</v>
      </c>
      <c r="P54" s="526" t="s">
        <v>2096</v>
      </c>
    </row>
    <row r="55" spans="1:16" s="1" customFormat="1" ht="30.1" customHeight="1" x14ac:dyDescent="0.25">
      <c r="A55" s="530">
        <v>58</v>
      </c>
      <c r="B55" s="532" t="s">
        <v>1435</v>
      </c>
      <c r="C55" s="532" t="s">
        <v>1436</v>
      </c>
      <c r="D55" s="532" t="s">
        <v>348</v>
      </c>
      <c r="E55" s="533">
        <v>25765303</v>
      </c>
      <c r="F55" s="532" t="s">
        <v>362</v>
      </c>
      <c r="G55" s="532" t="s">
        <v>481</v>
      </c>
      <c r="H55" s="532" t="s">
        <v>14</v>
      </c>
      <c r="I55" s="189" t="s">
        <v>1440</v>
      </c>
      <c r="J55" s="531">
        <v>5</v>
      </c>
      <c r="K55" s="531">
        <v>4</v>
      </c>
      <c r="L55" s="532">
        <v>20</v>
      </c>
      <c r="M55" s="532" t="s">
        <v>4</v>
      </c>
      <c r="N55" s="532" t="s">
        <v>390</v>
      </c>
      <c r="O55" s="532" t="s">
        <v>2068</v>
      </c>
      <c r="P55" s="534" t="s">
        <v>2097</v>
      </c>
    </row>
    <row r="56" spans="1:16" s="3" customFormat="1" ht="20.05" customHeight="1" x14ac:dyDescent="0.25">
      <c r="A56" s="559"/>
      <c r="B56" s="1514" t="s">
        <v>1159</v>
      </c>
      <c r="C56" s="1514" t="s">
        <v>1160</v>
      </c>
      <c r="D56" s="1521">
        <v>2778651</v>
      </c>
      <c r="E56" s="1349" t="s">
        <v>486</v>
      </c>
      <c r="F56" s="1494"/>
      <c r="G56" s="1494"/>
      <c r="H56" s="1517"/>
      <c r="I56" s="548"/>
      <c r="J56" s="548"/>
      <c r="K56" s="1517" t="s">
        <v>1161</v>
      </c>
      <c r="L56" s="1349" t="s">
        <v>1162</v>
      </c>
      <c r="M56" s="1355" t="s">
        <v>2106</v>
      </c>
      <c r="N56" s="1519"/>
    </row>
    <row r="57" spans="1:16" s="3" customFormat="1" ht="20.05" customHeight="1" x14ac:dyDescent="0.25">
      <c r="A57" s="559"/>
      <c r="B57" s="1516"/>
      <c r="C57" s="1516"/>
      <c r="D57" s="1522"/>
      <c r="E57" s="1351"/>
      <c r="F57" s="1496"/>
      <c r="G57" s="1496"/>
      <c r="H57" s="1518"/>
      <c r="I57" s="548"/>
      <c r="J57" s="548"/>
      <c r="K57" s="1518"/>
      <c r="L57" s="1351"/>
      <c r="M57" s="1357"/>
      <c r="N57" s="1520"/>
    </row>
    <row r="58" spans="1:16" s="11" customFormat="1" ht="20.05" customHeight="1" x14ac:dyDescent="0.25">
      <c r="A58" s="243"/>
      <c r="B58" s="1543" t="s">
        <v>715</v>
      </c>
      <c r="C58" s="1546" t="s">
        <v>716</v>
      </c>
      <c r="D58" s="1521" t="s">
        <v>1182</v>
      </c>
      <c r="E58" s="1349" t="s">
        <v>717</v>
      </c>
      <c r="F58" s="1323">
        <v>43591</v>
      </c>
      <c r="G58" s="1323">
        <v>43615</v>
      </c>
      <c r="H58" s="1349" t="s">
        <v>65</v>
      </c>
      <c r="I58" s="548">
        <v>20</v>
      </c>
      <c r="J58" s="548" t="s">
        <v>4</v>
      </c>
      <c r="K58" s="1349">
        <v>3224911438</v>
      </c>
      <c r="L58" s="1349" t="s">
        <v>718</v>
      </c>
      <c r="M58" s="548" t="s">
        <v>46</v>
      </c>
      <c r="N58" s="1355" t="s">
        <v>2108</v>
      </c>
      <c r="O58" s="1519"/>
    </row>
    <row r="59" spans="1:16" s="11" customFormat="1" ht="20.05" customHeight="1" x14ac:dyDescent="0.25">
      <c r="A59" s="243"/>
      <c r="B59" s="1544"/>
      <c r="C59" s="1547"/>
      <c r="D59" s="1550"/>
      <c r="E59" s="1350"/>
      <c r="F59" s="1324"/>
      <c r="G59" s="1324"/>
      <c r="H59" s="1350"/>
      <c r="I59" s="548">
        <v>20</v>
      </c>
      <c r="J59" s="548" t="s">
        <v>215</v>
      </c>
      <c r="K59" s="1350"/>
      <c r="L59" s="1350"/>
      <c r="M59" s="549" t="s">
        <v>129</v>
      </c>
      <c r="N59" s="1356"/>
      <c r="O59" s="1549"/>
    </row>
    <row r="60" spans="1:16" s="11" customFormat="1" ht="20.05" customHeight="1" thickBot="1" x14ac:dyDescent="0.3">
      <c r="A60" s="243"/>
      <c r="B60" s="1545"/>
      <c r="C60" s="1548"/>
      <c r="D60" s="1522"/>
      <c r="E60" s="1351"/>
      <c r="F60" s="1325"/>
      <c r="G60" s="1325"/>
      <c r="H60" s="1351"/>
      <c r="I60" s="548">
        <v>20</v>
      </c>
      <c r="J60" s="548" t="s">
        <v>8</v>
      </c>
      <c r="K60" s="1351"/>
      <c r="L60" s="1351"/>
      <c r="M60" s="548" t="s">
        <v>68</v>
      </c>
      <c r="N60" s="1357"/>
      <c r="O60" s="1520"/>
    </row>
    <row r="61" spans="1:16" s="210" customFormat="1" ht="30.1" customHeight="1" thickBot="1" x14ac:dyDescent="0.3">
      <c r="A61" s="562"/>
      <c r="B61" s="557" t="s">
        <v>2035</v>
      </c>
      <c r="C61" s="560" t="s">
        <v>2036</v>
      </c>
      <c r="D61" s="561">
        <v>6589483</v>
      </c>
      <c r="E61" s="554" t="s">
        <v>480</v>
      </c>
      <c r="F61" s="556">
        <v>43606</v>
      </c>
      <c r="G61" s="556">
        <v>43615</v>
      </c>
      <c r="H61" s="553" t="s">
        <v>33</v>
      </c>
      <c r="I61" s="553">
        <v>12</v>
      </c>
      <c r="J61" s="553" t="s">
        <v>4</v>
      </c>
      <c r="K61" s="553" t="s">
        <v>2037</v>
      </c>
      <c r="L61" s="555" t="s">
        <v>2038</v>
      </c>
      <c r="M61" s="558" t="s">
        <v>18</v>
      </c>
      <c r="N61" s="1146" t="s">
        <v>2114</v>
      </c>
      <c r="O61" s="1147"/>
    </row>
    <row r="62" spans="1:16" s="576" customFormat="1" ht="25.85" customHeight="1" x14ac:dyDescent="0.25">
      <c r="B62" s="576" t="s">
        <v>2133</v>
      </c>
      <c r="C62" s="576" t="s">
        <v>2134</v>
      </c>
      <c r="N62" s="576" t="s">
        <v>2135</v>
      </c>
    </row>
    <row r="63" spans="1:16" s="3" customFormat="1" ht="31.95" customHeight="1" x14ac:dyDescent="0.25">
      <c r="A63" s="320"/>
      <c r="B63" s="467" t="s">
        <v>1996</v>
      </c>
      <c r="C63" s="467" t="s">
        <v>1997</v>
      </c>
      <c r="D63" s="464">
        <v>25838302</v>
      </c>
      <c r="E63" s="468" t="s">
        <v>1998</v>
      </c>
      <c r="F63" s="462">
        <v>43602</v>
      </c>
      <c r="G63" s="462">
        <v>43615</v>
      </c>
      <c r="H63" s="466" t="s">
        <v>33</v>
      </c>
      <c r="I63" s="463">
        <v>12</v>
      </c>
      <c r="J63" s="463" t="s">
        <v>4</v>
      </c>
      <c r="K63" s="468" t="s">
        <v>2000</v>
      </c>
      <c r="L63" s="465" t="s">
        <v>1999</v>
      </c>
      <c r="M63" s="469"/>
      <c r="N63" s="41"/>
    </row>
    <row r="64" spans="1:16" ht="42.8" x14ac:dyDescent="0.25">
      <c r="B64" s="186" t="s">
        <v>175</v>
      </c>
      <c r="C64" s="186" t="s">
        <v>176</v>
      </c>
      <c r="D64" s="140">
        <v>25760004</v>
      </c>
      <c r="E64" s="595" t="s">
        <v>493</v>
      </c>
      <c r="F64" s="93">
        <v>43621</v>
      </c>
      <c r="G64" s="93">
        <v>43646</v>
      </c>
      <c r="H64" s="596" t="s">
        <v>33</v>
      </c>
      <c r="I64" s="595">
        <v>12</v>
      </c>
      <c r="J64" s="595" t="s">
        <v>4</v>
      </c>
      <c r="K64" s="597">
        <v>3145979513</v>
      </c>
      <c r="L64" s="595" t="s">
        <v>303</v>
      </c>
    </row>
    <row r="65" spans="1:18" ht="28.55" x14ac:dyDescent="0.25">
      <c r="B65" s="1539">
        <v>31</v>
      </c>
      <c r="C65" s="1540" t="s">
        <v>908</v>
      </c>
      <c r="D65" s="1540" t="s">
        <v>909</v>
      </c>
      <c r="E65" s="1138" t="s">
        <v>348</v>
      </c>
      <c r="F65" s="1537">
        <v>50868322</v>
      </c>
      <c r="G65" s="596" t="s">
        <v>906</v>
      </c>
      <c r="H65" s="1540" t="s">
        <v>910</v>
      </c>
      <c r="I65" s="596" t="s">
        <v>20</v>
      </c>
      <c r="J65" s="1541" t="s">
        <v>911</v>
      </c>
      <c r="K65" s="1542">
        <v>1</v>
      </c>
      <c r="L65" s="1542">
        <v>30</v>
      </c>
      <c r="M65" s="596">
        <v>60</v>
      </c>
      <c r="N65" s="596" t="s">
        <v>5</v>
      </c>
      <c r="O65" s="596" t="s">
        <v>6</v>
      </c>
    </row>
    <row r="66" spans="1:18" ht="28.55" x14ac:dyDescent="0.25">
      <c r="B66" s="1539"/>
      <c r="C66" s="1540"/>
      <c r="D66" s="1540"/>
      <c r="E66" s="1138"/>
      <c r="F66" s="1537"/>
      <c r="G66" s="596" t="s">
        <v>906</v>
      </c>
      <c r="H66" s="1540"/>
      <c r="I66" s="596" t="s">
        <v>20</v>
      </c>
      <c r="J66" s="1541"/>
      <c r="K66" s="1542"/>
      <c r="L66" s="1542"/>
      <c r="M66" s="595">
        <v>30</v>
      </c>
      <c r="N66" s="595" t="s">
        <v>4</v>
      </c>
      <c r="O66" s="596" t="s">
        <v>6</v>
      </c>
    </row>
    <row r="67" spans="1:18" s="360" customFormat="1" ht="30.1" customHeight="1" x14ac:dyDescent="0.25">
      <c r="A67" s="1346"/>
      <c r="B67" s="1514" t="s">
        <v>354</v>
      </c>
      <c r="C67" s="1514" t="s">
        <v>987</v>
      </c>
      <c r="D67" s="1138" t="s">
        <v>348</v>
      </c>
      <c r="E67" s="1537">
        <v>78700096</v>
      </c>
      <c r="F67" s="655" t="s">
        <v>906</v>
      </c>
      <c r="G67" s="1138" t="s">
        <v>507</v>
      </c>
      <c r="H67" s="1138" t="s">
        <v>988</v>
      </c>
      <c r="I67" s="1138">
        <v>3045902653</v>
      </c>
      <c r="J67" s="1538">
        <v>43524</v>
      </c>
      <c r="K67" s="1538">
        <v>43525</v>
      </c>
      <c r="L67" s="1538">
        <v>43708</v>
      </c>
      <c r="M67" s="655">
        <v>20</v>
      </c>
      <c r="N67" s="655" t="s">
        <v>4</v>
      </c>
      <c r="O67" s="655">
        <v>120</v>
      </c>
      <c r="P67" s="1349" t="s">
        <v>2317</v>
      </c>
      <c r="Q67" s="1138" t="s">
        <v>990</v>
      </c>
      <c r="R67" s="1349"/>
    </row>
    <row r="68" spans="1:18" s="360" customFormat="1" ht="30.1" customHeight="1" x14ac:dyDescent="0.25">
      <c r="A68" s="1347"/>
      <c r="B68" s="1515"/>
      <c r="C68" s="1515"/>
      <c r="D68" s="1138"/>
      <c r="E68" s="1537"/>
      <c r="F68" s="655" t="s">
        <v>906</v>
      </c>
      <c r="G68" s="1138"/>
      <c r="H68" s="1138"/>
      <c r="I68" s="1138"/>
      <c r="J68" s="1538"/>
      <c r="K68" s="1538"/>
      <c r="L68" s="1538"/>
      <c r="M68" s="655">
        <v>20</v>
      </c>
      <c r="N68" s="655" t="s">
        <v>8</v>
      </c>
      <c r="O68" s="655">
        <v>120</v>
      </c>
      <c r="P68" s="1350"/>
      <c r="Q68" s="1138"/>
      <c r="R68" s="1350"/>
    </row>
    <row r="69" spans="1:18" s="360" customFormat="1" ht="30.1" customHeight="1" x14ac:dyDescent="0.25">
      <c r="A69" s="1348"/>
      <c r="B69" s="1516"/>
      <c r="C69" s="1516"/>
      <c r="D69" s="1138"/>
      <c r="E69" s="1537"/>
      <c r="F69" s="655" t="s">
        <v>906</v>
      </c>
      <c r="G69" s="1138"/>
      <c r="H69" s="1138"/>
      <c r="I69" s="1138"/>
      <c r="J69" s="1538"/>
      <c r="K69" s="1538"/>
      <c r="L69" s="1538"/>
      <c r="M69" s="655">
        <v>20</v>
      </c>
      <c r="N69" s="655" t="s">
        <v>215</v>
      </c>
      <c r="O69" s="655">
        <v>120</v>
      </c>
      <c r="P69" s="1351"/>
      <c r="Q69" s="1138"/>
      <c r="R69" s="1351"/>
    </row>
    <row r="70" spans="1:18" s="210" customFormat="1" ht="28.55" customHeight="1" thickBot="1" x14ac:dyDescent="0.3">
      <c r="A70" s="667"/>
      <c r="B70" s="641" t="s">
        <v>2115</v>
      </c>
      <c r="C70" s="648" t="s">
        <v>2116</v>
      </c>
      <c r="D70" s="649">
        <v>1063149928</v>
      </c>
      <c r="E70" s="634" t="s">
        <v>530</v>
      </c>
      <c r="F70" s="640" t="s">
        <v>2119</v>
      </c>
      <c r="G70" s="640">
        <v>43646</v>
      </c>
      <c r="H70" s="632" t="s">
        <v>686</v>
      </c>
      <c r="I70" s="631">
        <v>18</v>
      </c>
      <c r="J70" s="631" t="s">
        <v>4</v>
      </c>
      <c r="K70" s="639" t="s">
        <v>2117</v>
      </c>
      <c r="L70" s="639" t="s">
        <v>2118</v>
      </c>
      <c r="M70" s="633" t="s">
        <v>335</v>
      </c>
      <c r="N70" s="1582" t="s">
        <v>2293</v>
      </c>
      <c r="O70" s="1583"/>
    </row>
    <row r="71" spans="1:18" s="210" customFormat="1" ht="20.05" customHeight="1" thickBot="1" x14ac:dyDescent="0.3">
      <c r="A71" s="666"/>
      <c r="B71" s="125" t="s">
        <v>745</v>
      </c>
      <c r="C71" s="126" t="s">
        <v>746</v>
      </c>
      <c r="D71" s="209">
        <v>25949310</v>
      </c>
      <c r="E71" s="189" t="s">
        <v>499</v>
      </c>
      <c r="F71" s="573">
        <v>43593</v>
      </c>
      <c r="G71" s="573">
        <v>43615</v>
      </c>
      <c r="H71" s="572" t="s">
        <v>33</v>
      </c>
      <c r="I71" s="572">
        <v>12</v>
      </c>
      <c r="J71" s="572" t="s">
        <v>4</v>
      </c>
      <c r="K71" s="189" t="s">
        <v>799</v>
      </c>
      <c r="L71" s="581" t="s">
        <v>747</v>
      </c>
      <c r="M71" s="574" t="s">
        <v>540</v>
      </c>
      <c r="N71" s="1146" t="s">
        <v>2165</v>
      </c>
      <c r="O71" s="1147"/>
    </row>
    <row r="72" spans="1:18" s="210" customFormat="1" ht="20.05" customHeight="1" x14ac:dyDescent="0.25">
      <c r="A72" s="667"/>
      <c r="B72" s="654" t="s">
        <v>1822</v>
      </c>
      <c r="C72" s="654" t="s">
        <v>1823</v>
      </c>
      <c r="D72" s="650">
        <v>35045075</v>
      </c>
      <c r="E72" s="658" t="s">
        <v>1795</v>
      </c>
      <c r="F72" s="656">
        <v>43623</v>
      </c>
      <c r="G72" s="656">
        <v>43646</v>
      </c>
      <c r="H72" s="652" t="s">
        <v>33</v>
      </c>
      <c r="I72" s="651">
        <v>12</v>
      </c>
      <c r="J72" s="655" t="s">
        <v>4</v>
      </c>
      <c r="K72" s="653">
        <v>3126084381</v>
      </c>
      <c r="L72" s="658" t="s">
        <v>1824</v>
      </c>
      <c r="M72" s="657" t="s">
        <v>540</v>
      </c>
      <c r="N72" s="1584" t="s">
        <v>2325</v>
      </c>
      <c r="O72" s="1585"/>
    </row>
    <row r="73" spans="1:18" s="628" customFormat="1" ht="20.05" customHeight="1" x14ac:dyDescent="0.25">
      <c r="A73" s="559"/>
      <c r="B73" s="1514" t="s">
        <v>160</v>
      </c>
      <c r="C73" s="1514" t="s">
        <v>161</v>
      </c>
      <c r="D73" s="1521">
        <v>6871004</v>
      </c>
      <c r="E73" s="1349" t="s">
        <v>489</v>
      </c>
      <c r="F73" s="626">
        <v>43621</v>
      </c>
      <c r="G73" s="626">
        <v>43646</v>
      </c>
      <c r="H73" s="627" t="s">
        <v>33</v>
      </c>
      <c r="I73" s="623">
        <v>12</v>
      </c>
      <c r="J73" s="623" t="s">
        <v>4</v>
      </c>
      <c r="K73" s="646" t="s">
        <v>2301</v>
      </c>
      <c r="L73" s="1517" t="s">
        <v>319</v>
      </c>
      <c r="M73" s="1349" t="s">
        <v>320</v>
      </c>
      <c r="N73" s="1527" t="s">
        <v>2284</v>
      </c>
      <c r="O73" s="1528"/>
    </row>
    <row r="74" spans="1:18" s="628" customFormat="1" ht="20.05" customHeight="1" x14ac:dyDescent="0.25">
      <c r="A74" s="559"/>
      <c r="B74" s="1515"/>
      <c r="C74" s="1515"/>
      <c r="D74" s="1550"/>
      <c r="E74" s="1350"/>
      <c r="F74" s="1198">
        <v>43621</v>
      </c>
      <c r="G74" s="1494">
        <v>43646</v>
      </c>
      <c r="H74" s="1517" t="s">
        <v>686</v>
      </c>
      <c r="I74" s="623">
        <v>20</v>
      </c>
      <c r="J74" s="623" t="s">
        <v>5</v>
      </c>
      <c r="K74" s="646" t="s">
        <v>2301</v>
      </c>
      <c r="L74" s="1551"/>
      <c r="M74" s="1350"/>
      <c r="N74" s="1529"/>
      <c r="O74" s="1530"/>
    </row>
    <row r="75" spans="1:18" s="628" customFormat="1" ht="20.05" customHeight="1" x14ac:dyDescent="0.25">
      <c r="A75" s="559"/>
      <c r="B75" s="1515"/>
      <c r="C75" s="1515"/>
      <c r="D75" s="1550"/>
      <c r="E75" s="1350"/>
      <c r="F75" s="1198"/>
      <c r="G75" s="1495"/>
      <c r="H75" s="1551"/>
      <c r="I75" s="623">
        <v>8</v>
      </c>
      <c r="J75" s="623" t="s">
        <v>4</v>
      </c>
      <c r="K75" s="646" t="s">
        <v>2301</v>
      </c>
      <c r="L75" s="1551"/>
      <c r="M75" s="1350"/>
      <c r="N75" s="1529"/>
      <c r="O75" s="1530"/>
    </row>
    <row r="76" spans="1:18" s="628" customFormat="1" ht="20.05" customHeight="1" thickBot="1" x14ac:dyDescent="0.3">
      <c r="A76" s="559"/>
      <c r="B76" s="1516"/>
      <c r="C76" s="1516"/>
      <c r="D76" s="1522"/>
      <c r="E76" s="1351"/>
      <c r="F76" s="1198"/>
      <c r="G76" s="1496"/>
      <c r="H76" s="1518"/>
      <c r="I76" s="623">
        <v>20</v>
      </c>
      <c r="J76" s="623" t="s">
        <v>215</v>
      </c>
      <c r="K76" s="646"/>
      <c r="L76" s="1518"/>
      <c r="M76" s="1351"/>
      <c r="N76" s="1531"/>
      <c r="O76" s="1532"/>
    </row>
    <row r="77" spans="1:18" s="11" customFormat="1" ht="19.55" customHeight="1" thickBot="1" x14ac:dyDescent="0.3">
      <c r="A77" s="707"/>
      <c r="B77" s="1533" t="s">
        <v>2088</v>
      </c>
      <c r="C77" s="1349" t="s">
        <v>2089</v>
      </c>
      <c r="D77" s="1521">
        <v>26177221</v>
      </c>
      <c r="E77" s="1349" t="s">
        <v>486</v>
      </c>
      <c r="F77" s="695">
        <v>43612</v>
      </c>
      <c r="G77" s="695">
        <v>43643</v>
      </c>
      <c r="H77" s="693" t="s">
        <v>33</v>
      </c>
      <c r="I77" s="693">
        <v>12</v>
      </c>
      <c r="J77" s="691" t="s">
        <v>4</v>
      </c>
      <c r="K77" s="1569" t="s">
        <v>2090</v>
      </c>
      <c r="L77" s="1349" t="s">
        <v>2091</v>
      </c>
      <c r="M77" s="693" t="s">
        <v>1255</v>
      </c>
      <c r="N77" s="1523" t="s">
        <v>2357</v>
      </c>
      <c r="O77" s="1524"/>
    </row>
    <row r="78" spans="1:18" s="11" customFormat="1" ht="19.55" customHeight="1" thickBot="1" x14ac:dyDescent="0.3">
      <c r="A78" s="707"/>
      <c r="B78" s="1534"/>
      <c r="C78" s="1351"/>
      <c r="D78" s="1522"/>
      <c r="E78" s="1351"/>
      <c r="F78" s="694">
        <v>43612</v>
      </c>
      <c r="G78" s="694">
        <v>43643</v>
      </c>
      <c r="H78" s="692" t="s">
        <v>686</v>
      </c>
      <c r="I78" s="691">
        <v>18</v>
      </c>
      <c r="J78" s="691" t="s">
        <v>4</v>
      </c>
      <c r="K78" s="1570"/>
      <c r="L78" s="1351"/>
      <c r="M78" s="693" t="s">
        <v>1255</v>
      </c>
      <c r="N78" s="1525"/>
      <c r="O78" s="1526"/>
    </row>
    <row r="79" spans="1:18" s="11" customFormat="1" ht="20.05" customHeight="1" x14ac:dyDescent="0.25">
      <c r="A79" s="708"/>
      <c r="B79" s="1533" t="s">
        <v>2150</v>
      </c>
      <c r="C79" s="1349" t="s">
        <v>2151</v>
      </c>
      <c r="D79" s="1521">
        <v>2753616</v>
      </c>
      <c r="E79" s="1349" t="s">
        <v>2152</v>
      </c>
      <c r="F79" s="573">
        <v>43621</v>
      </c>
      <c r="G79" s="573">
        <v>43646</v>
      </c>
      <c r="H79" s="572" t="s">
        <v>33</v>
      </c>
      <c r="I79" s="572">
        <v>12</v>
      </c>
      <c r="J79" s="572" t="s">
        <v>4</v>
      </c>
      <c r="K79" s="1349">
        <v>3234908732</v>
      </c>
      <c r="L79" s="1349" t="s">
        <v>2153</v>
      </c>
      <c r="M79" s="575" t="s">
        <v>23</v>
      </c>
      <c r="N79" s="1552" t="s">
        <v>2160</v>
      </c>
      <c r="O79" s="1553"/>
    </row>
    <row r="80" spans="1:18" s="11" customFormat="1" ht="20.05" customHeight="1" x14ac:dyDescent="0.25">
      <c r="A80" s="708"/>
      <c r="B80" s="1534"/>
      <c r="C80" s="1351"/>
      <c r="D80" s="1522"/>
      <c r="E80" s="1351"/>
      <c r="F80" s="573">
        <v>43621</v>
      </c>
      <c r="G80" s="573">
        <v>43646</v>
      </c>
      <c r="H80" s="572" t="s">
        <v>686</v>
      </c>
      <c r="I80" s="572">
        <v>8</v>
      </c>
      <c r="J80" s="572" t="s">
        <v>4</v>
      </c>
      <c r="K80" s="1351"/>
      <c r="L80" s="1351"/>
      <c r="M80" s="575" t="s">
        <v>23</v>
      </c>
      <c r="N80" s="1554"/>
      <c r="O80" s="1555"/>
    </row>
    <row r="81" spans="1:17" s="1" customFormat="1" ht="43.5" customHeight="1" x14ac:dyDescent="0.25">
      <c r="A81" s="274">
        <v>47</v>
      </c>
      <c r="B81" s="490" t="s">
        <v>1267</v>
      </c>
      <c r="C81" s="490" t="s">
        <v>1268</v>
      </c>
      <c r="D81" s="490" t="s">
        <v>348</v>
      </c>
      <c r="E81" s="276">
        <v>1551892</v>
      </c>
      <c r="F81" s="490" t="s">
        <v>362</v>
      </c>
      <c r="G81" s="490" t="s">
        <v>1269</v>
      </c>
      <c r="H81" s="490" t="s">
        <v>14</v>
      </c>
      <c r="I81" s="629" t="s">
        <v>1270</v>
      </c>
      <c r="J81" s="630">
        <v>25</v>
      </c>
      <c r="K81" s="630">
        <v>24</v>
      </c>
      <c r="L81" s="490">
        <v>20</v>
      </c>
      <c r="M81" s="490" t="s">
        <v>4</v>
      </c>
      <c r="N81" s="668" t="s">
        <v>390</v>
      </c>
      <c r="O81" s="490" t="s">
        <v>2278</v>
      </c>
      <c r="P81" s="272" t="s">
        <v>2286</v>
      </c>
      <c r="Q81" s="1" t="s">
        <v>2385</v>
      </c>
    </row>
    <row r="82" spans="1:17" s="11" customFormat="1" ht="20.05" customHeight="1" x14ac:dyDescent="0.25">
      <c r="A82" s="711"/>
      <c r="B82" s="1533" t="s">
        <v>1979</v>
      </c>
      <c r="C82" s="1349" t="s">
        <v>1980</v>
      </c>
      <c r="D82" s="1521">
        <v>26013105</v>
      </c>
      <c r="E82" s="1349" t="s">
        <v>481</v>
      </c>
      <c r="F82" s="647">
        <v>43634</v>
      </c>
      <c r="G82" s="647">
        <v>43663</v>
      </c>
      <c r="H82" s="645" t="s">
        <v>65</v>
      </c>
      <c r="I82" s="645">
        <v>30</v>
      </c>
      <c r="J82" s="645" t="s">
        <v>4</v>
      </c>
      <c r="K82" s="1349">
        <v>3127043527</v>
      </c>
      <c r="L82" s="1349" t="s">
        <v>2255</v>
      </c>
      <c r="M82" s="1349" t="s">
        <v>18</v>
      </c>
      <c r="N82" s="1535" t="s">
        <v>2302</v>
      </c>
      <c r="O82" s="1536"/>
    </row>
    <row r="83" spans="1:17" s="11" customFormat="1" ht="20.05" customHeight="1" x14ac:dyDescent="0.25">
      <c r="A83" s="711"/>
      <c r="B83" s="1534"/>
      <c r="C83" s="1351"/>
      <c r="D83" s="1522"/>
      <c r="E83" s="1351"/>
      <c r="F83" s="647">
        <v>43634</v>
      </c>
      <c r="G83" s="647">
        <v>43663</v>
      </c>
      <c r="H83" s="645" t="s">
        <v>65</v>
      </c>
      <c r="I83" s="645">
        <v>30</v>
      </c>
      <c r="J83" s="645" t="s">
        <v>5</v>
      </c>
      <c r="K83" s="1351"/>
      <c r="L83" s="1351"/>
      <c r="M83" s="1351"/>
      <c r="N83" s="1578"/>
      <c r="O83" s="1579"/>
    </row>
    <row r="84" spans="1:17" s="210" customFormat="1" ht="22.6" customHeight="1" thickBot="1" x14ac:dyDescent="0.3">
      <c r="A84" s="716"/>
      <c r="B84" s="594" t="s">
        <v>1232</v>
      </c>
      <c r="C84" s="594" t="s">
        <v>1233</v>
      </c>
      <c r="D84" s="593">
        <v>34925332</v>
      </c>
      <c r="E84" s="590" t="s">
        <v>499</v>
      </c>
      <c r="F84" s="592"/>
      <c r="G84" s="592"/>
      <c r="H84" s="591" t="s">
        <v>33</v>
      </c>
      <c r="I84" s="591"/>
      <c r="J84" s="591" t="s">
        <v>4</v>
      </c>
      <c r="K84" s="590">
        <v>3002962667</v>
      </c>
      <c r="L84" s="590" t="s">
        <v>1234</v>
      </c>
      <c r="M84" s="590" t="s">
        <v>16</v>
      </c>
      <c r="N84" s="1535"/>
      <c r="O84" s="1536"/>
    </row>
    <row r="85" spans="1:17" s="1" customFormat="1" ht="29.25" customHeight="1" x14ac:dyDescent="0.25">
      <c r="A85" s="1539">
        <v>31</v>
      </c>
      <c r="B85" s="1540" t="s">
        <v>908</v>
      </c>
      <c r="C85" s="1540" t="s">
        <v>909</v>
      </c>
      <c r="D85" s="1138" t="s">
        <v>348</v>
      </c>
      <c r="E85" s="1537">
        <v>50868322</v>
      </c>
      <c r="F85" s="596" t="s">
        <v>906</v>
      </c>
      <c r="G85" s="1540" t="s">
        <v>910</v>
      </c>
      <c r="H85" s="596" t="s">
        <v>20</v>
      </c>
      <c r="I85" s="1541" t="s">
        <v>911</v>
      </c>
      <c r="J85" s="1542">
        <v>1</v>
      </c>
      <c r="K85" s="1542">
        <v>30</v>
      </c>
      <c r="L85" s="596">
        <v>60</v>
      </c>
      <c r="M85" s="596" t="s">
        <v>5</v>
      </c>
      <c r="N85" s="669" t="s">
        <v>6</v>
      </c>
      <c r="O85" s="1540"/>
      <c r="P85" s="1586" t="s">
        <v>833</v>
      </c>
    </row>
    <row r="86" spans="1:17" s="1" customFormat="1" ht="30.1" customHeight="1" x14ac:dyDescent="0.25">
      <c r="A86" s="1539"/>
      <c r="B86" s="1540"/>
      <c r="C86" s="1540"/>
      <c r="D86" s="1138"/>
      <c r="E86" s="1537"/>
      <c r="F86" s="596" t="s">
        <v>906</v>
      </c>
      <c r="G86" s="1540"/>
      <c r="H86" s="596" t="s">
        <v>20</v>
      </c>
      <c r="I86" s="1541"/>
      <c r="J86" s="1542"/>
      <c r="K86" s="1542"/>
      <c r="L86" s="595">
        <v>30</v>
      </c>
      <c r="M86" s="595" t="s">
        <v>4</v>
      </c>
      <c r="N86" s="669" t="s">
        <v>6</v>
      </c>
      <c r="O86" s="1540"/>
      <c r="P86" s="1586"/>
    </row>
    <row r="87" spans="1:17" s="3" customFormat="1" ht="20.05" customHeight="1" x14ac:dyDescent="0.25">
      <c r="A87" s="320"/>
      <c r="B87" s="186" t="s">
        <v>175</v>
      </c>
      <c r="C87" s="186" t="s">
        <v>176</v>
      </c>
      <c r="D87" s="140">
        <v>25760004</v>
      </c>
      <c r="E87" s="595" t="s">
        <v>493</v>
      </c>
      <c r="F87" s="93">
        <v>43621</v>
      </c>
      <c r="G87" s="93">
        <v>43646</v>
      </c>
      <c r="H87" s="596" t="s">
        <v>33</v>
      </c>
      <c r="I87" s="595">
        <v>12</v>
      </c>
      <c r="J87" s="595" t="s">
        <v>4</v>
      </c>
      <c r="K87" s="646"/>
      <c r="L87" s="597">
        <v>3145979513</v>
      </c>
      <c r="M87" s="595" t="s">
        <v>303</v>
      </c>
      <c r="N87" s="1221" t="s">
        <v>2304</v>
      </c>
      <c r="O87" s="1222"/>
    </row>
    <row r="88" spans="1:17" s="3" customFormat="1" ht="20.05" customHeight="1" x14ac:dyDescent="0.25">
      <c r="A88" s="320"/>
      <c r="B88" s="1349" t="s">
        <v>1905</v>
      </c>
      <c r="C88" s="1349" t="s">
        <v>1906</v>
      </c>
      <c r="D88" s="1521">
        <v>26151237</v>
      </c>
      <c r="E88" s="1349" t="s">
        <v>616</v>
      </c>
      <c r="F88" s="524">
        <v>43598</v>
      </c>
      <c r="G88" s="524">
        <v>43615</v>
      </c>
      <c r="H88" s="523" t="s">
        <v>33</v>
      </c>
      <c r="I88" s="532">
        <v>12</v>
      </c>
      <c r="J88" s="532" t="s">
        <v>4</v>
      </c>
      <c r="K88" s="646"/>
      <c r="L88" s="1517" t="s">
        <v>1908</v>
      </c>
      <c r="M88" s="1349" t="s">
        <v>1907</v>
      </c>
      <c r="N88" s="1355" t="s">
        <v>2098</v>
      </c>
      <c r="O88" s="1519"/>
    </row>
    <row r="89" spans="1:17" s="3" customFormat="1" ht="20.05" customHeight="1" x14ac:dyDescent="0.25">
      <c r="A89" s="320"/>
      <c r="B89" s="1351"/>
      <c r="C89" s="1351"/>
      <c r="D89" s="1522"/>
      <c r="E89" s="1351"/>
      <c r="F89" s="524">
        <v>43598</v>
      </c>
      <c r="G89" s="524">
        <v>43615</v>
      </c>
      <c r="H89" s="523" t="s">
        <v>686</v>
      </c>
      <c r="I89" s="532">
        <v>18</v>
      </c>
      <c r="J89" s="532" t="s">
        <v>4</v>
      </c>
      <c r="K89" s="646"/>
      <c r="L89" s="1518"/>
      <c r="M89" s="1351"/>
      <c r="N89" s="1357"/>
      <c r="O89" s="1520"/>
    </row>
    <row r="90" spans="1:17" s="210" customFormat="1" ht="22.6" customHeight="1" x14ac:dyDescent="0.25">
      <c r="A90" s="743"/>
      <c r="B90" s="742" t="s">
        <v>2454</v>
      </c>
      <c r="C90" s="741" t="s">
        <v>1233</v>
      </c>
      <c r="D90" s="738">
        <v>34925332</v>
      </c>
      <c r="E90" s="737" t="s">
        <v>499</v>
      </c>
      <c r="F90" s="740">
        <v>43658</v>
      </c>
      <c r="G90" s="740">
        <v>43676</v>
      </c>
      <c r="H90" s="739" t="s">
        <v>33</v>
      </c>
      <c r="I90" s="739">
        <v>12</v>
      </c>
      <c r="J90" s="739" t="s">
        <v>4</v>
      </c>
      <c r="K90" s="737">
        <v>3002692667</v>
      </c>
      <c r="L90" s="737" t="s">
        <v>2455</v>
      </c>
      <c r="M90" s="737" t="s">
        <v>16</v>
      </c>
      <c r="N90" s="1146" t="s">
        <v>2456</v>
      </c>
      <c r="O90" s="1147"/>
    </row>
  </sheetData>
  <mergeCells count="276">
    <mergeCell ref="C82:C83"/>
    <mergeCell ref="D82:D83"/>
    <mergeCell ref="N82:O83"/>
    <mergeCell ref="D79:D80"/>
    <mergeCell ref="E79:E80"/>
    <mergeCell ref="L79:L80"/>
    <mergeCell ref="K79:K80"/>
    <mergeCell ref="B79:B80"/>
    <mergeCell ref="C79:C80"/>
    <mergeCell ref="N79:O80"/>
    <mergeCell ref="P85:P86"/>
    <mergeCell ref="E85:E86"/>
    <mergeCell ref="O85:O86"/>
    <mergeCell ref="D85:D86"/>
    <mergeCell ref="A85:A86"/>
    <mergeCell ref="B85:B86"/>
    <mergeCell ref="C85:C86"/>
    <mergeCell ref="G85:G86"/>
    <mergeCell ref="I85:I86"/>
    <mergeCell ref="J85:J86"/>
    <mergeCell ref="K85:K86"/>
    <mergeCell ref="N70:O70"/>
    <mergeCell ref="N71:O71"/>
    <mergeCell ref="N72:O72"/>
    <mergeCell ref="H74:H76"/>
    <mergeCell ref="K77:K78"/>
    <mergeCell ref="E73:E76"/>
    <mergeCell ref="L73:L76"/>
    <mergeCell ref="M73:M76"/>
    <mergeCell ref="C73:C76"/>
    <mergeCell ref="D73:D76"/>
    <mergeCell ref="C77:C78"/>
    <mergeCell ref="Q34:Q35"/>
    <mergeCell ref="L34:L35"/>
    <mergeCell ref="K34:K35"/>
    <mergeCell ref="J34:J35"/>
    <mergeCell ref="I34:I35"/>
    <mergeCell ref="H34:H35"/>
    <mergeCell ref="G34:G35"/>
    <mergeCell ref="P37:P38"/>
    <mergeCell ref="J37:J38"/>
    <mergeCell ref="K37:K38"/>
    <mergeCell ref="I37:I38"/>
    <mergeCell ref="O37:O38"/>
    <mergeCell ref="B51:B52"/>
    <mergeCell ref="D51:D52"/>
    <mergeCell ref="M46:N46"/>
    <mergeCell ref="M47:N47"/>
    <mergeCell ref="D42:D43"/>
    <mergeCell ref="M50:N50"/>
    <mergeCell ref="B42:B43"/>
    <mergeCell ref="E42:E43"/>
    <mergeCell ref="L42:L43"/>
    <mergeCell ref="N42:O43"/>
    <mergeCell ref="K42:K43"/>
    <mergeCell ref="C42:C43"/>
    <mergeCell ref="B44:B45"/>
    <mergeCell ref="C44:C45"/>
    <mergeCell ref="E44:E45"/>
    <mergeCell ref="D44:D45"/>
    <mergeCell ref="N44:O45"/>
    <mergeCell ref="C48:C49"/>
    <mergeCell ref="B48:B49"/>
    <mergeCell ref="E48:E49"/>
    <mergeCell ref="L48:L49"/>
    <mergeCell ref="D48:D49"/>
    <mergeCell ref="M48:N49"/>
    <mergeCell ref="K48:K49"/>
    <mergeCell ref="B40:B41"/>
    <mergeCell ref="M40:M41"/>
    <mergeCell ref="L40:L41"/>
    <mergeCell ref="N40:O41"/>
    <mergeCell ref="G40:G41"/>
    <mergeCell ref="H40:H41"/>
    <mergeCell ref="C40:C41"/>
    <mergeCell ref="K40:K41"/>
    <mergeCell ref="E40:E41"/>
    <mergeCell ref="F40:F41"/>
    <mergeCell ref="D40:D41"/>
    <mergeCell ref="A34:A35"/>
    <mergeCell ref="B34:B35"/>
    <mergeCell ref="C34:C35"/>
    <mergeCell ref="D34:D35"/>
    <mergeCell ref="E34:E35"/>
    <mergeCell ref="M28:N28"/>
    <mergeCell ref="M29:N29"/>
    <mergeCell ref="A30:A32"/>
    <mergeCell ref="G30:G32"/>
    <mergeCell ref="S30:S32"/>
    <mergeCell ref="I30:I32"/>
    <mergeCell ref="R30:R32"/>
    <mergeCell ref="B30:B32"/>
    <mergeCell ref="C30:C32"/>
    <mergeCell ref="D30:D32"/>
    <mergeCell ref="E30:E32"/>
    <mergeCell ref="O30:O32"/>
    <mergeCell ref="K30:K32"/>
    <mergeCell ref="J30:J32"/>
    <mergeCell ref="P30:P32"/>
    <mergeCell ref="S26:S27"/>
    <mergeCell ref="L26:L27"/>
    <mergeCell ref="M26:M27"/>
    <mergeCell ref="R26:R27"/>
    <mergeCell ref="A26:A27"/>
    <mergeCell ref="B26:B27"/>
    <mergeCell ref="C26:C27"/>
    <mergeCell ref="E26:E27"/>
    <mergeCell ref="D26:D27"/>
    <mergeCell ref="G26:G27"/>
    <mergeCell ref="I26:I27"/>
    <mergeCell ref="J26:J27"/>
    <mergeCell ref="K26:K27"/>
    <mergeCell ref="I24:I25"/>
    <mergeCell ref="A24:A25"/>
    <mergeCell ref="G24:G25"/>
    <mergeCell ref="E24:E25"/>
    <mergeCell ref="D24:D25"/>
    <mergeCell ref="C24:C25"/>
    <mergeCell ref="B24:B25"/>
    <mergeCell ref="S24:S25"/>
    <mergeCell ref="M24:M25"/>
    <mergeCell ref="L24:L25"/>
    <mergeCell ref="K24:K25"/>
    <mergeCell ref="J24:J25"/>
    <mergeCell ref="P20:P21"/>
    <mergeCell ref="A20:A21"/>
    <mergeCell ref="B20:B21"/>
    <mergeCell ref="C20:C21"/>
    <mergeCell ref="D20:D21"/>
    <mergeCell ref="E20:E21"/>
    <mergeCell ref="G20:G21"/>
    <mergeCell ref="I20:I21"/>
    <mergeCell ref="J20:J21"/>
    <mergeCell ref="K20:K21"/>
    <mergeCell ref="O20:O21"/>
    <mergeCell ref="P18:P19"/>
    <mergeCell ref="O18:O19"/>
    <mergeCell ref="A18:A19"/>
    <mergeCell ref="B18:B19"/>
    <mergeCell ref="I18:I19"/>
    <mergeCell ref="C18:C19"/>
    <mergeCell ref="E18:E19"/>
    <mergeCell ref="D18:D19"/>
    <mergeCell ref="G18:G19"/>
    <mergeCell ref="J18:J19"/>
    <mergeCell ref="K18:K19"/>
    <mergeCell ref="K13:K15"/>
    <mergeCell ref="O13:O15"/>
    <mergeCell ref="G13:G15"/>
    <mergeCell ref="I13:I15"/>
    <mergeCell ref="Q16:Q17"/>
    <mergeCell ref="A16:A17"/>
    <mergeCell ref="B16:B17"/>
    <mergeCell ref="C16:C17"/>
    <mergeCell ref="D16:D17"/>
    <mergeCell ref="E16:E17"/>
    <mergeCell ref="G16:G17"/>
    <mergeCell ref="H16:H17"/>
    <mergeCell ref="P16:P17"/>
    <mergeCell ref="L16:L17"/>
    <mergeCell ref="K16:K17"/>
    <mergeCell ref="J16:J17"/>
    <mergeCell ref="I16:I17"/>
    <mergeCell ref="M5:N5"/>
    <mergeCell ref="G1:G3"/>
    <mergeCell ref="B1:B3"/>
    <mergeCell ref="C1:C3"/>
    <mergeCell ref="D1:D3"/>
    <mergeCell ref="E1:E3"/>
    <mergeCell ref="F1:F3"/>
    <mergeCell ref="H1:H3"/>
    <mergeCell ref="K1:K3"/>
    <mergeCell ref="L1:L3"/>
    <mergeCell ref="N1:N3"/>
    <mergeCell ref="N4:O4"/>
    <mergeCell ref="A37:A38"/>
    <mergeCell ref="B37:B38"/>
    <mergeCell ref="C37:C38"/>
    <mergeCell ref="D37:D38"/>
    <mergeCell ref="E37:E38"/>
    <mergeCell ref="G37:G38"/>
    <mergeCell ref="N22:O22"/>
    <mergeCell ref="N23:O23"/>
    <mergeCell ref="M6:N6"/>
    <mergeCell ref="M7:N7"/>
    <mergeCell ref="M8:N8"/>
    <mergeCell ref="O10:O11"/>
    <mergeCell ref="K10:K11"/>
    <mergeCell ref="E10:E11"/>
    <mergeCell ref="D10:D11"/>
    <mergeCell ref="E13:E15"/>
    <mergeCell ref="D13:D15"/>
    <mergeCell ref="B10:B11"/>
    <mergeCell ref="L10:L11"/>
    <mergeCell ref="C10:C11"/>
    <mergeCell ref="A13:A15"/>
    <mergeCell ref="B13:B15"/>
    <mergeCell ref="C13:C15"/>
    <mergeCell ref="J13:J15"/>
    <mergeCell ref="E51:E52"/>
    <mergeCell ref="F51:F52"/>
    <mergeCell ref="G51:G52"/>
    <mergeCell ref="L51:L52"/>
    <mergeCell ref="H51:H52"/>
    <mergeCell ref="K51:K52"/>
    <mergeCell ref="M51:N52"/>
    <mergeCell ref="C51:C52"/>
    <mergeCell ref="M56:N57"/>
    <mergeCell ref="E56:E57"/>
    <mergeCell ref="F56:F57"/>
    <mergeCell ref="G56:G57"/>
    <mergeCell ref="H56:H57"/>
    <mergeCell ref="K56:K57"/>
    <mergeCell ref="L56:L57"/>
    <mergeCell ref="N53:O53"/>
    <mergeCell ref="B56:B57"/>
    <mergeCell ref="D56:D57"/>
    <mergeCell ref="C56:C57"/>
    <mergeCell ref="F58:F60"/>
    <mergeCell ref="G58:G60"/>
    <mergeCell ref="H58:H60"/>
    <mergeCell ref="B58:B60"/>
    <mergeCell ref="C58:C60"/>
    <mergeCell ref="N58:O60"/>
    <mergeCell ref="L58:L60"/>
    <mergeCell ref="K58:K60"/>
    <mergeCell ref="D58:D60"/>
    <mergeCell ref="E58:E60"/>
    <mergeCell ref="N61:O61"/>
    <mergeCell ref="B65:B66"/>
    <mergeCell ref="C65:C66"/>
    <mergeCell ref="D65:D66"/>
    <mergeCell ref="E65:E66"/>
    <mergeCell ref="F65:F66"/>
    <mergeCell ref="H65:H66"/>
    <mergeCell ref="J65:J66"/>
    <mergeCell ref="Q67:Q69"/>
    <mergeCell ref="K65:K66"/>
    <mergeCell ref="L65:L66"/>
    <mergeCell ref="R67:R69"/>
    <mergeCell ref="A67:A69"/>
    <mergeCell ref="B67:B69"/>
    <mergeCell ref="C67:C69"/>
    <mergeCell ref="E67:E69"/>
    <mergeCell ref="G67:G69"/>
    <mergeCell ref="H67:H69"/>
    <mergeCell ref="I67:I69"/>
    <mergeCell ref="J67:J69"/>
    <mergeCell ref="D67:D69"/>
    <mergeCell ref="K67:K69"/>
    <mergeCell ref="L67:L69"/>
    <mergeCell ref="P67:P69"/>
    <mergeCell ref="B73:B76"/>
    <mergeCell ref="N90:O90"/>
    <mergeCell ref="N87:O87"/>
    <mergeCell ref="E88:E89"/>
    <mergeCell ref="L88:L89"/>
    <mergeCell ref="M88:M89"/>
    <mergeCell ref="B88:B89"/>
    <mergeCell ref="C88:C89"/>
    <mergeCell ref="N88:O89"/>
    <mergeCell ref="D88:D89"/>
    <mergeCell ref="N77:O78"/>
    <mergeCell ref="D77:D78"/>
    <mergeCell ref="E77:E78"/>
    <mergeCell ref="L77:L78"/>
    <mergeCell ref="F74:F76"/>
    <mergeCell ref="G74:G76"/>
    <mergeCell ref="N73:O76"/>
    <mergeCell ref="B77:B78"/>
    <mergeCell ref="N84:O84"/>
    <mergeCell ref="M82:M83"/>
    <mergeCell ref="K82:K83"/>
    <mergeCell ref="L82:L83"/>
    <mergeCell ref="B82:B83"/>
    <mergeCell ref="E82:E83"/>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4:G13"/>
  <sheetViews>
    <sheetView zoomScale="130" zoomScaleNormal="130" workbookViewId="0">
      <selection activeCell="B4" sqref="B4:G4"/>
    </sheetView>
  </sheetViews>
  <sheetFormatPr baseColWidth="10" defaultRowHeight="14.3" x14ac:dyDescent="0.25"/>
  <cols>
    <col min="1" max="1" width="13.25" customWidth="1"/>
    <col min="2" max="2" width="4.625" customWidth="1"/>
    <col min="3" max="3" width="21.125" customWidth="1"/>
    <col min="4" max="4" width="15.875" customWidth="1"/>
    <col min="5" max="5" width="12.75" customWidth="1"/>
    <col min="6" max="6" width="20.625" customWidth="1"/>
    <col min="7" max="7" width="16.75" customWidth="1"/>
  </cols>
  <sheetData>
    <row r="4" spans="2:7" x14ac:dyDescent="0.25">
      <c r="B4" s="1587" t="s">
        <v>625</v>
      </c>
      <c r="C4" s="1587"/>
      <c r="D4" s="1587"/>
      <c r="E4" s="1587"/>
      <c r="F4" s="1587"/>
      <c r="G4" s="1587"/>
    </row>
    <row r="5" spans="2:7" x14ac:dyDescent="0.25">
      <c r="B5" s="1587" t="s">
        <v>627</v>
      </c>
      <c r="C5" s="1587"/>
      <c r="D5" s="25" t="s">
        <v>621</v>
      </c>
      <c r="E5" s="25" t="s">
        <v>622</v>
      </c>
      <c r="F5" s="25" t="s">
        <v>623</v>
      </c>
      <c r="G5" s="25" t="s">
        <v>624</v>
      </c>
    </row>
    <row r="6" spans="2:7" x14ac:dyDescent="0.25">
      <c r="B6" s="27">
        <v>1</v>
      </c>
      <c r="C6" s="26" t="s">
        <v>1879</v>
      </c>
      <c r="D6" s="75">
        <v>38</v>
      </c>
      <c r="E6" s="75">
        <v>36</v>
      </c>
      <c r="F6" s="75">
        <v>34</v>
      </c>
      <c r="G6" s="75">
        <v>38</v>
      </c>
    </row>
    <row r="7" spans="2:7" x14ac:dyDescent="0.25">
      <c r="B7" s="27">
        <v>2</v>
      </c>
      <c r="C7" s="26" t="s">
        <v>2105</v>
      </c>
      <c r="D7" s="76">
        <v>40</v>
      </c>
      <c r="E7" s="75">
        <v>36</v>
      </c>
      <c r="F7" s="75">
        <v>37</v>
      </c>
      <c r="G7" s="75">
        <v>40</v>
      </c>
    </row>
    <row r="8" spans="2:7" x14ac:dyDescent="0.25">
      <c r="B8" s="27">
        <v>3</v>
      </c>
      <c r="C8" s="26"/>
      <c r="D8" s="75"/>
      <c r="E8" s="75"/>
      <c r="F8" s="75"/>
      <c r="G8" s="75"/>
    </row>
    <row r="9" spans="2:7" x14ac:dyDescent="0.25">
      <c r="B9" s="27">
        <v>4</v>
      </c>
      <c r="C9" s="26"/>
      <c r="D9" s="75"/>
      <c r="E9" s="75"/>
      <c r="F9" s="75"/>
      <c r="G9" s="75"/>
    </row>
    <row r="10" spans="2:7" x14ac:dyDescent="0.25">
      <c r="B10" s="27">
        <v>5</v>
      </c>
      <c r="C10" s="26"/>
      <c r="D10" s="75"/>
      <c r="E10" s="75"/>
      <c r="F10" s="75"/>
      <c r="G10" s="75"/>
    </row>
    <row r="11" spans="2:7" ht="19.05" x14ac:dyDescent="0.25">
      <c r="B11" s="1588" t="s">
        <v>626</v>
      </c>
      <c r="C11" s="1589"/>
      <c r="D11" s="61">
        <f>SUM(D6:D10)</f>
        <v>78</v>
      </c>
      <c r="E11" s="61">
        <f>SUM(E6:E10)</f>
        <v>72</v>
      </c>
      <c r="F11" s="61">
        <f>SUM(F6:F10)</f>
        <v>71</v>
      </c>
      <c r="G11" s="61">
        <f>SUM(G6:G10)</f>
        <v>78</v>
      </c>
    </row>
    <row r="12" spans="2:7" x14ac:dyDescent="0.25">
      <c r="D12" s="102">
        <v>90</v>
      </c>
      <c r="E12" s="102">
        <v>90</v>
      </c>
      <c r="F12" s="102">
        <v>90</v>
      </c>
      <c r="G12" s="102">
        <v>90</v>
      </c>
    </row>
    <row r="13" spans="2:7" x14ac:dyDescent="0.25">
      <c r="D13" s="103">
        <f>D12-D11</f>
        <v>12</v>
      </c>
      <c r="E13" s="103">
        <f>E12-E11</f>
        <v>18</v>
      </c>
      <c r="F13" s="103">
        <f>F12-F11</f>
        <v>19</v>
      </c>
      <c r="G13" s="103">
        <f>G12-G11</f>
        <v>12</v>
      </c>
    </row>
  </sheetData>
  <mergeCells count="3">
    <mergeCell ref="B5:C5"/>
    <mergeCell ref="B4:G4"/>
    <mergeCell ref="B11:C11"/>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11</vt:i4>
      </vt:variant>
    </vt:vector>
  </HeadingPairs>
  <TitlesOfParts>
    <vt:vector size="11" baseType="lpstr">
      <vt:lpstr>MONTERIA</vt:lpstr>
      <vt:lpstr>MPIOS</vt:lpstr>
      <vt:lpstr>NEP MPIOS</vt:lpstr>
      <vt:lpstr>NEP MTR</vt:lpstr>
      <vt:lpstr>VM + TF</vt:lpstr>
      <vt:lpstr>PERMANENTES</vt:lpstr>
      <vt:lpstr>RUTA FIN DE SEMANA</vt:lpstr>
      <vt:lpstr>TURNO VEREDAS</vt:lpstr>
      <vt:lpstr>EGRESOS</vt:lpstr>
      <vt:lpstr>FALLECIDOS</vt:lpstr>
      <vt:lpstr>ANGELY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Windows User</cp:lastModifiedBy>
  <cp:lastPrinted>2019-08-03T15:01:40Z</cp:lastPrinted>
  <dcterms:created xsi:type="dcterms:W3CDTF">2018-06-28T17:29:48Z</dcterms:created>
  <dcterms:modified xsi:type="dcterms:W3CDTF">2020-07-30T23:33:44Z</dcterms:modified>
</cp:coreProperties>
</file>