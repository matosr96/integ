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8\"/>
    </mc:Choice>
  </mc:AlternateContent>
  <bookViews>
    <workbookView xWindow="0" yWindow="0" windowWidth="21600" windowHeight="9632" activeTab="2"/>
  </bookViews>
  <sheets>
    <sheet name="MONTERIA" sheetId="1" r:id="rId1"/>
    <sheet name="MPIOS" sheetId="2" r:id="rId2"/>
    <sheet name="NUEVA EPS MTR" sheetId="3" r:id="rId3"/>
    <sheet name="NUEVA EPS MPIOS" sheetId="4" r:id="rId4"/>
    <sheet name="PERMANENTES" sheetId="5" r:id="rId5"/>
    <sheet name="INGRESOS PROMOSALUD 16 JULIO" sheetId="7" r:id="rId6"/>
    <sheet name="PENDIENTES DE MPIOS" sheetId="8" r:id="rId7"/>
    <sheet name="pacientes para el lunes" sheetId="10" r:id="rId8"/>
    <sheet name="PTES FONO PR" sheetId="9" r:id="rId9"/>
    <sheet name="PTES FONO CIENAGA" sheetId="11" r:id="rId10"/>
  </sheets>
  <definedNames>
    <definedName name="_xlnm._FilterDatabase" localSheetId="0" hidden="1">MONTERIA!$B$1:$Q$70</definedName>
    <definedName name="_xlnm._FilterDatabase" localSheetId="1" hidden="1">MPIOS!$B$1:$R$66</definedName>
    <definedName name="_xlnm._FilterDatabase" localSheetId="3" hidden="1">'NUEVA EPS MPIOS'!$A$1:$M$101</definedName>
    <definedName name="_xlnm._FilterDatabase" localSheetId="2" hidden="1">'NUEVA EPS MTR'!$A$1:$F$1</definedName>
    <definedName name="_xlnm._FilterDatabase" localSheetId="4" hidden="1">PERMANENTES!$B$1:$R$55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1" i="7" l="1"/>
  <c r="S41" i="7"/>
  <c r="R41" i="7"/>
  <c r="Q41" i="7"/>
  <c r="P41" i="7"/>
  <c r="O41" i="7"/>
  <c r="N41" i="7"/>
  <c r="M41" i="7"/>
  <c r="L41" i="7"/>
  <c r="K41" i="7"/>
  <c r="J41" i="7"/>
  <c r="I41" i="7"/>
  <c r="H41" i="7"/>
</calcChain>
</file>

<file path=xl/sharedStrings.xml><?xml version="1.0" encoding="utf-8"?>
<sst xmlns="http://schemas.openxmlformats.org/spreadsheetml/2006/main" count="2102" uniqueCount="1094">
  <si>
    <t>NOMBRE</t>
  </si>
  <si>
    <t>APELLIDO</t>
  </si>
  <si>
    <t>TIPO ID</t>
  </si>
  <si>
    <t>NUMERO ID</t>
  </si>
  <si>
    <t>EPS</t>
  </si>
  <si>
    <t>DIRECCION</t>
  </si>
  <si>
    <t>TELEFONO</t>
  </si>
  <si>
    <t>N. AUTORIZACION</t>
  </si>
  <si>
    <t>FECHA DE ENTREGA</t>
  </si>
  <si>
    <t>FECHA DE INICIO</t>
  </si>
  <si>
    <t>FECHA DE EGRESO</t>
  </si>
  <si>
    <t xml:space="preserve">SESIONES </t>
  </si>
  <si>
    <t>TERAPIAS AUTORIZADAS</t>
  </si>
  <si>
    <t>TERAPEUTA ENCARGADO</t>
  </si>
  <si>
    <t>OBSERVACIONES</t>
  </si>
  <si>
    <t xml:space="preserve">CAMILA </t>
  </si>
  <si>
    <t>CHAMORRO ESTRADA</t>
  </si>
  <si>
    <t>TI</t>
  </si>
  <si>
    <t>SALUDVIDA</t>
  </si>
  <si>
    <t xml:space="preserve">HOGAR DE PASO </t>
  </si>
  <si>
    <t>3136252893-3117320678</t>
  </si>
  <si>
    <t>DIARIA</t>
  </si>
  <si>
    <t>TF</t>
  </si>
  <si>
    <t xml:space="preserve">1 DIARIA </t>
  </si>
  <si>
    <t>FONO</t>
  </si>
  <si>
    <t>TR</t>
  </si>
  <si>
    <t>EDELMIRA ROSA</t>
  </si>
  <si>
    <t>ECHAVARRIA BERRIO</t>
  </si>
  <si>
    <t>CC</t>
  </si>
  <si>
    <t>PROMOSALUD</t>
  </si>
  <si>
    <t>MZ 8 LT 13 B/SANTA FE</t>
  </si>
  <si>
    <t>RONALDO ANTONIO</t>
  </si>
  <si>
    <t>CHAMORRO FURNIELES</t>
  </si>
  <si>
    <t>MZ 17 LT 20 URB VILLA CIELO</t>
  </si>
  <si>
    <t>DARIS VICTORIA</t>
  </si>
  <si>
    <t>BULA COGOLLO</t>
  </si>
  <si>
    <t>LORGIA DEL CARMEN</t>
  </si>
  <si>
    <t>ARBOLEDA LOPEZ</t>
  </si>
  <si>
    <t xml:space="preserve">B/JERUSALEN CLLE 23 CRA 10 </t>
  </si>
  <si>
    <t>C/12</t>
  </si>
  <si>
    <t>CLAUDIA ROMAN</t>
  </si>
  <si>
    <t xml:space="preserve">LIGIA ELVIRA </t>
  </si>
  <si>
    <t>PICO GARCIA</t>
  </si>
  <si>
    <t xml:space="preserve">PROMOSALUD </t>
  </si>
  <si>
    <t>CERETE/B/MARTINEZ CL 10 3-35</t>
  </si>
  <si>
    <t>AURA DE LA ESPRIELLA</t>
  </si>
  <si>
    <t>MA. MERY BERTEL</t>
  </si>
  <si>
    <t xml:space="preserve">ANA ISABEL </t>
  </si>
  <si>
    <t>GOMEZ HERRERA</t>
  </si>
  <si>
    <t>VEREDA MARAÑONAL/P. RICA</t>
  </si>
  <si>
    <t>TO</t>
  </si>
  <si>
    <t>90SS</t>
  </si>
  <si>
    <t>LEYFIS DEL CARMEN</t>
  </si>
  <si>
    <t>PALOMO RUIZ</t>
  </si>
  <si>
    <t>CERETE</t>
  </si>
  <si>
    <t>12X3MESES</t>
  </si>
  <si>
    <t>BRINY JALAL</t>
  </si>
  <si>
    <t>NOEL ALARCON</t>
  </si>
  <si>
    <t xml:space="preserve">ALICIA </t>
  </si>
  <si>
    <t>ARGEL LOPEZ</t>
  </si>
  <si>
    <t>3218195872 - 3145729298</t>
  </si>
  <si>
    <t>NOMBRES</t>
  </si>
  <si>
    <t>APELLIDOS</t>
  </si>
  <si>
    <t>MUNICIPIO</t>
  </si>
  <si>
    <t>SESIONES</t>
  </si>
  <si>
    <t>TERAPIAS</t>
  </si>
  <si>
    <t>PROFESIONAL</t>
  </si>
  <si>
    <t>FECHAS DE CORTE</t>
  </si>
  <si>
    <t>OBSERVACIONES PERSONALES</t>
  </si>
  <si>
    <t>NOTAS IMPORTANTES</t>
  </si>
  <si>
    <t xml:space="preserve">MANUEL FELIPE </t>
  </si>
  <si>
    <t>OLMOS GONZALES</t>
  </si>
  <si>
    <t>SANITAS</t>
  </si>
  <si>
    <t>MONTERIA</t>
  </si>
  <si>
    <t>TF, TR</t>
  </si>
  <si>
    <t>DIGNA ISABEL</t>
  </si>
  <si>
    <t>DIAZ REYES</t>
  </si>
  <si>
    <t>12 C/U</t>
  </si>
  <si>
    <t>FONO, TF, TO</t>
  </si>
  <si>
    <t>AURA DE LA ESPRIELLA, MARIA MERY BERTHEL, NOEL ALARCON</t>
  </si>
  <si>
    <t>JIMMY IGNACIO</t>
  </si>
  <si>
    <t>HOYOS MONTESINOS</t>
  </si>
  <si>
    <t>TF, TO, FONO</t>
  </si>
  <si>
    <t>RAQUEL</t>
  </si>
  <si>
    <t>TOVAR DE RAMIREZ</t>
  </si>
  <si>
    <t>MARIA CONSUELO</t>
  </si>
  <si>
    <t xml:space="preserve">MONTOYA OCHOA </t>
  </si>
  <si>
    <t>COLSANITAS</t>
  </si>
  <si>
    <t>2XDIAX3MES</t>
  </si>
  <si>
    <t>TF,TR</t>
  </si>
  <si>
    <t>INICIO ESTA NUEVA ORDE EL VIERNES 22 DE JUNIO X3 MESES</t>
  </si>
  <si>
    <t xml:space="preserve">via correo </t>
  </si>
  <si>
    <t xml:space="preserve">WALBERTO </t>
  </si>
  <si>
    <t>VELEZ TRESPALACIOS</t>
  </si>
  <si>
    <t xml:space="preserve">SANITAS </t>
  </si>
  <si>
    <t>MONTELIBANO</t>
  </si>
  <si>
    <t>MONICA DE LA OSSA</t>
  </si>
  <si>
    <t xml:space="preserve">HERENIA ROSA </t>
  </si>
  <si>
    <t>SEGURA  DE HERNANDEZ</t>
  </si>
  <si>
    <t xml:space="preserve">DIAZ GUTIERREZ </t>
  </si>
  <si>
    <t>MUTUAL SER</t>
  </si>
  <si>
    <t>SAN BDO</t>
  </si>
  <si>
    <t>IVONE MERCADO</t>
  </si>
  <si>
    <t>90 SESIONES X 3 MESES CON ESTA NUEVA ORDEN DESDE JULIO, AGOSTO Y SEPTIEMBRE 2018</t>
  </si>
  <si>
    <t xml:space="preserve">DEIMER JOSE </t>
  </si>
  <si>
    <t xml:space="preserve">CAUSIL POLO </t>
  </si>
  <si>
    <t>HOGAR DE PASO</t>
  </si>
  <si>
    <t>VERIFICAR LAS TO</t>
  </si>
  <si>
    <t xml:space="preserve">MARTIN ALONSO </t>
  </si>
  <si>
    <t xml:space="preserve">MANSANILLO </t>
  </si>
  <si>
    <t>CAUCASIA</t>
  </si>
  <si>
    <t>30 TF, 3TRXDIA</t>
  </si>
  <si>
    <t>TR C/8H, TF 1 DIARIA</t>
  </si>
  <si>
    <t>CARMEN PEINADO</t>
  </si>
  <si>
    <t>HECTOR FABIO</t>
  </si>
  <si>
    <t>JALLER SUAREZ</t>
  </si>
  <si>
    <t>15,15, 4 Y 4</t>
  </si>
  <si>
    <t>TF, TR, FONO, TO</t>
  </si>
  <si>
    <t>DARLY ISABEL</t>
  </si>
  <si>
    <t>ROSARIO ROSARIO</t>
  </si>
  <si>
    <t>TUCHIN</t>
  </si>
  <si>
    <t>TF, FONO</t>
  </si>
  <si>
    <t>TIBY AMIGO, DANIELA GARCES</t>
  </si>
  <si>
    <t>MANUEL VICENTE</t>
  </si>
  <si>
    <t>FERNANDEZ CONTRERAS</t>
  </si>
  <si>
    <t>DANIELA GARCES</t>
  </si>
  <si>
    <t>MANUEL GREGORIO</t>
  </si>
  <si>
    <t xml:space="preserve">BARBOZA MENDOZA </t>
  </si>
  <si>
    <t>MOMIL</t>
  </si>
  <si>
    <t xml:space="preserve">DANIELA GARCES, TIBY AMIGO </t>
  </si>
  <si>
    <t>ENTREGA EL PRIMER PAQUETE 10 DE JUNIO</t>
  </si>
  <si>
    <t>DANYS MAILER</t>
  </si>
  <si>
    <t>SUAREZ RUBIO</t>
  </si>
  <si>
    <t>2TR,2TF,30TO,4FONO</t>
  </si>
  <si>
    <t>TF,TR,TO,FONO</t>
  </si>
  <si>
    <t>DIARIASX4MESES</t>
  </si>
  <si>
    <t>DIGNA MARIA</t>
  </si>
  <si>
    <t>MARMOLEJO HERNANDEZ</t>
  </si>
  <si>
    <t>2TR,2TF</t>
  </si>
  <si>
    <t>TR,TF</t>
  </si>
  <si>
    <t xml:space="preserve">OSVALDO ENRIQUE </t>
  </si>
  <si>
    <t>PACHECO PULGARIN</t>
  </si>
  <si>
    <t>indefinido (?)</t>
  </si>
  <si>
    <t xml:space="preserve">ORFELINA </t>
  </si>
  <si>
    <t>ALVAREZ MORENO</t>
  </si>
  <si>
    <t>PLANETA RICA</t>
  </si>
  <si>
    <t xml:space="preserve">FANNY ESTER </t>
  </si>
  <si>
    <t xml:space="preserve">SUAREZ VERTEL </t>
  </si>
  <si>
    <t>TF/TR</t>
  </si>
  <si>
    <t>HELDA ROSA</t>
  </si>
  <si>
    <t>ROMERO DE OTERO</t>
  </si>
  <si>
    <t>12 TF, FONO</t>
  </si>
  <si>
    <t>TF,FONO</t>
  </si>
  <si>
    <t>HIDALGO ELIAS</t>
  </si>
  <si>
    <t>VELEZ SIMONDS</t>
  </si>
  <si>
    <t>COOMEVA</t>
  </si>
  <si>
    <t>LORICA</t>
  </si>
  <si>
    <t>SANDRA ESCAÑO</t>
  </si>
  <si>
    <t xml:space="preserve">JORGE ELIAS </t>
  </si>
  <si>
    <t>SAEZ RUIZ</t>
  </si>
  <si>
    <t>CIENAGA DE ORO</t>
  </si>
  <si>
    <t>20,20,60</t>
  </si>
  <si>
    <t>TF, FONO, TR2XDIA</t>
  </si>
  <si>
    <t>BIAVELSIS VIDAL</t>
  </si>
  <si>
    <t>nueva orden que ingresa 31 de mayo TR c/12x3meses a partir del 1 de junio</t>
  </si>
  <si>
    <t xml:space="preserve">JOSE FERNANDO </t>
  </si>
  <si>
    <t>CASTILLO MARTINEZ</t>
  </si>
  <si>
    <t>CHINU</t>
  </si>
  <si>
    <t>30,30,30</t>
  </si>
  <si>
    <t>TF,FONO, TO</t>
  </si>
  <si>
    <t>JULISA ORTEGA, LEIDY ALVAREZ, MONICA MENDOZA</t>
  </si>
  <si>
    <t>3 de 30</t>
  </si>
  <si>
    <t>JOSE DE JESUS</t>
  </si>
  <si>
    <t>DIAZ CONTRERAS</t>
  </si>
  <si>
    <t>30, DE L-V</t>
  </si>
  <si>
    <t>x90 dias, a partir del mes de junio hasta agosto</t>
  </si>
  <si>
    <t>NAFER ENRIQUE</t>
  </si>
  <si>
    <t>ZUÑIGA RAMIREZ</t>
  </si>
  <si>
    <t>20, 2XDIA, 12</t>
  </si>
  <si>
    <t>TF,TR, FONO</t>
  </si>
  <si>
    <t>ANA MILENA, TIBI AMIGO</t>
  </si>
  <si>
    <t xml:space="preserve">ANSELMO JOSE </t>
  </si>
  <si>
    <t>PERALTA LOPEZ</t>
  </si>
  <si>
    <t>TRC/4 H; TF 1/DIA</t>
  </si>
  <si>
    <t>RUTH MARINA</t>
  </si>
  <si>
    <t>BOLAÑOS DE GARCES</t>
  </si>
  <si>
    <t xml:space="preserve">30 Y 30 </t>
  </si>
  <si>
    <t>X3MS</t>
  </si>
  <si>
    <t>MARIA PRIMERA</t>
  </si>
  <si>
    <t>REYES VARGAS</t>
  </si>
  <si>
    <t>LISVELLY</t>
  </si>
  <si>
    <t>12XMESX6M</t>
  </si>
  <si>
    <t>INGRESO MARZO HASTA AGOSTO</t>
  </si>
  <si>
    <t>TF Y FONO</t>
  </si>
  <si>
    <t>GLORIA DEL SOCORRO</t>
  </si>
  <si>
    <t>GARCIA RESTAN</t>
  </si>
  <si>
    <t>UNICOR</t>
  </si>
  <si>
    <t>MTR</t>
  </si>
  <si>
    <t xml:space="preserve">20, 20 Y 20 </t>
  </si>
  <si>
    <t>TF,FONO, TO.</t>
  </si>
  <si>
    <t>Entregan nueva orden por 3 meses el 13 de junio que empezara a ser efectiva a partir del 4 de julio.</t>
  </si>
  <si>
    <t>RAQUEL DE JESUS</t>
  </si>
  <si>
    <t>HERNANDEZ NORIEGA</t>
  </si>
  <si>
    <t>30-30</t>
  </si>
  <si>
    <t xml:space="preserve">TF,FONO </t>
  </si>
  <si>
    <t>autorizacion previa</t>
  </si>
  <si>
    <t xml:space="preserve">SENAIRA </t>
  </si>
  <si>
    <t>DOMICO BAILARIN</t>
  </si>
  <si>
    <t>TIERRALTA</t>
  </si>
  <si>
    <t>KAREN CORDERO</t>
  </si>
  <si>
    <t>JOSEFA NOLIS</t>
  </si>
  <si>
    <t>CANTERO MARTINEZ</t>
  </si>
  <si>
    <t>LIGIA ELVIRA</t>
  </si>
  <si>
    <t>MANUEL DEL CRISTO</t>
  </si>
  <si>
    <t>COGOLLO BERROCAL</t>
  </si>
  <si>
    <t xml:space="preserve">GABRIEL </t>
  </si>
  <si>
    <t>SPATH ASAB</t>
  </si>
  <si>
    <t>SUSANA DEL PILAR</t>
  </si>
  <si>
    <t>BURGOS DE GARCIA</t>
  </si>
  <si>
    <t>60,12,12</t>
  </si>
  <si>
    <t>1, X 6M</t>
  </si>
  <si>
    <t>PASQUALE</t>
  </si>
  <si>
    <t>MANCUSI DANGIOLELLA</t>
  </si>
  <si>
    <t>LEONILDE POLIGENIA</t>
  </si>
  <si>
    <t>TR C/8, P</t>
  </si>
  <si>
    <t xml:space="preserve">3MESES </t>
  </si>
  <si>
    <t>PENDIENTE VERIFICAR NUMERO DE SESIONES, INGRESA EL 15 DE JUNIO, HASTA 15 DE SEP.</t>
  </si>
  <si>
    <t xml:space="preserve">ARGEL </t>
  </si>
  <si>
    <t>LORICA/SITIO NUEVO</t>
  </si>
  <si>
    <t>INDEFINIDO</t>
  </si>
  <si>
    <t>PERMANENTE</t>
  </si>
  <si>
    <t>2XDIA</t>
  </si>
  <si>
    <t>EDITH DEL CARMEN</t>
  </si>
  <si>
    <t>BALLESTEROS DE HOYOS</t>
  </si>
  <si>
    <t>VICTOR MANUEL</t>
  </si>
  <si>
    <t>GOMEZ ALMANZA</t>
  </si>
  <si>
    <t>LUZ MERY</t>
  </si>
  <si>
    <t>RUIZ GAITAN</t>
  </si>
  <si>
    <t>B/GARZONES MONTERIACLLE 13 #1A-30</t>
  </si>
  <si>
    <t>ELENA DEL CARMEN</t>
  </si>
  <si>
    <t>LOPEZ SOLERA</t>
  </si>
  <si>
    <t>SALUDTOTAL</t>
  </si>
  <si>
    <t>ANA MILENA  ANAYA</t>
  </si>
  <si>
    <t xml:space="preserve">DANIELA GARCES, </t>
  </si>
  <si>
    <t>12 SS C/U</t>
  </si>
  <si>
    <t xml:space="preserve">LUIS MIGUEL </t>
  </si>
  <si>
    <t xml:space="preserve">JADER LUIS </t>
  </si>
  <si>
    <t>MORENO BRAVO</t>
  </si>
  <si>
    <t>SANDRA ESCAÑOO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</si>
  <si>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</si>
  <si>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</si>
  <si>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</si>
  <si>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</si>
  <si>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</si>
  <si>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</si>
  <si>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</si>
  <si>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VICTORIA CONCEPCION</t>
  </si>
  <si>
    <t>PADILLA VIDAL</t>
  </si>
  <si>
    <t>LEAN DE JESUS</t>
  </si>
  <si>
    <t>RHENALS POLO</t>
  </si>
  <si>
    <t>ROBERTO MANUEL</t>
  </si>
  <si>
    <t xml:space="preserve">GARCIA ENAMORADO 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</si>
  <si>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</si>
  <si>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</si>
  <si>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</si>
  <si>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</si>
  <si>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</si>
  <si>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</si>
  <si>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</si>
  <si>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</si>
  <si>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</si>
  <si>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</si>
  <si>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</si>
  <si>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</si>
  <si>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CARLOTA </t>
  </si>
  <si>
    <t>MOLINA PAEZ</t>
  </si>
  <si>
    <t>AHYDA MARIA</t>
  </si>
  <si>
    <t>KARDUSS DE BAUTISTA</t>
  </si>
  <si>
    <t xml:space="preserve">JAIME ANTONIO </t>
  </si>
  <si>
    <t>ARRIETA DE BERASTEGUI</t>
  </si>
  <si>
    <t xml:space="preserve">SAHAGUN </t>
  </si>
  <si>
    <t>DANIEL DEL CRISTO</t>
  </si>
  <si>
    <t>BULA CORENA</t>
  </si>
  <si>
    <t>AURA MONTALVO</t>
  </si>
  <si>
    <t>MARINA ROSA</t>
  </si>
  <si>
    <t>ALVAREZ DE FLORES</t>
  </si>
  <si>
    <t>REGINA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</si>
  <si>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</si>
  <si>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</si>
  <si>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</si>
  <si>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</si>
  <si>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</si>
  <si>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</si>
  <si>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UPARELA DE GONZALES</t>
  </si>
  <si>
    <t xml:space="preserve">SOL MARIA </t>
  </si>
  <si>
    <t xml:space="preserve">FLORES </t>
  </si>
  <si>
    <t>ELENA JOSEFINA</t>
  </si>
  <si>
    <t>LOPEZ DE MUSKUS</t>
  </si>
  <si>
    <t>CRISTINA GARAVITO</t>
  </si>
  <si>
    <t>ROSALMINA HELENA</t>
  </si>
  <si>
    <t>HOYOS DE ANGULO</t>
  </si>
  <si>
    <t>DELIA ESTHER</t>
  </si>
  <si>
    <t>MEDRANO DE MARTINEZ</t>
  </si>
  <si>
    <t>ATENCION FONO.</t>
  </si>
  <si>
    <t>MANUELA DE LOS REYES</t>
  </si>
  <si>
    <t>BULA DE REINO</t>
  </si>
  <si>
    <t xml:space="preserve">BLASINA </t>
  </si>
  <si>
    <t>ALBA LOPEZ</t>
  </si>
  <si>
    <t>JOSE HERIBERTO</t>
  </si>
  <si>
    <t>OTERO SOTO</t>
  </si>
  <si>
    <t>BEDA MARGARITA</t>
  </si>
  <si>
    <t>ORTIZ SUAREZ</t>
  </si>
  <si>
    <t>NEUROLOGICO</t>
  </si>
  <si>
    <t>AURA MONTALVO, CRISTINA GARAVITO, MONICA MENDOZA</t>
  </si>
  <si>
    <t>20 FONO, 20 TF, 20 TO</t>
  </si>
  <si>
    <t>MARTHA MILENA</t>
  </si>
  <si>
    <t>ESPINOSA QUIÑONEZ</t>
  </si>
  <si>
    <t>MONICA MENDOZA</t>
  </si>
  <si>
    <t xml:space="preserve">ALFREDO </t>
  </si>
  <si>
    <t>OSPINA</t>
  </si>
  <si>
    <t>ESPECIFICO</t>
  </si>
  <si>
    <t>HERNANDO ANTONIO</t>
  </si>
  <si>
    <t>OTERO GRACIA</t>
  </si>
  <si>
    <t>CRISTINA GARAVITO Y SUSANA BUELVAS</t>
  </si>
  <si>
    <t>CORRALES CARRILLO</t>
  </si>
  <si>
    <t xml:space="preserve">NESTOR SEGUNDO </t>
  </si>
  <si>
    <t>DIKSON TAMARA</t>
  </si>
  <si>
    <t xml:space="preserve">FARIDE DEL CARMEN </t>
  </si>
  <si>
    <t>BURGOS DE MERCADO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</si>
  <si>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</si>
  <si>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ESAU ALEJANDRO</t>
  </si>
  <si>
    <t>MARTINEZ NEGRETE</t>
  </si>
  <si>
    <t xml:space="preserve">VICTOR ALFONSO </t>
  </si>
  <si>
    <t>BRAVO RIOS</t>
  </si>
  <si>
    <t>JUANA EVANGELISTA</t>
  </si>
  <si>
    <t>CORREA DE REYES</t>
  </si>
  <si>
    <t>FT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</si>
  <si>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</si>
  <si>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</si>
  <si>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</si>
  <si>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</si>
  <si>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</si>
  <si>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</si>
  <si>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ANA MILENA LORICA</t>
  </si>
  <si>
    <t>MANUEL TOMAS</t>
  </si>
  <si>
    <t>POLO RAMOS</t>
  </si>
  <si>
    <t>CIENAGA DE ORO Y SAN CARLOS</t>
  </si>
  <si>
    <t>ADELA</t>
  </si>
  <si>
    <t>GONZALEZ DE AGUIRRE</t>
  </si>
  <si>
    <t xml:space="preserve">FRANCE ELENA </t>
  </si>
  <si>
    <t>ARROYO ARGEL</t>
  </si>
  <si>
    <t>CARMEN ALICIA</t>
  </si>
  <si>
    <t>LOPEZ GERMAN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</si>
  <si>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</si>
  <si>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</si>
  <si>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</si>
  <si>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</si>
  <si>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</si>
  <si>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</si>
  <si>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</si>
  <si>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>CAMPO DURAN</t>
  </si>
  <si>
    <t>TF, TR (SESIONES)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</si>
  <si>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</si>
  <si>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</si>
  <si>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</si>
  <si>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</si>
  <si>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</si>
  <si>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</si>
  <si>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</si>
  <si>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</si>
  <si>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</si>
  <si>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</si>
  <si>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</si>
  <si>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</si>
  <si>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</si>
  <si>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</si>
  <si>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</si>
  <si>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 xml:space="preserve">NEDDY LUZ </t>
  </si>
  <si>
    <t xml:space="preserve">SUAREZ </t>
  </si>
  <si>
    <t xml:space="preserve">TRAQUEOST. </t>
  </si>
  <si>
    <t>DIOSELINA ROSA</t>
  </si>
  <si>
    <t>ORTEGA BARRIOS</t>
  </si>
  <si>
    <t>PUEBLO NUEVO</t>
  </si>
  <si>
    <t>OLGA CECILIA</t>
  </si>
  <si>
    <t>PEREZ GUTIERREZ</t>
  </si>
  <si>
    <t>LUISA ARGUMEDO</t>
  </si>
  <si>
    <t>MARCELINA DEL CARMEN</t>
  </si>
  <si>
    <t>GALINDO DE ECHEVERRI</t>
  </si>
  <si>
    <t xml:space="preserve">PEDRO </t>
  </si>
  <si>
    <t>MARTINEZ ORTEGA</t>
  </si>
  <si>
    <t>AMALIA</t>
  </si>
  <si>
    <t>ZUÑIGA VEGA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</si>
  <si>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</si>
  <si>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</si>
  <si>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</si>
  <si>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</si>
  <si>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</si>
  <si>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</si>
  <si>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</si>
  <si>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ANA KARINA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</si>
  <si>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</si>
  <si>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</si>
  <si>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</si>
  <si>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</si>
  <si>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</si>
  <si>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</si>
  <si>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YESENIA VARGAS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</si>
  <si>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</si>
  <si>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</si>
  <si>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</si>
  <si>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</si>
  <si>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</si>
  <si>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</si>
  <si>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</si>
  <si>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</si>
  <si>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FISIO</t>
  </si>
  <si>
    <t>PAYARES PACHECO</t>
  </si>
  <si>
    <t>ELIZABETH DELS.</t>
  </si>
  <si>
    <t>PAYAREZ DE VILLADIEGO</t>
  </si>
  <si>
    <t>JESUS ELIAS</t>
  </si>
  <si>
    <t>PAVA MARTINEZ</t>
  </si>
  <si>
    <t>FONO.</t>
  </si>
  <si>
    <t xml:space="preserve">ROSEMBERG </t>
  </si>
  <si>
    <t>ALEAN DONADO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</si>
  <si>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</si>
  <si>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</si>
  <si>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</si>
  <si>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</si>
  <si>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</si>
  <si>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</si>
  <si>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</si>
  <si>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</si>
  <si>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</si>
  <si>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</si>
  <si>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</si>
  <si>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</si>
  <si>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</si>
  <si>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</si>
  <si>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</si>
  <si>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</si>
  <si>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</si>
  <si>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</si>
  <si>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>NACILY ESTELLA</t>
  </si>
  <si>
    <t>HOYOS HERRERA</t>
  </si>
  <si>
    <t>VICTOR MIGUEL</t>
  </si>
  <si>
    <t xml:space="preserve">PATERNINA HERRERA 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</si>
  <si>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</si>
  <si>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</si>
  <si>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</si>
  <si>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</si>
  <si>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</si>
  <si>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</si>
  <si>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</si>
  <si>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</si>
  <si>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</si>
  <si>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</si>
  <si>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</si>
  <si>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</si>
  <si>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</si>
  <si>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</si>
  <si>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</si>
  <si>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</si>
  <si>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</si>
  <si>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</si>
  <si>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</si>
  <si>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</si>
  <si>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</si>
  <si>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</si>
  <si>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 xml:space="preserve">MARIA JOSEFA </t>
  </si>
  <si>
    <t xml:space="preserve">ZUÑIGA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</si>
  <si>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</si>
  <si>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</si>
  <si>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</si>
  <si>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</si>
  <si>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</si>
  <si>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</si>
  <si>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</si>
  <si>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TRAQUEOS.</t>
  </si>
  <si>
    <t>BERTA ELENA</t>
  </si>
  <si>
    <t>NARANJO OCHOA</t>
  </si>
  <si>
    <t xml:space="preserve">ESTEFANIA </t>
  </si>
  <si>
    <t>GUERRERO GOMEZ</t>
  </si>
  <si>
    <t>NANCY DEL CARMEN</t>
  </si>
  <si>
    <t>JIMENEZ DELGADO</t>
  </si>
  <si>
    <t>JUAN PABLO</t>
  </si>
  <si>
    <t>ZULUAGA PEREZ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</si>
  <si>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</si>
  <si>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</si>
  <si>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</si>
  <si>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</si>
  <si>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</si>
  <si>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</si>
  <si>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>LUIS GONZAGA</t>
  </si>
  <si>
    <t>GUILLEN POLO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</si>
  <si>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</si>
  <si>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</si>
  <si>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</si>
  <si>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</si>
  <si>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</si>
  <si>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</si>
  <si>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</si>
  <si>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</si>
  <si>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PABLA JOSEFA</t>
  </si>
  <si>
    <t>FLOREZ DIAZ</t>
  </si>
  <si>
    <t>OLGA DEL CARMEN</t>
  </si>
  <si>
    <t>MONTALVO NARVAEZ</t>
  </si>
  <si>
    <t>LESLE ANTONIO</t>
  </si>
  <si>
    <t>MERCADO SUAREZ</t>
  </si>
  <si>
    <t>FELIPA BENICIA</t>
  </si>
  <si>
    <t>MAURA MONTALVO</t>
  </si>
  <si>
    <t>EVENTO</t>
  </si>
  <si>
    <t>ALFREDO RAMON</t>
  </si>
  <si>
    <t>SIERRA RIVERA</t>
  </si>
  <si>
    <t>JAIFA</t>
  </si>
  <si>
    <t>NADER DE CHEJNE</t>
  </si>
  <si>
    <t>TIBY AMIGO</t>
  </si>
  <si>
    <t>MA. MERY BERTHEL</t>
  </si>
  <si>
    <t xml:space="preserve">PENDIENTE, REALIZAR SEGUIMIENTO A LA TF </t>
  </si>
  <si>
    <t xml:space="preserve">CONFIRMAR </t>
  </si>
  <si>
    <t xml:space="preserve">RUBY DEL CARMEN </t>
  </si>
  <si>
    <t>MARTINEZ FIGUEROA</t>
  </si>
  <si>
    <t>JAIRO EMIRO</t>
  </si>
  <si>
    <t>CARE HERRERA</t>
  </si>
  <si>
    <t>SITIO NUEVO- LORICA</t>
  </si>
  <si>
    <t xml:space="preserve">MARIELA </t>
  </si>
  <si>
    <t>FRANCO</t>
  </si>
  <si>
    <t>#</t>
  </si>
  <si>
    <t>NOMBRE DEL PACIENTE</t>
  </si>
  <si>
    <t>ENTIDAD</t>
  </si>
  <si>
    <t>TIPO Y NUMERO DE SERVICIOS</t>
  </si>
  <si>
    <t>VALOR DE LA ADMISION</t>
  </si>
  <si>
    <t>FECHA INICIO ATENCION</t>
  </si>
  <si>
    <t>FECHA FIN ATENCION</t>
  </si>
  <si>
    <t>HORAS CUIDADO BASICO ENFERMERIA</t>
  </si>
  <si>
    <t>VISITAS MEDICAS</t>
  </si>
  <si>
    <t>VISITA NUTRICION</t>
  </si>
  <si>
    <t>PSICO</t>
  </si>
  <si>
    <t>CURACION</t>
  </si>
  <si>
    <t xml:space="preserve">VISITA AUDITORIA </t>
  </si>
  <si>
    <t>CAMBIO SONDA VESICAL</t>
  </si>
  <si>
    <t xml:space="preserve">EQUIPOS /DIAS </t>
  </si>
  <si>
    <t>INSUMOS</t>
  </si>
  <si>
    <t>MEDICAMENTOS</t>
  </si>
  <si>
    <t>Sofia Orrego De Cano</t>
  </si>
  <si>
    <t>Coomeva Eps S.A Gestion Clinica</t>
  </si>
  <si>
    <t>TF(25)- TL(12)- VM(4)- TR(4)</t>
  </si>
  <si>
    <t>CALLE 59 # 9B 02 CASTELLANA</t>
  </si>
  <si>
    <t>3008015049
3126422830</t>
  </si>
  <si>
    <t>Luis Fernando Lacharme</t>
  </si>
  <si>
    <t>VN(1)- VS(12)</t>
  </si>
  <si>
    <t>CALLE 70 # 2 69, CASA EL RECREO</t>
  </si>
  <si>
    <t>3135339624
3133940043</t>
  </si>
  <si>
    <t>Eduardo Cabrales Torres</t>
  </si>
  <si>
    <t>TF(12)</t>
  </si>
  <si>
    <t>CALLE 42 # 9 35, CASA LOS LAURELES</t>
  </si>
  <si>
    <t>3104599402
3014413992</t>
  </si>
  <si>
    <t>Bernardo Doval Castro</t>
  </si>
  <si>
    <t>TF(4)- CSV(1)- VM(1)- VN(1)- TR(8)</t>
  </si>
  <si>
    <t>CALLE 31 # 10 16</t>
  </si>
  <si>
    <t>Carmen Sofia Rodriguez Perez</t>
  </si>
  <si>
    <t>TF(8)- TL(8)- VM(1)- VS(8)</t>
  </si>
  <si>
    <t xml:space="preserve">Calle 11 7 27 Buenavista </t>
  </si>
  <si>
    <t>3104422595 , 3225134029</t>
  </si>
  <si>
    <t>Cesar Augusto Lara Sanchez</t>
  </si>
  <si>
    <t>TF(8)- CMED(1)- VN(1)</t>
  </si>
  <si>
    <t xml:space="preserve">Manzana 67 Lote 3 La Pradera </t>
  </si>
  <si>
    <t xml:space="preserve">7887773 , 3227345952 </t>
  </si>
  <si>
    <t>Jose Teberino Guzman Martinez</t>
  </si>
  <si>
    <t>TF(4)- CMED(1)- CSV(1)- VN(1)</t>
  </si>
  <si>
    <t xml:space="preserve"> Carrera 15c # 39 42 La Floresta  </t>
  </si>
  <si>
    <t xml:space="preserve">3145006633 , 3218323240 </t>
  </si>
  <si>
    <t>Flor Maria Vera Arroyave</t>
  </si>
  <si>
    <t>TF(8)- VM(1)- VN(1)</t>
  </si>
  <si>
    <t xml:space="preserve">Carrera 11 # 51 86, Apartamento 502 Torre 1 Edificio Padua Monteverde </t>
  </si>
  <si>
    <t xml:space="preserve">3003191104 , 3013048996 </t>
  </si>
  <si>
    <t>Jorge Luis Bernal German</t>
  </si>
  <si>
    <t>TF(12)- CBE(30)- CMED(1)- TL(4)- VM(4)- TR(24)- EQU(120)</t>
  </si>
  <si>
    <t xml:space="preserve">Carrera 6 # 21 29 Chuchurubi </t>
  </si>
  <si>
    <t xml:space="preserve">3234617811, 7825087 </t>
  </si>
  <si>
    <t>Antonio Maria Espitia Herrera</t>
  </si>
  <si>
    <t>TF(8)- CBE(30)- CMED(1)- VM(4)- TR(10)- EQU(90)</t>
  </si>
  <si>
    <t xml:space="preserve">Calle 16 # 14b 10 Urbina </t>
  </si>
  <si>
    <t xml:space="preserve">7833517 , 3135713808 </t>
  </si>
  <si>
    <t>Ana Trinidad Avilez Molina</t>
  </si>
  <si>
    <t>TF(9)</t>
  </si>
  <si>
    <t xml:space="preserve">Calle Principal # 1 90, Casa Diagonal A La Iglesia Catolica B/Mocari </t>
  </si>
  <si>
    <t xml:space="preserve">3136735607 , 3135227851 </t>
  </si>
  <si>
    <t>Juan David Pacheco Durango</t>
  </si>
  <si>
    <t>VS(8)</t>
  </si>
  <si>
    <t xml:space="preserve">Calle 49 # 7 75 Villa Del Rio </t>
  </si>
  <si>
    <t>3103972440 , 311686 670</t>
  </si>
  <si>
    <t>Maria Teresa Mendoza Salgado</t>
  </si>
  <si>
    <t>Coomeva Eps S.A.</t>
  </si>
  <si>
    <t>TF(12)- CBE(30)- CMED(1)- TL(12)- VM(4)- TR(24)- VN(1)- EQU(30)</t>
  </si>
  <si>
    <t xml:space="preserve">Calle 61b # 10 11 La Castellana </t>
  </si>
  <si>
    <t xml:space="preserve">3008607247, 7950005 </t>
  </si>
  <si>
    <t>Eliecer Francisco Corena Cordero</t>
  </si>
  <si>
    <t>TF(12)- CBE(30)- CMED(1)- TL(8)- VM(2)- TR(12)- EQU(90)</t>
  </si>
  <si>
    <t xml:space="preserve">Calle 57 # 11a 54 La Castellana </t>
  </si>
  <si>
    <t xml:space="preserve">3107076769 , 3024321075 </t>
  </si>
  <si>
    <t>Ivan Gregorio Fuentes Alvarez</t>
  </si>
  <si>
    <t>CBE(30)- CMED(1)- VM(2)- VN(1)</t>
  </si>
  <si>
    <t>MANZANA R LOTE 22</t>
  </si>
  <si>
    <t>Andres Jose Montes Kerguelen</t>
  </si>
  <si>
    <t>TF(24)- CMED(1)- VM(4)- CBEI(30)- TR(24)- EQU(120)- INS(4)</t>
  </si>
  <si>
    <t xml:space="preserve">Carrera 18 # 27 54 Pasatiempo </t>
  </si>
  <si>
    <t xml:space="preserve">3013683134, 7832652 </t>
  </si>
  <si>
    <t>Danilo Jose Diaz Solera</t>
  </si>
  <si>
    <t>TF(12)- CBE(30)- CMED(1)- TL(8)- VM(4)- TR(12)- EQU(90)</t>
  </si>
  <si>
    <t xml:space="preserve">Carrera 9a # 39 60 Centro </t>
  </si>
  <si>
    <t xml:space="preserve">782 45 72 , 310 681 25 </t>
  </si>
  <si>
    <t>Julio Marino Ochoa Bedoya</t>
  </si>
  <si>
    <t>Positiva Compañia De Seguros S.A</t>
  </si>
  <si>
    <t>TF(12)- CBE(30)- CMED(1)- VM(1)- TR(12)- VN(1)</t>
  </si>
  <si>
    <t xml:space="preserve">Kilómetro Retiro D E Los Indios Estación Burro Quemao Burro Quemao </t>
  </si>
  <si>
    <t xml:space="preserve">3215658388, 7853265, 3148100875 </t>
  </si>
  <si>
    <t>Jorge Ivan Grisales Marin</t>
  </si>
  <si>
    <t>TF(12)- CBE(30)- TL(12)- VM(2)- VS(8)- VN(1)</t>
  </si>
  <si>
    <t xml:space="preserve">Calle 13a # 22b 13 Urbanizacion El Jardin </t>
  </si>
  <si>
    <t xml:space="preserve">3126692779, 7641428 </t>
  </si>
  <si>
    <t>Armando Enrique Jimenez Mass</t>
  </si>
  <si>
    <t>TR(1)- EQU(30)</t>
  </si>
  <si>
    <t>Calle 52 # 14d 35 Monteverde</t>
  </si>
  <si>
    <t xml:space="preserve">3002853959, 7912373, 3008376798 </t>
  </si>
  <si>
    <t>Libardo Francisco Escobar Guevara</t>
  </si>
  <si>
    <t>TF(24)- CBE(28)- CMED(1)- TL(24)- VM(3)- VS(8)</t>
  </si>
  <si>
    <t xml:space="preserve">Transversal 15 # 11 40 Edmundo Lopez </t>
  </si>
  <si>
    <t xml:space="preserve">3104553222 , 3135104195 </t>
  </si>
  <si>
    <t>Elizabeth Raillo De Gonzalez</t>
  </si>
  <si>
    <t>TF(12)- CBE(30)- CMED(1)- TL(12)- VM(2)- TR(4)- EQU(30)</t>
  </si>
  <si>
    <t xml:space="preserve">Carrera 1a # 70 40, Apartamento 1102 Edificio Riovento El Recreo </t>
  </si>
  <si>
    <t>Loriz Kardus Kandalaft</t>
  </si>
  <si>
    <t>Coomeva Medicina Prepagada S A</t>
  </si>
  <si>
    <t>TF(12)- CBE(30)- CMED(1)- TL(8)- VM(4)- TR(12)- EQU(180)</t>
  </si>
  <si>
    <t xml:space="preserve">Calle 10 # 17 21 Santa Teresa </t>
  </si>
  <si>
    <t xml:space="preserve">3003225812 , 3135030967 </t>
  </si>
  <si>
    <t>Omar Puello Fabra</t>
  </si>
  <si>
    <t>CBE(30)- TF(12)- CMED(1)- TL(8)- VM(2)- VS(4)</t>
  </si>
  <si>
    <t xml:space="preserve"> Carrera 8b # 16 43 La Charme  </t>
  </si>
  <si>
    <t>7917927 , 3014800862</t>
  </si>
  <si>
    <t>Samuel David Sanchez Silgado</t>
  </si>
  <si>
    <t>TF(12)- CBE(19)- CMED(1)- TL(8)- VM(4)- TR(12)- VN(1)- EQU(60)</t>
  </si>
  <si>
    <t xml:space="preserve">3164532006, 7917657 </t>
  </si>
  <si>
    <t>Teresa Peñata De Pinzon</t>
  </si>
  <si>
    <t>CMED(1)- VM(1)</t>
  </si>
  <si>
    <t>Calle 32 # 9 61 La Ceiva - Centro</t>
  </si>
  <si>
    <t>Gilma Zoraida Verbel Guzman</t>
  </si>
  <si>
    <t>TF(8)</t>
  </si>
  <si>
    <t>CALLE 26 # 10 04, CASA ESQUINA</t>
  </si>
  <si>
    <t>Matilde Tapia De Orozco</t>
  </si>
  <si>
    <t>CH34(10)- CMED(1)- VM(1)- INS(18)- MED(5)</t>
  </si>
  <si>
    <t xml:space="preserve">Diagonal 12 # 11a 30 Granada </t>
  </si>
  <si>
    <t xml:space="preserve">3104442633, 7863104, 311 673 26 </t>
  </si>
  <si>
    <t>Adriana Del Socorro Almanza Mendoza</t>
  </si>
  <si>
    <t>CH12(11)</t>
  </si>
  <si>
    <t xml:space="preserve">Manzana K Lote 9 El Alivio </t>
  </si>
  <si>
    <t xml:space="preserve">3225117168 , 3008143759 </t>
  </si>
  <si>
    <t>Jorge Enrique Negrete Pelaez</t>
  </si>
  <si>
    <t xml:space="preserve">Manzana 135 Lote 12 La Pradera La Pradera </t>
  </si>
  <si>
    <t>Sofia Baltazar Mestra</t>
  </si>
  <si>
    <t>CMED(1)- TL(8)</t>
  </si>
  <si>
    <t xml:space="preserve">Manzana 25 Lote 1 Rancho Grande </t>
  </si>
  <si>
    <t>Luis Alfonso Morales Martinez</t>
  </si>
  <si>
    <t>CH12(10)- INS(10)- MED(10)</t>
  </si>
  <si>
    <t xml:space="preserve">Manzana 113 Lote 4 Pradera Etapa 8 </t>
  </si>
  <si>
    <t xml:space="preserve">3146053757, 2843502 </t>
  </si>
  <si>
    <t>TF(18)- TL(9)- TR(18)</t>
  </si>
  <si>
    <t xml:space="preserve">Calle 59 # 9b 02 La Castellana </t>
  </si>
  <si>
    <t xml:space="preserve">3008015049 , 3126422830 </t>
  </si>
  <si>
    <t>Eira Marlene Naranjo Hereida</t>
  </si>
  <si>
    <t>CH12(10)</t>
  </si>
  <si>
    <t xml:space="preserve">Diagonal 8 # 2a 29 Pastrana Borrero </t>
  </si>
  <si>
    <t xml:space="preserve">3008542456, 7923320 </t>
  </si>
  <si>
    <t>Socorro Sotomayor De Corena</t>
  </si>
  <si>
    <t>VM(1)- VN(1)</t>
  </si>
  <si>
    <t xml:space="preserve">Carrera 6 # 25 12 Centro </t>
  </si>
  <si>
    <t xml:space="preserve">3013449946 , 3114348726 </t>
  </si>
  <si>
    <t>Librada Padilla Plaza</t>
  </si>
  <si>
    <t>VM(1)</t>
  </si>
  <si>
    <t>DIAGONAL 10 # 10 49</t>
  </si>
  <si>
    <t>Alfredo Elias Cordero Gonzalez</t>
  </si>
  <si>
    <t>APMO(6)- VM(2)</t>
  </si>
  <si>
    <t>CARRERA 12 # 54 35</t>
  </si>
  <si>
    <t>INS(2)</t>
  </si>
  <si>
    <t>CARRERA 9A # 39 60</t>
  </si>
  <si>
    <t>782 45 72</t>
  </si>
  <si>
    <t>MARIA CORINA</t>
  </si>
  <si>
    <t>LLORENTE DE PALOMO</t>
  </si>
  <si>
    <t xml:space="preserve">CORREGIMIENTO SAN NICOLAS DE BARY - LORICA </t>
  </si>
  <si>
    <t>3162798066-7537846</t>
  </si>
  <si>
    <t xml:space="preserve">ANA MILENA ANAYA </t>
  </si>
  <si>
    <t>KELLY REYES</t>
  </si>
  <si>
    <t xml:space="preserve">JORGE DAVID </t>
  </si>
  <si>
    <t>HERRERA PADILLA</t>
  </si>
  <si>
    <t xml:space="preserve">B/VILLA CLARA , SAN BERNARDO </t>
  </si>
  <si>
    <t>IVONNE MERCADO</t>
  </si>
  <si>
    <t xml:space="preserve">ANGELY DEL CARMEN </t>
  </si>
  <si>
    <t>ARGEL TORRES</t>
  </si>
  <si>
    <t xml:space="preserve">CORREGIMIENTO BERASTEGUI </t>
  </si>
  <si>
    <t>PSICOLOGIA</t>
  </si>
  <si>
    <t>SOL ANYELA</t>
  </si>
  <si>
    <t>SILVIA ROSA</t>
  </si>
  <si>
    <t>MARTINEZ MOGOLLON</t>
  </si>
  <si>
    <t>BUENAS AIRES, PURISIMA</t>
  </si>
  <si>
    <t>SE REALIZO EVALUACION DEL PACIENTE Y ENVIOPOR CORREO LA INFORMACION DE LA CONDICION DE LA PACIENTE, QUEDAMOS PENDIENTES DE LA RESPUESTA.</t>
  </si>
  <si>
    <t xml:space="preserve">IRENE MARIA </t>
  </si>
  <si>
    <t>ABDALA MARTINEZ</t>
  </si>
  <si>
    <t>CERETE, MATEO GOMEZ KR 29-26</t>
  </si>
  <si>
    <t>ZOILA MARGARITA</t>
  </si>
  <si>
    <t>HOYOS SOLER</t>
  </si>
  <si>
    <t>ALBA MARINA</t>
  </si>
  <si>
    <t>HERNANDEZ PERNETT</t>
  </si>
  <si>
    <t xml:space="preserve">B/EL RETIRO CLL 7 CR 9 </t>
  </si>
  <si>
    <t xml:space="preserve">B/ 6 DE MARZO CLL 6 -18 </t>
  </si>
  <si>
    <t xml:space="preserve">B/LA GRANJA D/GNAL 4 #6-84 </t>
  </si>
  <si>
    <t xml:space="preserve"> B/EL EDEN CLLE 33 #5-53</t>
  </si>
  <si>
    <t xml:space="preserve">B/SAN JOSE CLL 34 #21-14 </t>
  </si>
  <si>
    <t xml:space="preserve">LUIS ALBERTO </t>
  </si>
  <si>
    <t>BULA SALAZAR</t>
  </si>
  <si>
    <t>B/LA GRANJA DGNAL 22 4-45</t>
  </si>
  <si>
    <t>B/EL MOGANBO MZ. 11 LOTE 04</t>
  </si>
  <si>
    <t>CARMEN MARIA</t>
  </si>
  <si>
    <t>ENAMORADO VERTEL</t>
  </si>
  <si>
    <t>B/LOS NOGALES  MZ L LOTE 8</t>
  </si>
  <si>
    <t>3145847837-3207061617</t>
  </si>
  <si>
    <t>3XSEMX6M</t>
  </si>
  <si>
    <t>SPATH ASAD</t>
  </si>
  <si>
    <t xml:space="preserve">URB. LOS MONGOS CASA 18 </t>
  </si>
  <si>
    <t xml:space="preserve">FRANCISCO ANTONIO </t>
  </si>
  <si>
    <t>NARVAEZ SOTO</t>
  </si>
  <si>
    <t>B/LA ESPERANZA</t>
  </si>
  <si>
    <t>09/072018</t>
  </si>
  <si>
    <t>NAYIBIS DEL CARMEN</t>
  </si>
  <si>
    <t xml:space="preserve">PINTO PACHECO </t>
  </si>
  <si>
    <t xml:space="preserve">SAN BERNARDO </t>
  </si>
  <si>
    <t>RONAL DAVID</t>
  </si>
  <si>
    <t>BALLESTEROS VASQUEZ</t>
  </si>
  <si>
    <t>B/NUEVA ESP. MZ. 21 LOTE 25</t>
  </si>
  <si>
    <t>24SXMESX4M</t>
  </si>
  <si>
    <t xml:space="preserve">ROGER </t>
  </si>
  <si>
    <t xml:space="preserve">CUAVAS MERCADO </t>
  </si>
  <si>
    <t>MOMIL B/SAN FRANCISCO</t>
  </si>
  <si>
    <t>3SSXSEMX3M</t>
  </si>
  <si>
    <t>NEBIS MARIA</t>
  </si>
  <si>
    <t xml:space="preserve">BANDA ALMANZA </t>
  </si>
  <si>
    <t xml:space="preserve">B/EL DORADO CALLE 24 #13-35 </t>
  </si>
  <si>
    <t>3012202456-3117101792</t>
  </si>
  <si>
    <t>C/8X4DIAS</t>
  </si>
  <si>
    <t xml:space="preserve">ISMAEL SEGUNDO </t>
  </si>
  <si>
    <t xml:space="preserve">ACOSTA SURMAY </t>
  </si>
  <si>
    <t>B/EL PORVENIR 3 MZ C LOTE 20</t>
  </si>
  <si>
    <t>15XMESX3MESES</t>
  </si>
  <si>
    <t>CAROLINA BARCO</t>
  </si>
  <si>
    <t xml:space="preserve">GLORIA STELLA </t>
  </si>
  <si>
    <t>MARTINEZ MEDRANO</t>
  </si>
  <si>
    <t>BUENAVISTA B/LOS ALMENDROS</t>
  </si>
  <si>
    <t>2XDIAX30DIAS</t>
  </si>
  <si>
    <t xml:space="preserve">SOFAIDA </t>
  </si>
  <si>
    <t>BAUTISTA MARTINEZ</t>
  </si>
  <si>
    <t>SAN BERNARDO DEL V. B/ALFONSO LOPEZ</t>
  </si>
  <si>
    <t>3225177744-3106653869</t>
  </si>
  <si>
    <t xml:space="preserve">LENIS DEL CARMEN </t>
  </si>
  <si>
    <t>HERNANDEZ LONDOÑO</t>
  </si>
  <si>
    <t>MUTUALSER</t>
  </si>
  <si>
    <t>3216638459-3126130993</t>
  </si>
  <si>
    <t>TFX2MESES</t>
  </si>
  <si>
    <t xml:space="preserve">EUGENIA VICTORIA </t>
  </si>
  <si>
    <t xml:space="preserve">SANCHEZ BUELVAS </t>
  </si>
  <si>
    <t xml:space="preserve">JOSE DAVID </t>
  </si>
  <si>
    <t>ORTEGA PACHECO</t>
  </si>
  <si>
    <t>ELVIRA ROMERO+ SOL ANYELA</t>
  </si>
  <si>
    <t>TF+PSICOLOGIA</t>
  </si>
  <si>
    <t xml:space="preserve">JAVIER ARMANDO </t>
  </si>
  <si>
    <t>RAMOS YANES</t>
  </si>
  <si>
    <t xml:space="preserve">CENTRO CALLE 25 CRA 2 #22-27 </t>
  </si>
  <si>
    <t>3213983520-3114212587</t>
  </si>
  <si>
    <t>C/8X5DIAS</t>
  </si>
  <si>
    <t>GABRIELA LUCIA</t>
  </si>
  <si>
    <t>FLOREZ GALLO</t>
  </si>
  <si>
    <t>B/2 DE SEPTIEMBRE</t>
  </si>
  <si>
    <t>3107332060-3128697793</t>
  </si>
  <si>
    <t>VISITA POR PSICOLOGIA</t>
  </si>
  <si>
    <t>CONTACTO CORREO</t>
  </si>
  <si>
    <t xml:space="preserve">JAIDER </t>
  </si>
  <si>
    <t>ANAYA ANAYA</t>
  </si>
  <si>
    <t>MENDOZA AVILA</t>
  </si>
  <si>
    <t xml:space="preserve">B/CANTA CLARO  SECTOR NIPIC MZ. 143 LOTE 12 </t>
  </si>
  <si>
    <t>3206311513-3168430045</t>
  </si>
  <si>
    <t>PENDIENTE ENVIO DE NEBULIZADOR</t>
  </si>
  <si>
    <t xml:space="preserve">XAVIER </t>
  </si>
  <si>
    <t>MACEA</t>
  </si>
  <si>
    <t>TF,TO</t>
  </si>
  <si>
    <t xml:space="preserve">NARA ABUABARA, MONICA MENDOZA </t>
  </si>
  <si>
    <t>DEBEMOS PRESTAR EL SERVICIO DE TO. CONFIRMAR CON MONICA LA POSIBILIDAD DE ATENDERLO POR MEDIO DE PLAN CASERO CO UNA VISITA SEAMANAL</t>
  </si>
  <si>
    <t xml:space="preserve">MEJORAR </t>
  </si>
  <si>
    <t>30X3MESES</t>
  </si>
  <si>
    <t>ENVIO DE AUTORIZACION POR CORREO. UNA VEZ DEFINIDA LA TARIFA Y CONFIRMACION DE DISTANCIA INGRESARLO A TRAZAB.</t>
  </si>
  <si>
    <t xml:space="preserve">ROBERT DE JESUS </t>
  </si>
  <si>
    <t>GALVAN PETRO</t>
  </si>
  <si>
    <t>CERETE CL 9 A CRA 26 B/ 24 DEMAYO</t>
  </si>
  <si>
    <t>YARIS MARCELA</t>
  </si>
  <si>
    <t>GARCES NUÑEZ</t>
  </si>
  <si>
    <t>RC</t>
  </si>
  <si>
    <t xml:space="preserve">SAN BERNARDO / CAÑO GRANDE </t>
  </si>
  <si>
    <t>3122925921-3122121580</t>
  </si>
  <si>
    <t>ANA LUCIA</t>
  </si>
  <si>
    <t>MARTINEZ PEREZ</t>
  </si>
  <si>
    <t>PEDRO PABLO</t>
  </si>
  <si>
    <t>GALEANO ALEMAN</t>
  </si>
  <si>
    <t>(via correo electronico)</t>
  </si>
  <si>
    <t>NO</t>
  </si>
  <si>
    <t>SOLO SE PRESTARA EL SERVICIO DE FT.  A TRAVES DE  UN PLAN CASE EN DONDE LA PROFESIONAL ASISTIRA UNA VEZ POR SEMANA.</t>
  </si>
  <si>
    <t>ROSA</t>
  </si>
  <si>
    <t xml:space="preserve"> CALLEJAS SOLANO </t>
  </si>
  <si>
    <t>B/CANTACLARO SECTOR LA ISLA MZ 128 LT 11</t>
  </si>
  <si>
    <t>DORMELINA ROSA</t>
  </si>
  <si>
    <t>MARIA MARCEGOBIA</t>
  </si>
  <si>
    <t>PEREZ NISPERUZA</t>
  </si>
  <si>
    <t xml:space="preserve">QUINTINA MARIA </t>
  </si>
  <si>
    <t xml:space="preserve">HERNANDEZ LEON </t>
  </si>
  <si>
    <t>C/8H X  7 DIAS</t>
  </si>
  <si>
    <t>ENTREGA DE EVIDENCIAS</t>
  </si>
  <si>
    <t>RECIBIDA EVIDENCIAS  TR 60, TF 30, 15/06/2018 AL 14/07/2018</t>
  </si>
  <si>
    <t xml:space="preserve"> MIGUEL ALBERTO </t>
  </si>
  <si>
    <t>YANES ALEMAN</t>
  </si>
  <si>
    <t xml:space="preserve">JACINTO MANUEL </t>
  </si>
  <si>
    <t>TORDECILLA PAYARES</t>
  </si>
  <si>
    <t xml:space="preserve">B/VILLA CIELO MZ 47 LT 13 </t>
  </si>
  <si>
    <t>MARCELA MARIA</t>
  </si>
  <si>
    <t>AMELIA SOFIA</t>
  </si>
  <si>
    <t>PEREIRA DE TATIS</t>
  </si>
  <si>
    <t>B/GRANJA DG 22 # 3-24</t>
  </si>
  <si>
    <t>JAIME PETRO</t>
  </si>
  <si>
    <t>20 TF, TR C/8, 4 TO, 20 FONO, 1 PSICO</t>
  </si>
  <si>
    <t xml:space="preserve">SALOME </t>
  </si>
  <si>
    <t>SALGADO</t>
  </si>
  <si>
    <t>TF 60 - TR 60</t>
  </si>
  <si>
    <t>TF-TR</t>
  </si>
  <si>
    <t>DEFINIR CONTINUIDAD</t>
  </si>
  <si>
    <t>CESAR</t>
  </si>
  <si>
    <t>YANES GARCIA</t>
  </si>
  <si>
    <t>B/LA GLORIA TORRE 31 APTO 102</t>
  </si>
  <si>
    <r>
      <t xml:space="preserve">PENDIENTE </t>
    </r>
    <r>
      <rPr>
        <b/>
        <sz val="11"/>
        <color theme="1"/>
        <rFont val="Calibri"/>
        <family val="2"/>
        <scheme val="minor"/>
      </rPr>
      <t>44</t>
    </r>
  </si>
  <si>
    <t>LOPEZ LUGO</t>
  </si>
  <si>
    <t>B/LOS RECUERDOS MZ I  BLOQUE 4 APTO103</t>
  </si>
  <si>
    <r>
      <t xml:space="preserve">PENDIENTE </t>
    </r>
    <r>
      <rPr>
        <b/>
        <sz val="11"/>
        <color theme="1"/>
        <rFont val="Calibri"/>
        <family val="2"/>
        <scheme val="minor"/>
      </rPr>
      <t>15</t>
    </r>
  </si>
  <si>
    <t xml:space="preserve">VICTOR </t>
  </si>
  <si>
    <t>ALVARO ENRIQUE</t>
  </si>
  <si>
    <t xml:space="preserve"> SALGADO RUBIO</t>
  </si>
  <si>
    <t>TF 30 - TR 180</t>
  </si>
  <si>
    <t>TR C/4H - TF 1</t>
  </si>
  <si>
    <t xml:space="preserve">PASA A CONDICION DE PERMANENTE. </t>
  </si>
  <si>
    <t>JUAN GUILLERMO</t>
  </si>
  <si>
    <t>ROMERO CORENA</t>
  </si>
  <si>
    <t>PUERTO LIBERTADOR</t>
  </si>
  <si>
    <t>DENNIS</t>
  </si>
  <si>
    <t>ANAYA</t>
  </si>
  <si>
    <t xml:space="preserve">EMILIO JOSE </t>
  </si>
  <si>
    <t xml:space="preserve">CHAVEZ MEJIA </t>
  </si>
  <si>
    <t>TR 60 - TF 60</t>
  </si>
  <si>
    <t>30 DIAS</t>
  </si>
  <si>
    <t>PEDIR ORDEN JEFE CARMEN</t>
  </si>
  <si>
    <t>SOPORTE RECIBIDO TF 60-TR 60 14/06/2018 AL 13/07/2018</t>
  </si>
  <si>
    <t>via email y whatsapp</t>
  </si>
  <si>
    <t>GRISELVINA</t>
  </si>
  <si>
    <t>PEDROZA PERALTA</t>
  </si>
  <si>
    <t>TF 30 - TL 30</t>
  </si>
  <si>
    <t>TF - FONO</t>
  </si>
  <si>
    <t>recibi soportes TF 20ss 21/06/2018 al 10/07/2018</t>
  </si>
  <si>
    <t xml:space="preserve">ROBERTO MANUEL </t>
  </si>
  <si>
    <t>FUENTES</t>
  </si>
  <si>
    <t xml:space="preserve">PLANETA RICA </t>
  </si>
  <si>
    <t xml:space="preserve">YULEIDIS </t>
  </si>
  <si>
    <t>PADILLA MARTINEZ</t>
  </si>
  <si>
    <t>B/CANDELARIA CLLE 2 A # 28 A - 25</t>
  </si>
  <si>
    <t>SOFIA JERONIMA</t>
  </si>
  <si>
    <t>VIDAL TORRES</t>
  </si>
  <si>
    <t>B/VILLA ANA</t>
  </si>
  <si>
    <t>CALLE 20 CRA 15 B/BRISALIA PLANETA RICA</t>
  </si>
  <si>
    <t>HASTA EL 30  DE AGOSTO</t>
  </si>
  <si>
    <t xml:space="preserve">MARIA ANDREA </t>
  </si>
  <si>
    <t xml:space="preserve">LEGUIZAMON </t>
  </si>
  <si>
    <t>B/LA FLORESTA</t>
  </si>
  <si>
    <t xml:space="preserve">ALBA NICOLASA </t>
  </si>
  <si>
    <t>VALVERDE BURGOS</t>
  </si>
  <si>
    <t>B/PASATIEMPO</t>
  </si>
  <si>
    <t xml:space="preserve">REBECA CECILIA </t>
  </si>
  <si>
    <t>TORRES REYES</t>
  </si>
  <si>
    <t xml:space="preserve">12 TF, TR 12 </t>
  </si>
  <si>
    <t>HASTA EL 08 DE NOVIEMBRE</t>
  </si>
  <si>
    <t>KELLY URANGO IPS</t>
  </si>
  <si>
    <t>29 ss pendientes</t>
  </si>
  <si>
    <t xml:space="preserve">PAOLA </t>
  </si>
  <si>
    <t>HERNANDEZ</t>
  </si>
  <si>
    <t>B/ VILLA SORRENTO</t>
  </si>
  <si>
    <t xml:space="preserve">YARA </t>
  </si>
  <si>
    <t>BARRIENTOS VALVERDE</t>
  </si>
  <si>
    <t>B/SANTA FE MZ12 LT 9</t>
  </si>
  <si>
    <t>35 SS PENDIENTES</t>
  </si>
  <si>
    <t>FRECUENCIA TTO</t>
  </si>
  <si>
    <t>B/EL AMPARO CRA 3 A W #22-35</t>
  </si>
  <si>
    <t>LUIS FERNANDO</t>
  </si>
  <si>
    <t>LOPEZ ARTEAGA</t>
  </si>
  <si>
    <t>B/SANTA ELENA 29A #40-74</t>
  </si>
  <si>
    <t>30 SS X MES</t>
  </si>
  <si>
    <t>ANDRES GUILLERMO</t>
  </si>
  <si>
    <t>THERAN PETRO</t>
  </si>
  <si>
    <t>KM 23 VIA PLANETA RICA</t>
  </si>
  <si>
    <t>DANIEL DARIO</t>
  </si>
  <si>
    <t>PEREZ DE LA ROSA</t>
  </si>
  <si>
    <t>B/SANTA LUCIA TV 2 A #26-65</t>
  </si>
  <si>
    <t>SE INICIA DESPUES DE SU RECEPCIÓN DEBIDO A QUE TIENE 6 SS PENDIENTES DE LA ORDEN ANTERIOR</t>
  </si>
  <si>
    <t>60 TF, 4 TO, 4 FONO</t>
  </si>
  <si>
    <t>OLGA TOMASA</t>
  </si>
  <si>
    <t>ARRIETA DE LLORENTE</t>
  </si>
  <si>
    <t>KELLY DURANGO</t>
  </si>
  <si>
    <t>RECIBI SOPORTES DE TR 60-TF30 16/06/2018 AL 15/07/2018 CLAUDIA ROMAN</t>
  </si>
  <si>
    <t>RECIBI SOPORTES DE TF 20 15/06/2018 AL 14/07/2018 CLAUDIA ROMAN</t>
  </si>
  <si>
    <t xml:space="preserve">AURELIANO </t>
  </si>
  <si>
    <t>ORTIZ PEREZ</t>
  </si>
  <si>
    <t>VEREDA EL POBLADO PUEBLO NUEVO</t>
  </si>
  <si>
    <t>CRA 13 W #27-45 B/EL DORADO</t>
  </si>
  <si>
    <t>3145240242 NEDYS</t>
  </si>
  <si>
    <t>PATRICIA DIAZ</t>
  </si>
  <si>
    <t>paquete para agosto</t>
  </si>
  <si>
    <t xml:space="preserve">Recibi soportes TF TR </t>
  </si>
  <si>
    <t xml:space="preserve">JUAN ANTONIO </t>
  </si>
  <si>
    <t>VEGA DORIA</t>
  </si>
  <si>
    <t>3126113159-3122955080</t>
  </si>
  <si>
    <t>ELKIN DARIO</t>
  </si>
  <si>
    <t>ORTEGA OVIEDO</t>
  </si>
  <si>
    <t>ENEIDA ROSA</t>
  </si>
  <si>
    <t>LOPEZ PETRO</t>
  </si>
  <si>
    <t>LORICA  B/ESMERALDA</t>
  </si>
  <si>
    <t>Whatsapp</t>
  </si>
  <si>
    <t>whatsapp</t>
  </si>
  <si>
    <t>NO SE INICIA ANTES DEBIDO A QUE EL PACIENTE SE ENCUENTRA EN MONTERIA Y REGRESA HASTA EL 25/07/2018</t>
  </si>
  <si>
    <t>COTORRA CALLE DE LA REGISTRADURIA</t>
  </si>
  <si>
    <t xml:space="preserve">DONALDO ENRIQUE </t>
  </si>
  <si>
    <t>HOYOS ROMERO</t>
  </si>
  <si>
    <t>B/LA PRADERA MZ 146 LT 14</t>
  </si>
  <si>
    <t>BIAVELSIS VIDAL, CRISTINA GARAVITO</t>
  </si>
  <si>
    <t xml:space="preserve">LA FONOAUDIOLOGA REPOSTA QUE EL PACIENTE SE ENCUIENTRA EN REGULARES CONDICIONES, CON BAJA SAT </t>
  </si>
  <si>
    <t>FALLECIÓ 18/07/2018 INFORMA LA JEFE KELLY</t>
  </si>
  <si>
    <t>MARCELO</t>
  </si>
  <si>
    <t>ROMERO BUELVAS</t>
  </si>
  <si>
    <t>PLANETA RICA B/LAURELES CLL 18 #4-40</t>
  </si>
  <si>
    <t>3102850208-3114187395</t>
  </si>
  <si>
    <t>FALTA CONFIRMAR SI CONSIGUE LOS PROFESIONALES</t>
  </si>
  <si>
    <r>
      <t xml:space="preserve">PENDIENTE PAQUTE </t>
    </r>
    <r>
      <rPr>
        <b/>
        <sz val="11"/>
        <color theme="1"/>
        <rFont val="Calibri"/>
        <family val="2"/>
        <scheme val="minor"/>
      </rPr>
      <t xml:space="preserve">NUEVO </t>
    </r>
    <r>
      <rPr>
        <sz val="11"/>
        <color theme="1"/>
        <rFont val="Calibri"/>
        <family val="2"/>
        <scheme val="minor"/>
      </rPr>
      <t>45 SS 15 AL MES X 3 MESES TF Y TO</t>
    </r>
  </si>
  <si>
    <t>TR, FONO 20</t>
  </si>
  <si>
    <t>3116691187 (NANCY HRNA) 7641600-3114017147</t>
  </si>
  <si>
    <t>MARIA NELCY</t>
  </si>
  <si>
    <t>SANCHEZ VEGA</t>
  </si>
  <si>
    <t>CERETE CRA 10 #9A-28 B/SAN PEDRO</t>
  </si>
  <si>
    <t>MARIA BERTHEL</t>
  </si>
  <si>
    <t>3107075188 (amparo ramirez)</t>
  </si>
  <si>
    <t>3016099592-3012168910</t>
  </si>
  <si>
    <t>3053954181 (NELLY HIJA)-3127560678</t>
  </si>
  <si>
    <t xml:space="preserve">3184374454 HIJO ERIBERTO </t>
  </si>
  <si>
    <t xml:space="preserve">3045741119 HERMANA MARY </t>
  </si>
  <si>
    <t>3012237430-3106269874- ZULEIMA 3234210232</t>
  </si>
  <si>
    <t>3126400521-3233560011             (HIJA DINA LUZ-       SRA INES)</t>
  </si>
  <si>
    <t>3206873139 (CINDY MAMA)</t>
  </si>
  <si>
    <t>3105116392                 (elina lopez)-3508909991</t>
  </si>
  <si>
    <t>3104648678 (HIJA AMANDA)</t>
  </si>
  <si>
    <t>3015813583 DAYANA NIETA</t>
  </si>
  <si>
    <t>3106026392-3128649046</t>
  </si>
  <si>
    <t>3122711252 CECILIA (HIJA)</t>
  </si>
  <si>
    <t>3017590622 (JUAN MANUEL HIJO) 3008404120 (MARTHA ESPOSA)</t>
  </si>
  <si>
    <t>Recibí soportes de TL 20 ss, TR 89, del 19/06/2018 al 16/07/2018 tiby ----- DANIELA</t>
  </si>
  <si>
    <t>RECIBI SOPORTES TL 30,  15/06/2018 al 14/07/2018 tiby-----</t>
  </si>
  <si>
    <t>RECIBI SOPORTES TR 12, DEL 25/06/2018 AL 19/07/2018 SANDRA ESCAÑO</t>
  </si>
  <si>
    <t>3106622191-3152573305</t>
  </si>
  <si>
    <t>3045202887 HIJO ADELSON</t>
  </si>
  <si>
    <t>3145729298-3218195872</t>
  </si>
  <si>
    <t>3136352228 (LEIDYS HIJA)</t>
  </si>
  <si>
    <t>3207970830 ANA CAMILA HERMANA</t>
  </si>
  <si>
    <t>ALICIA DEL CARMEN</t>
  </si>
  <si>
    <t>TORRES RAMOS</t>
  </si>
  <si>
    <t>B/LA VICTORIA SAN BDO</t>
  </si>
  <si>
    <t xml:space="preserve">MUTUAL SER </t>
  </si>
  <si>
    <t>VIA MAIL</t>
  </si>
  <si>
    <t>B/SAN FRANCISCO SAN BDO</t>
  </si>
  <si>
    <t>90.</t>
  </si>
  <si>
    <t>OSIRIS FABIOLA</t>
  </si>
  <si>
    <t>GOEZ</t>
  </si>
  <si>
    <t>MONTELIBANO, MUCHAS AGUAS CRA 12-26</t>
  </si>
  <si>
    <t>3233247222-3233199741</t>
  </si>
  <si>
    <t>MIRNA ROCIO</t>
  </si>
  <si>
    <t>RICARDO DE AYAZO</t>
  </si>
  <si>
    <t>CLL 18 #5-12 PLANETA RICA</t>
  </si>
  <si>
    <t>SAN BERNARDO</t>
  </si>
  <si>
    <t>PURISIMA</t>
  </si>
  <si>
    <t>MOÑITOS</t>
  </si>
  <si>
    <t>NOEL  ALARCON</t>
  </si>
  <si>
    <t>3215487441 - 3146182306</t>
  </si>
  <si>
    <t xml:space="preserve">B/SANTA ELENA 1 MZ. Q LT 6 </t>
  </si>
  <si>
    <t xml:space="preserve">ANDRES DAVID </t>
  </si>
  <si>
    <t>VITAR MESTRA</t>
  </si>
  <si>
    <t xml:space="preserve">B/LA VID MZ A LT 37 </t>
  </si>
  <si>
    <t>3125377499-3126333172</t>
  </si>
  <si>
    <t>C/6H X 5 DIAS</t>
  </si>
  <si>
    <t>FI 23/07/2018</t>
  </si>
  <si>
    <t>TS</t>
  </si>
  <si>
    <t>AURA DE LA ESPRIELLA, NOEL ALARCON, MARIA BERTHEL Y SOL ANYEL</t>
  </si>
  <si>
    <t>BUENAVISTA</t>
  </si>
  <si>
    <t>COTORRA</t>
  </si>
  <si>
    <t>ZOILA MARIA</t>
  </si>
  <si>
    <t>MARTINEZ DE PETRO</t>
  </si>
  <si>
    <t>B/VENUS  CLL 13 B # 20-23</t>
  </si>
  <si>
    <t>TR 2 X DIA</t>
  </si>
  <si>
    <t>C/12 X 15 DIAS</t>
  </si>
  <si>
    <t>continuan orden jefe carmen</t>
  </si>
  <si>
    <t>LUIS MARIO</t>
  </si>
  <si>
    <t>SANCHEZ CAUSIL</t>
  </si>
  <si>
    <t>B/OSPINA PEREZ CRA 9 A # 34-18</t>
  </si>
  <si>
    <t>RECIBI SOPORTES DE TF30 23/06/2018 AL 23/08/2018 CLAUDIA ROMAN</t>
  </si>
  <si>
    <t>RECIBI SOPORTES DE TF  12 Y TR 60 del 20/06/2018 al 19/07/2018 AURA DE LA ESPRIELLA</t>
  </si>
  <si>
    <t>RECIBI SOPORTES TF 10  DEL 03/07/2018 AL 23/07/2018  IVONNE MERCADO</t>
  </si>
  <si>
    <t>CON CORTE MENSUAL TF 30                                    RECIBI SOPORTES TF 24  DEL 01/06/2018 AL 30/06/2018 IVONNE MERCADO</t>
  </si>
  <si>
    <t xml:space="preserve">FI 18/07/2018 </t>
  </si>
  <si>
    <t xml:space="preserve">calle 15 a # 12-45 b/centro cerca de promosalud 3137300060 - 3116880567 </t>
  </si>
  <si>
    <t>RECIBI SOPORTES DE FONO 12 del 21/06/2018 al 18/07/2018 AURA DE LA ESPRIELLA</t>
  </si>
  <si>
    <t>PENDIENTE OTRA ORDEN  DE TF 20 … TL 20</t>
  </si>
  <si>
    <t>falleció</t>
  </si>
  <si>
    <t xml:space="preserve">JOSE JOAQUIN </t>
  </si>
  <si>
    <t>YANEZ GUILLIN</t>
  </si>
  <si>
    <t>SALUD TOTAL</t>
  </si>
  <si>
    <t>CORREGIMIENTO DE MARTINEZ</t>
  </si>
  <si>
    <t>queja</t>
  </si>
  <si>
    <t>ANGELA</t>
  </si>
  <si>
    <t>ROJAS DE VILLALOBOS</t>
  </si>
  <si>
    <t>B/LA GRANJA TV 03 #15-32 4 VIENTOS</t>
  </si>
  <si>
    <t xml:space="preserve">C/12 H X 15 DIAS </t>
  </si>
  <si>
    <t>JESSICA RIVERA</t>
  </si>
  <si>
    <t>TR12,TF12, FONO12</t>
  </si>
  <si>
    <t xml:space="preserve">TF - TR - FONO - </t>
  </si>
  <si>
    <t>Pendiente Orden de 30 fisicas y 30 respiratorias con FI 01/08/2018</t>
  </si>
  <si>
    <r>
      <t xml:space="preserve">16 TF, TL 16, TO 16, </t>
    </r>
    <r>
      <rPr>
        <b/>
        <sz val="11"/>
        <color theme="1"/>
        <rFont val="Calibri"/>
        <family val="2"/>
        <scheme val="minor"/>
      </rPr>
      <t>TS 10 Q ESTABAN PENDIENTES</t>
    </r>
  </si>
  <si>
    <t xml:space="preserve">autorizacion previa  ----- </t>
  </si>
  <si>
    <r>
      <rPr>
        <b/>
        <i/>
        <sz val="11"/>
        <color theme="1"/>
        <rFont val="Calibri"/>
        <family val="2"/>
        <scheme val="minor"/>
      </rPr>
      <t xml:space="preserve">$20,000 </t>
    </r>
    <r>
      <rPr>
        <sz val="11"/>
        <color theme="1"/>
        <rFont val="Calibri"/>
        <family val="2"/>
        <scheme val="minor"/>
      </rPr>
      <t>DEFINIr LA TARIFA PARA LOS PROFESIONALES.  PPALMENTE FONO Y TO. Y CON LA FT.  SI EL CAMBIO SE DA EN LA RUTA. O TARIFA ESPECIA EXTRA. LAS EVOL. SE ENTREGAN DE FORMA ESCRITA Y TIENE PENDIENTE A PARTIR DEL 16 DE JULIO LA VISITA POR PARTE DE SIAU PARA GARANTIZAR</t>
    </r>
  </si>
  <si>
    <t>DILAN JAVIER</t>
  </si>
  <si>
    <t>VERGARA DIAZ</t>
  </si>
  <si>
    <t>TRES PALMAS - VIA TIERRALTA</t>
  </si>
  <si>
    <t>TL</t>
  </si>
  <si>
    <t>12 SS X 3 MESES</t>
  </si>
  <si>
    <t>BERASTEGUI</t>
  </si>
  <si>
    <t>YANETH DEL CARMEN</t>
  </si>
  <si>
    <t>ROMERO GUERRERO</t>
  </si>
  <si>
    <t>TR 20, TF 20</t>
  </si>
  <si>
    <t xml:space="preserve">JAMER </t>
  </si>
  <si>
    <t>LUGO PAEZ</t>
  </si>
  <si>
    <t>TF 20 - TR 20</t>
  </si>
  <si>
    <t>FONO Y TO</t>
  </si>
  <si>
    <t>PENDIENTE OTRA ORDEN AL FINALIZAR LA ANTERIOPR - REVISAR CARPETA TF 30 - TR 30 - FONO 30</t>
  </si>
  <si>
    <t>JENNIFER MARTINEZ</t>
  </si>
  <si>
    <t>3 X SEMANA</t>
  </si>
  <si>
    <t>6 liseth</t>
  </si>
  <si>
    <t>10 cristina</t>
  </si>
  <si>
    <t>DIRECCIÓN</t>
  </si>
  <si>
    <t>CALLE 15  #26-20 B/SAN PEDRO</t>
  </si>
  <si>
    <t>JORGE IVAN</t>
  </si>
  <si>
    <t>GRISALES MARIN</t>
  </si>
  <si>
    <t>CERETE, CLLE 13 A #22 B 13 B/EL JARDIN</t>
  </si>
  <si>
    <t>3126692779-7743917</t>
  </si>
  <si>
    <t>paquete nuevo tf 12 - paquete por 30 dias especifico</t>
  </si>
  <si>
    <t>paquete nuevo fono 20 - paquete por 30 dias especifico</t>
  </si>
  <si>
    <t>LINA MARCELA</t>
  </si>
  <si>
    <t>TAMARA ORTIZ</t>
  </si>
  <si>
    <t>L-V</t>
  </si>
  <si>
    <t xml:space="preserve">POR ORDEN DE BRIANA EL DIA 27/07/2018, QUIEN INFORMA Q LA PACIENTE ES PERMANENTE Y DEBEN CONTINUAR LAS SESIONES </t>
  </si>
  <si>
    <t>AMELIA EUGENIA</t>
  </si>
  <si>
    <t>MILANES DE LUJAN</t>
  </si>
  <si>
    <t>URB. MA ANGELICA, CALLE 9 #7A-60 (TORRES  DEL CEMENTERIO)</t>
  </si>
  <si>
    <t>3205840465-3007565277</t>
  </si>
  <si>
    <t>FAMILIAR SOLICITA 6 SS X SEMANA</t>
  </si>
  <si>
    <t>CALLE 24 CRA 5 A No. 24 -18 B/san Martin</t>
  </si>
  <si>
    <t>calle 21 No. 11-79 B/centro</t>
  </si>
  <si>
    <t>20ss</t>
  </si>
  <si>
    <t>12ss</t>
  </si>
  <si>
    <t>CERCA AL HOSPITAL</t>
  </si>
  <si>
    <t>GARCIA BRAVO</t>
  </si>
  <si>
    <t>entregados  Dra Hirela PARA INICIAR EL 30/07/2018</t>
  </si>
  <si>
    <t>JUNIO</t>
  </si>
  <si>
    <t xml:space="preserve">LUIS ENRIQUE </t>
  </si>
  <si>
    <t>MARTINEZ URANGO</t>
  </si>
  <si>
    <t>B/VILLA ELIA; SAN ANDRES SOTV.</t>
  </si>
  <si>
    <t>ZULEIMA GOMEZ</t>
  </si>
  <si>
    <t>MAIDA LUCIA</t>
  </si>
  <si>
    <t>40X2M JULIETH</t>
  </si>
  <si>
    <t>SAN ANDRES DE SOTAVENTO</t>
  </si>
  <si>
    <t>ANGULO LOPEZ</t>
  </si>
  <si>
    <t>pendiente paquete evento tf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</si>
</sst>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\ #,##0;[Red]\-&quot;$&quot;\ #,##0"/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Verdana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7ECF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7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3" borderId="1" xfId="0" applyFill="1" applyBorder="1" applyAlignment="1">
      <alignment horizontal="center"/>
    </xf>
    <xf numFmtId="0" fontId="0" fillId="0" borderId="0" xfId="0" applyFill="1" applyBorder="1"/>
    <xf numFmtId="0" fontId="0" fillId="0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 indent="1"/>
    </xf>
    <xf numFmtId="3" fontId="7" fillId="13" borderId="1" xfId="0" applyNumberFormat="1" applyFont="1" applyFill="1" applyBorder="1" applyAlignment="1">
      <alignment horizontal="right" vertical="center" wrapText="1" indent="1"/>
    </xf>
    <xf numFmtId="14" fontId="7" fillId="1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13" borderId="1" xfId="0" applyFont="1" applyFill="1" applyBorder="1" applyAlignment="1">
      <alignment horizontal="center" vertical="top" wrapText="1"/>
    </xf>
    <xf numFmtId="0" fontId="7" fillId="13" borderId="1" xfId="0" applyFont="1" applyFill="1" applyBorder="1" applyAlignment="1">
      <alignment horizontal="left" vertical="top" wrapText="1" indent="1"/>
    </xf>
    <xf numFmtId="3" fontId="7" fillId="13" borderId="1" xfId="0" applyNumberFormat="1" applyFont="1" applyFill="1" applyBorder="1" applyAlignment="1">
      <alignment horizontal="right" vertical="top" wrapText="1" indent="1"/>
    </xf>
    <xf numFmtId="14" fontId="7" fillId="1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vertical="center"/>
    </xf>
    <xf numFmtId="14" fontId="0" fillId="3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left" vertical="top"/>
    </xf>
    <xf numFmtId="14" fontId="0" fillId="5" borderId="1" xfId="0" applyNumberFormat="1" applyFill="1" applyBorder="1" applyAlignment="1">
      <alignment horizontal="left" vertical="top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 indent="1"/>
    </xf>
    <xf numFmtId="3" fontId="7" fillId="7" borderId="1" xfId="0" applyNumberFormat="1" applyFont="1" applyFill="1" applyBorder="1" applyAlignment="1">
      <alignment horizontal="right" vertical="center" wrapText="1" indent="1"/>
    </xf>
    <xf numFmtId="14" fontId="7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7" borderId="1" xfId="0" applyFont="1" applyFill="1" applyBorder="1"/>
    <xf numFmtId="0" fontId="0" fillId="7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 wrapText="1"/>
    </xf>
    <xf numFmtId="0" fontId="0" fillId="16" borderId="32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vertical="center" wrapText="1"/>
    </xf>
    <xf numFmtId="0" fontId="0" fillId="7" borderId="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1" fontId="2" fillId="3" borderId="44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1" fontId="0" fillId="3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11" fillId="18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" fontId="0" fillId="0" borderId="4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0" fillId="4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" fontId="0" fillId="6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17" fontId="0" fillId="0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4" fontId="4" fillId="18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0" fillId="6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9" borderId="1" xfId="1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/>
    </xf>
    <xf numFmtId="14" fontId="0" fillId="3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vertical="top"/>
    </xf>
    <xf numFmtId="0" fontId="0" fillId="21" borderId="1" xfId="0" applyFill="1" applyBorder="1"/>
    <xf numFmtId="0" fontId="0" fillId="21" borderId="1" xfId="0" applyFill="1" applyBorder="1" applyAlignment="1"/>
    <xf numFmtId="0" fontId="0" fillId="21" borderId="1" xfId="0" applyFill="1" applyBorder="1" applyAlignment="1">
      <alignment horizontal="center"/>
    </xf>
    <xf numFmtId="0" fontId="0" fillId="21" borderId="1" xfId="0" applyFill="1" applyBorder="1" applyAlignment="1">
      <alignment horizontal="left"/>
    </xf>
    <xf numFmtId="0" fontId="0" fillId="21" borderId="1" xfId="0" applyFill="1" applyBorder="1" applyAlignment="1">
      <alignment vertical="center" wrapText="1"/>
    </xf>
    <xf numFmtId="14" fontId="0" fillId="21" borderId="1" xfId="0" applyNumberFormat="1" applyFill="1" applyBorder="1" applyAlignment="1">
      <alignment horizontal="left"/>
    </xf>
    <xf numFmtId="14" fontId="0" fillId="21" borderId="1" xfId="0" applyNumberFormat="1" applyFill="1" applyBorder="1" applyAlignment="1"/>
    <xf numFmtId="0" fontId="0" fillId="21" borderId="1" xfId="0" applyFill="1" applyBorder="1" applyAlignment="1">
      <alignment vertical="center"/>
    </xf>
    <xf numFmtId="0" fontId="0" fillId="21" borderId="1" xfId="0" applyFill="1" applyBorder="1" applyAlignment="1">
      <alignment horizontal="left" vertical="center"/>
    </xf>
    <xf numFmtId="14" fontId="0" fillId="21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3" fillId="20" borderId="41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3" fontId="0" fillId="0" borderId="0" xfId="0" applyNumberForma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54" xfId="0" applyBorder="1"/>
    <xf numFmtId="0" fontId="0" fillId="21" borderId="2" xfId="0" applyFill="1" applyBorder="1" applyAlignment="1">
      <alignment vertical="center"/>
    </xf>
    <xf numFmtId="0" fontId="0" fillId="21" borderId="2" xfId="0" applyFill="1" applyBorder="1" applyAlignment="1">
      <alignment horizontal="center" vertical="center"/>
    </xf>
    <xf numFmtId="0" fontId="0" fillId="21" borderId="2" xfId="0" applyFill="1" applyBorder="1" applyAlignment="1">
      <alignment vertical="center" wrapText="1"/>
    </xf>
    <xf numFmtId="0" fontId="0" fillId="21" borderId="2" xfId="0" applyFill="1" applyBorder="1" applyAlignment="1">
      <alignment horizontal="left" vertical="center"/>
    </xf>
    <xf numFmtId="14" fontId="0" fillId="21" borderId="2" xfId="0" applyNumberFormat="1" applyFill="1" applyBorder="1" applyAlignment="1">
      <alignment horizontal="left" vertical="center"/>
    </xf>
    <xf numFmtId="0" fontId="0" fillId="0" borderId="54" xfId="0" applyFont="1" applyFill="1" applyBorder="1" applyAlignment="1">
      <alignment horizontal="center" vertical="center" wrapText="1"/>
    </xf>
    <xf numFmtId="0" fontId="4" fillId="0" borderId="54" xfId="0" applyNumberFormat="1" applyFont="1" applyBorder="1" applyAlignment="1">
      <alignment horizontal="center" vertical="center" wrapText="1"/>
    </xf>
    <xf numFmtId="0" fontId="0" fillId="0" borderId="54" xfId="0" applyFont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center" wrapText="1"/>
    </xf>
    <xf numFmtId="0" fontId="3" fillId="23" borderId="11" xfId="0" applyFont="1" applyFill="1" applyBorder="1" applyAlignment="1">
      <alignment horizontal="center" vertical="center" wrapText="1"/>
    </xf>
    <xf numFmtId="0" fontId="0" fillId="16" borderId="3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wrapText="1"/>
    </xf>
    <xf numFmtId="0" fontId="3" fillId="14" borderId="25" xfId="0" applyFont="1" applyFill="1" applyBorder="1" applyAlignment="1">
      <alignment vertical="center" wrapText="1"/>
    </xf>
    <xf numFmtId="0" fontId="3" fillId="14" borderId="25" xfId="0" applyFont="1" applyFill="1" applyBorder="1" applyAlignment="1">
      <alignment wrapText="1"/>
    </xf>
    <xf numFmtId="0" fontId="14" fillId="14" borderId="25" xfId="0" applyFont="1" applyFill="1" applyBorder="1" applyAlignment="1">
      <alignment wrapText="1"/>
    </xf>
    <xf numFmtId="0" fontId="3" fillId="14" borderId="25" xfId="0" applyFont="1" applyFill="1" applyBorder="1" applyAlignment="1">
      <alignment horizontal="center" wrapText="1"/>
    </xf>
    <xf numFmtId="0" fontId="3" fillId="14" borderId="2" xfId="0" applyFont="1" applyFill="1" applyBorder="1" applyAlignment="1">
      <alignment horizontal="center" wrapText="1"/>
    </xf>
    <xf numFmtId="0" fontId="3" fillId="14" borderId="25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wrapText="1"/>
    </xf>
    <xf numFmtId="0" fontId="3" fillId="14" borderId="33" xfId="0" applyFont="1" applyFill="1" applyBorder="1" applyAlignment="1">
      <alignment horizontal="center" wrapText="1"/>
    </xf>
    <xf numFmtId="0" fontId="0" fillId="14" borderId="2" xfId="0" applyFill="1" applyBorder="1" applyAlignment="1">
      <alignment wrapText="1"/>
    </xf>
    <xf numFmtId="0" fontId="0" fillId="8" borderId="10" xfId="0" applyFill="1" applyBorder="1" applyAlignment="1">
      <alignment vertical="center" wrapText="1"/>
    </xf>
    <xf numFmtId="0" fontId="0" fillId="8" borderId="6" xfId="0" applyFill="1" applyBorder="1" applyAlignment="1">
      <alignment wrapText="1"/>
    </xf>
    <xf numFmtId="0" fontId="0" fillId="8" borderId="6" xfId="0" applyFill="1" applyBorder="1" applyAlignment="1">
      <alignment horizont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wrapText="1"/>
    </xf>
    <xf numFmtId="0" fontId="0" fillId="8" borderId="7" xfId="0" applyFill="1" applyBorder="1" applyAlignment="1">
      <alignment wrapText="1"/>
    </xf>
    <xf numFmtId="0" fontId="0" fillId="8" borderId="17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8" borderId="8" xfId="0" applyFill="1" applyBorder="1" applyAlignment="1">
      <alignment vertical="center" wrapText="1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wrapText="1"/>
    </xf>
    <xf numFmtId="0" fontId="0" fillId="8" borderId="12" xfId="0" applyFill="1" applyBorder="1" applyAlignment="1">
      <alignment wrapText="1"/>
    </xf>
    <xf numFmtId="0" fontId="0" fillId="8" borderId="18" xfId="0" applyFill="1" applyBorder="1" applyAlignment="1">
      <alignment wrapText="1"/>
    </xf>
    <xf numFmtId="0" fontId="0" fillId="8" borderId="0" xfId="0" applyFill="1" applyBorder="1" applyAlignment="1">
      <alignment horizontal="center" wrapText="1"/>
    </xf>
    <xf numFmtId="0" fontId="0" fillId="8" borderId="13" xfId="0" applyFill="1" applyBorder="1" applyAlignment="1">
      <alignment horizontal="center" wrapText="1"/>
    </xf>
    <xf numFmtId="0" fontId="0" fillId="8" borderId="13" xfId="0" applyFill="1" applyBorder="1" applyAlignment="1">
      <alignment wrapText="1"/>
    </xf>
    <xf numFmtId="0" fontId="0" fillId="8" borderId="1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34" xfId="0" applyFill="1" applyBorder="1" applyAlignment="1">
      <alignment vertical="center" wrapText="1"/>
    </xf>
    <xf numFmtId="0" fontId="0" fillId="8" borderId="34" xfId="0" applyFill="1" applyBorder="1" applyAlignment="1">
      <alignment horizontal="center" vertical="center" wrapText="1"/>
    </xf>
    <xf numFmtId="0" fontId="0" fillId="8" borderId="15" xfId="0" applyFill="1" applyBorder="1" applyAlignment="1">
      <alignment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3" xfId="0" applyFill="1" applyBorder="1" applyAlignment="1">
      <alignment vertical="center" wrapText="1"/>
    </xf>
    <xf numFmtId="0" fontId="0" fillId="8" borderId="3" xfId="0" applyFill="1" applyBorder="1" applyAlignment="1">
      <alignment wrapText="1"/>
    </xf>
    <xf numFmtId="0" fontId="0" fillId="8" borderId="3" xfId="0" applyFill="1" applyBorder="1" applyAlignment="1">
      <alignment horizont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0" fontId="0" fillId="8" borderId="2" xfId="0" applyFill="1" applyBorder="1" applyAlignment="1">
      <alignment vertical="center" wrapText="1"/>
    </xf>
    <xf numFmtId="0" fontId="0" fillId="8" borderId="2" xfId="0" applyFill="1" applyBorder="1" applyAlignment="1">
      <alignment wrapText="1"/>
    </xf>
    <xf numFmtId="0" fontId="0" fillId="8" borderId="2" xfId="0" applyFill="1" applyBorder="1" applyAlignment="1">
      <alignment horizont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wrapText="1"/>
    </xf>
    <xf numFmtId="0" fontId="0" fillId="8" borderId="16" xfId="0" applyFill="1" applyBorder="1" applyAlignment="1">
      <alignment wrapText="1"/>
    </xf>
    <xf numFmtId="0" fontId="0" fillId="8" borderId="18" xfId="0" applyFill="1" applyBorder="1" applyAlignment="1">
      <alignment horizontal="center" wrapText="1"/>
    </xf>
    <xf numFmtId="0" fontId="0" fillId="8" borderId="36" xfId="0" applyFill="1" applyBorder="1" applyAlignment="1">
      <alignment wrapText="1"/>
    </xf>
    <xf numFmtId="0" fontId="0" fillId="8" borderId="21" xfId="0" applyFill="1" applyBorder="1" applyAlignment="1">
      <alignment wrapText="1"/>
    </xf>
    <xf numFmtId="0" fontId="0" fillId="8" borderId="21" xfId="0" applyFill="1" applyBorder="1" applyAlignment="1">
      <alignment horizontal="center"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4" xfId="0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wrapText="1"/>
    </xf>
    <xf numFmtId="0" fontId="0" fillId="4" borderId="31" xfId="0" applyFill="1" applyBorder="1" applyAlignment="1">
      <alignment wrapText="1"/>
    </xf>
    <xf numFmtId="0" fontId="0" fillId="2" borderId="17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wrapText="1"/>
    </xf>
    <xf numFmtId="0" fontId="0" fillId="2" borderId="0" xfId="0" applyFill="1" applyBorder="1" applyAlignment="1">
      <alignment wrapText="1"/>
    </xf>
    <xf numFmtId="0" fontId="0" fillId="2" borderId="35" xfId="0" applyFill="1" applyBorder="1" applyAlignment="1">
      <alignment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wrapText="1"/>
    </xf>
    <xf numFmtId="0" fontId="0" fillId="9" borderId="0" xfId="0" applyFill="1" applyAlignment="1">
      <alignment wrapText="1"/>
    </xf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6" xfId="0" applyFill="1" applyBorder="1" applyAlignment="1">
      <alignment horizontal="left" wrapText="1"/>
    </xf>
    <xf numFmtId="0" fontId="0" fillId="2" borderId="4" xfId="0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19" borderId="1" xfId="0" applyFill="1" applyBorder="1" applyAlignment="1">
      <alignment vertical="center" wrapText="1"/>
    </xf>
    <xf numFmtId="0" fontId="0" fillId="19" borderId="1" xfId="0" applyFill="1" applyBorder="1" applyAlignment="1">
      <alignment wrapText="1"/>
    </xf>
    <xf numFmtId="0" fontId="0" fillId="19" borderId="19" xfId="0" applyFill="1" applyBorder="1" applyAlignment="1">
      <alignment horizontal="center" wrapText="1"/>
    </xf>
    <xf numFmtId="0" fontId="0" fillId="19" borderId="1" xfId="0" applyFill="1" applyBorder="1" applyAlignment="1">
      <alignment horizont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wrapText="1"/>
    </xf>
    <xf numFmtId="0" fontId="0" fillId="19" borderId="12" xfId="0" applyFill="1" applyBorder="1" applyAlignment="1">
      <alignment horizontal="left" wrapText="1"/>
    </xf>
    <xf numFmtId="0" fontId="0" fillId="19" borderId="18" xfId="0" applyFill="1" applyBorder="1" applyAlignment="1">
      <alignment wrapText="1"/>
    </xf>
    <xf numFmtId="0" fontId="0" fillId="2" borderId="19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3" xfId="0" applyFill="1" applyBorder="1" applyAlignment="1">
      <alignment horizontal="left" wrapText="1"/>
    </xf>
    <xf numFmtId="0" fontId="0" fillId="2" borderId="36" xfId="0" applyFill="1" applyBorder="1" applyAlignment="1">
      <alignment wrapText="1"/>
    </xf>
    <xf numFmtId="0" fontId="0" fillId="2" borderId="21" xfId="0" applyFill="1" applyBorder="1" applyAlignment="1">
      <alignment vertical="center" wrapText="1"/>
    </xf>
    <xf numFmtId="0" fontId="0" fillId="2" borderId="21" xfId="0" applyFill="1" applyBorder="1" applyAlignment="1">
      <alignment wrapText="1"/>
    </xf>
    <xf numFmtId="0" fontId="0" fillId="2" borderId="21" xfId="0" applyFill="1" applyBorder="1" applyAlignment="1">
      <alignment horizont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left" wrapText="1"/>
    </xf>
    <xf numFmtId="0" fontId="0" fillId="2" borderId="24" xfId="0" applyFill="1" applyBorder="1" applyAlignment="1">
      <alignment wrapText="1"/>
    </xf>
    <xf numFmtId="0" fontId="0" fillId="10" borderId="25" xfId="0" applyFill="1" applyBorder="1" applyAlignment="1">
      <alignment vertical="center" wrapText="1"/>
    </xf>
    <xf numFmtId="0" fontId="0" fillId="10" borderId="6" xfId="0" applyFill="1" applyBorder="1" applyAlignment="1">
      <alignment wrapText="1"/>
    </xf>
    <xf numFmtId="0" fontId="0" fillId="10" borderId="6" xfId="0" applyFill="1" applyBorder="1" applyAlignment="1">
      <alignment horizontal="center" wrapText="1"/>
    </xf>
    <xf numFmtId="0" fontId="0" fillId="10" borderId="25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left" wrapText="1"/>
    </xf>
    <xf numFmtId="0" fontId="0" fillId="10" borderId="17" xfId="0" applyFill="1" applyBorder="1" applyAlignment="1">
      <alignment wrapText="1"/>
    </xf>
    <xf numFmtId="0" fontId="0" fillId="10" borderId="4" xfId="0" applyFill="1" applyBorder="1" applyAlignment="1">
      <alignment vertical="center" wrapText="1"/>
    </xf>
    <xf numFmtId="0" fontId="0" fillId="10" borderId="4" xfId="0" applyFill="1" applyBorder="1" applyAlignment="1">
      <alignment wrapText="1"/>
    </xf>
    <xf numFmtId="0" fontId="0" fillId="10" borderId="4" xfId="0" applyFill="1" applyBorder="1" applyAlignment="1">
      <alignment horizont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31" xfId="0" applyFill="1" applyBorder="1" applyAlignment="1">
      <alignment horizontal="center" wrapText="1"/>
    </xf>
    <xf numFmtId="0" fontId="0" fillId="10" borderId="31" xfId="0" applyFill="1" applyBorder="1" applyAlignment="1">
      <alignment horizontal="left" wrapText="1"/>
    </xf>
    <xf numFmtId="0" fontId="0" fillId="10" borderId="37" xfId="0" applyFill="1" applyBorder="1" applyAlignment="1">
      <alignment wrapText="1"/>
    </xf>
    <xf numFmtId="14" fontId="0" fillId="10" borderId="1" xfId="0" applyNumberFormat="1" applyFill="1" applyBorder="1" applyAlignment="1">
      <alignment horizontal="left" vertical="center" wrapText="1"/>
    </xf>
    <xf numFmtId="0" fontId="0" fillId="10" borderId="1" xfId="0" applyFill="1" applyBorder="1" applyAlignment="1">
      <alignment wrapText="1"/>
    </xf>
    <xf numFmtId="0" fontId="0" fillId="10" borderId="1" xfId="0" applyFill="1" applyBorder="1" applyAlignment="1">
      <alignment horizontal="center" wrapText="1"/>
    </xf>
    <xf numFmtId="0" fontId="0" fillId="10" borderId="12" xfId="0" applyFill="1" applyBorder="1" applyAlignment="1">
      <alignment horizontal="left" wrapText="1"/>
    </xf>
    <xf numFmtId="0" fontId="3" fillId="10" borderId="18" xfId="0" applyFont="1" applyFill="1" applyBorder="1" applyAlignment="1">
      <alignment wrapText="1"/>
    </xf>
    <xf numFmtId="0" fontId="0" fillId="10" borderId="18" xfId="0" applyFill="1" applyBorder="1" applyAlignment="1">
      <alignment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wrapText="1"/>
    </xf>
    <xf numFmtId="0" fontId="0" fillId="10" borderId="2" xfId="0" applyFill="1" applyBorder="1" applyAlignment="1">
      <alignment vertical="center" wrapText="1"/>
    </xf>
    <xf numFmtId="0" fontId="0" fillId="10" borderId="2" xfId="0" applyFill="1" applyBorder="1" applyAlignment="1">
      <alignment wrapText="1"/>
    </xf>
    <xf numFmtId="0" fontId="0" fillId="10" borderId="2" xfId="0" applyFill="1" applyBorder="1" applyAlignment="1">
      <alignment horizont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wrapText="1"/>
    </xf>
    <xf numFmtId="0" fontId="0" fillId="10" borderId="8" xfId="0" applyFill="1" applyBorder="1" applyAlignment="1">
      <alignment horizontal="center" wrapText="1"/>
    </xf>
    <xf numFmtId="0" fontId="0" fillId="10" borderId="3" xfId="0" applyFill="1" applyBorder="1" applyAlignment="1">
      <alignment vertical="center" wrapText="1"/>
    </xf>
    <xf numFmtId="0" fontId="0" fillId="10" borderId="21" xfId="0" applyFill="1" applyBorder="1" applyAlignment="1">
      <alignment wrapText="1"/>
    </xf>
    <xf numFmtId="0" fontId="0" fillId="10" borderId="22" xfId="0" applyFill="1" applyBorder="1" applyAlignment="1">
      <alignment wrapText="1"/>
    </xf>
    <xf numFmtId="0" fontId="0" fillId="10" borderId="21" xfId="0" applyFill="1" applyBorder="1" applyAlignment="1">
      <alignment horizontal="center" wrapText="1"/>
    </xf>
    <xf numFmtId="0" fontId="0" fillId="10" borderId="22" xfId="0" applyFill="1" applyBorder="1" applyAlignment="1">
      <alignment horizontal="center" wrapText="1"/>
    </xf>
    <xf numFmtId="0" fontId="0" fillId="10" borderId="22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left" wrapText="1"/>
    </xf>
    <xf numFmtId="0" fontId="0" fillId="10" borderId="0" xfId="0" applyFill="1" applyBorder="1" applyAlignment="1">
      <alignment wrapText="1"/>
    </xf>
    <xf numFmtId="0" fontId="0" fillId="0" borderId="51" xfId="0" applyBorder="1" applyAlignment="1">
      <alignment wrapText="1"/>
    </xf>
    <xf numFmtId="0" fontId="0" fillId="8" borderId="43" xfId="0" applyFill="1" applyBorder="1" applyAlignment="1">
      <alignment vertical="center" wrapText="1"/>
    </xf>
    <xf numFmtId="0" fontId="0" fillId="8" borderId="4" xfId="0" applyFill="1" applyBorder="1" applyAlignment="1">
      <alignment wrapText="1"/>
    </xf>
    <xf numFmtId="0" fontId="0" fillId="8" borderId="43" xfId="0" applyFill="1" applyBorder="1" applyAlignment="1">
      <alignment horizont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44" xfId="0" applyFill="1" applyBorder="1" applyAlignment="1">
      <alignment horizontal="center" wrapText="1"/>
    </xf>
    <xf numFmtId="0" fontId="0" fillId="8" borderId="44" xfId="0" applyFill="1" applyBorder="1" applyAlignment="1">
      <alignment horizontal="left" wrapText="1"/>
    </xf>
    <xf numFmtId="0" fontId="0" fillId="8" borderId="45" xfId="0" applyFill="1" applyBorder="1" applyAlignment="1">
      <alignment wrapText="1"/>
    </xf>
    <xf numFmtId="0" fontId="0" fillId="0" borderId="51" xfId="0" applyFill="1" applyBorder="1" applyAlignment="1">
      <alignment wrapText="1"/>
    </xf>
    <xf numFmtId="0" fontId="0" fillId="8" borderId="32" xfId="0" applyFill="1" applyBorder="1" applyAlignment="1">
      <alignment vertical="center" wrapText="1"/>
    </xf>
    <xf numFmtId="14" fontId="0" fillId="8" borderId="4" xfId="0" applyNumberFormat="1" applyFill="1" applyBorder="1" applyAlignment="1">
      <alignment wrapText="1"/>
    </xf>
    <xf numFmtId="0" fontId="0" fillId="8" borderId="13" xfId="0" applyFill="1" applyBorder="1" applyAlignment="1">
      <alignment horizontal="left" wrapText="1"/>
    </xf>
    <xf numFmtId="0" fontId="0" fillId="8" borderId="55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4" borderId="10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left" wrapText="1"/>
    </xf>
    <xf numFmtId="0" fontId="0" fillId="4" borderId="37" xfId="0" applyFill="1" applyBorder="1" applyAlignment="1">
      <alignment wrapText="1"/>
    </xf>
    <xf numFmtId="0" fontId="0" fillId="4" borderId="4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12" xfId="0" applyFill="1" applyBorder="1" applyAlignment="1">
      <alignment horizontal="left" wrapText="1"/>
    </xf>
    <xf numFmtId="0" fontId="0" fillId="4" borderId="18" xfId="0" applyFill="1" applyBorder="1" applyAlignment="1">
      <alignment wrapText="1"/>
    </xf>
    <xf numFmtId="0" fontId="0" fillId="4" borderId="15" xfId="0" applyFill="1" applyBorder="1" applyAlignment="1">
      <alignment vertical="center" wrapText="1"/>
    </xf>
    <xf numFmtId="0" fontId="0" fillId="22" borderId="8" xfId="0" applyFill="1" applyBorder="1" applyAlignment="1">
      <alignment vertical="center" wrapText="1"/>
    </xf>
    <xf numFmtId="0" fontId="0" fillId="22" borderId="1" xfId="0" applyFill="1" applyBorder="1" applyAlignment="1">
      <alignment wrapText="1"/>
    </xf>
    <xf numFmtId="0" fontId="0" fillId="22" borderId="1" xfId="0" applyFill="1" applyBorder="1" applyAlignment="1">
      <alignment horizont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2" xfId="0" applyFill="1" applyBorder="1" applyAlignment="1">
      <alignment horizontal="center" wrapText="1"/>
    </xf>
    <xf numFmtId="0" fontId="0" fillId="22" borderId="12" xfId="0" applyFill="1" applyBorder="1" applyAlignment="1">
      <alignment horizontal="left" wrapText="1"/>
    </xf>
    <xf numFmtId="0" fontId="3" fillId="22" borderId="18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wrapText="1"/>
    </xf>
    <xf numFmtId="0" fontId="0" fillId="4" borderId="13" xfId="0" applyFill="1" applyBorder="1" applyAlignment="1">
      <alignment horizontal="left" wrapText="1"/>
    </xf>
    <xf numFmtId="0" fontId="0" fillId="4" borderId="14" xfId="0" applyFill="1" applyBorder="1" applyAlignment="1">
      <alignment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2" xfId="0" applyFill="1" applyBorder="1" applyAlignment="1">
      <alignment wrapText="1"/>
    </xf>
    <xf numFmtId="0" fontId="0" fillId="4" borderId="38" xfId="0" applyFill="1" applyBorder="1" applyAlignment="1">
      <alignment vertical="center" wrapText="1"/>
    </xf>
    <xf numFmtId="0" fontId="0" fillId="4" borderId="22" xfId="0" applyFill="1" applyBorder="1" applyAlignment="1">
      <alignment wrapText="1"/>
    </xf>
    <xf numFmtId="0" fontId="0" fillId="4" borderId="23" xfId="0" applyFill="1" applyBorder="1" applyAlignment="1">
      <alignment horizontal="center" wrapText="1"/>
    </xf>
    <xf numFmtId="0" fontId="0" fillId="4" borderId="38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left" wrapText="1"/>
    </xf>
    <xf numFmtId="0" fontId="0" fillId="4" borderId="24" xfId="0" applyFill="1" applyBorder="1" applyAlignment="1">
      <alignment wrapText="1"/>
    </xf>
    <xf numFmtId="0" fontId="0" fillId="23" borderId="3" xfId="0" applyFill="1" applyBorder="1" applyAlignment="1">
      <alignment vertical="center" wrapText="1"/>
    </xf>
    <xf numFmtId="0" fontId="0" fillId="23" borderId="34" xfId="0" applyFill="1" applyBorder="1" applyAlignment="1">
      <alignment vertical="center" wrapText="1"/>
    </xf>
    <xf numFmtId="14" fontId="0" fillId="23" borderId="34" xfId="0" applyNumberFormat="1" applyFill="1" applyBorder="1" applyAlignment="1">
      <alignment vertical="center" wrapText="1"/>
    </xf>
    <xf numFmtId="0" fontId="0" fillId="23" borderId="3" xfId="0" applyFill="1" applyBorder="1" applyAlignment="1">
      <alignment wrapText="1"/>
    </xf>
    <xf numFmtId="0" fontId="0" fillId="23" borderId="0" xfId="0" applyFill="1" applyBorder="1" applyAlignment="1">
      <alignment horizontal="center" wrapText="1"/>
    </xf>
    <xf numFmtId="0" fontId="0" fillId="23" borderId="34" xfId="0" applyFill="1" applyBorder="1" applyAlignment="1">
      <alignment horizontal="center" vertical="center" wrapText="1"/>
    </xf>
    <xf numFmtId="0" fontId="0" fillId="23" borderId="3" xfId="0" applyFill="1" applyBorder="1" applyAlignment="1">
      <alignment horizontal="left" wrapText="1"/>
    </xf>
    <xf numFmtId="0" fontId="0" fillId="23" borderId="55" xfId="0" applyFill="1" applyBorder="1" applyAlignment="1">
      <alignment wrapText="1"/>
    </xf>
    <xf numFmtId="0" fontId="0" fillId="3" borderId="25" xfId="0" applyFill="1" applyBorder="1" applyAlignment="1">
      <alignment vertical="center" wrapText="1"/>
    </xf>
    <xf numFmtId="0" fontId="0" fillId="3" borderId="25" xfId="0" applyFill="1" applyBorder="1" applyAlignment="1">
      <alignment wrapText="1"/>
    </xf>
    <xf numFmtId="0" fontId="0" fillId="3" borderId="25" xfId="0" applyFill="1" applyBorder="1" applyAlignment="1">
      <alignment horizont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10" borderId="48" xfId="0" applyFill="1" applyBorder="1" applyAlignment="1">
      <alignment wrapText="1"/>
    </xf>
    <xf numFmtId="0" fontId="0" fillId="10" borderId="3" xfId="0" applyFill="1" applyBorder="1" applyAlignment="1">
      <alignment wrapText="1"/>
    </xf>
    <xf numFmtId="0" fontId="0" fillId="10" borderId="3" xfId="0" applyFill="1" applyBorder="1" applyAlignment="1">
      <alignment horizontal="center" vertical="center" wrapText="1"/>
    </xf>
    <xf numFmtId="0" fontId="0" fillId="10" borderId="22" xfId="0" applyFill="1" applyBorder="1" applyAlignment="1">
      <alignment vertical="center" wrapText="1"/>
    </xf>
    <xf numFmtId="0" fontId="0" fillId="10" borderId="52" xfId="0" applyFill="1" applyBorder="1" applyAlignment="1">
      <alignment horizontal="center" wrapText="1"/>
    </xf>
    <xf numFmtId="0" fontId="0" fillId="10" borderId="52" xfId="0" applyFill="1" applyBorder="1" applyAlignment="1">
      <alignment wrapText="1"/>
    </xf>
    <xf numFmtId="0" fontId="0" fillId="10" borderId="24" xfId="0" applyFill="1" applyBorder="1" applyAlignment="1">
      <alignment wrapText="1"/>
    </xf>
    <xf numFmtId="0" fontId="0" fillId="20" borderId="42" xfId="0" applyFill="1" applyBorder="1" applyAlignment="1">
      <alignment vertical="center" wrapText="1"/>
    </xf>
    <xf numFmtId="0" fontId="0" fillId="20" borderId="43" xfId="0" applyFill="1" applyBorder="1" applyAlignment="1">
      <alignment wrapText="1"/>
    </xf>
    <xf numFmtId="0" fontId="0" fillId="20" borderId="43" xfId="0" applyFill="1" applyBorder="1" applyAlignment="1">
      <alignment horizontal="center" wrapText="1"/>
    </xf>
    <xf numFmtId="0" fontId="0" fillId="20" borderId="43" xfId="0" applyFill="1" applyBorder="1" applyAlignment="1">
      <alignment horizontal="center" vertical="center" wrapText="1"/>
    </xf>
    <xf numFmtId="0" fontId="0" fillId="20" borderId="44" xfId="0" applyFill="1" applyBorder="1" applyAlignment="1">
      <alignment horizontal="center" wrapText="1"/>
    </xf>
    <xf numFmtId="0" fontId="0" fillId="20" borderId="44" xfId="0" applyFill="1" applyBorder="1" applyAlignment="1">
      <alignment wrapText="1"/>
    </xf>
    <xf numFmtId="0" fontId="0" fillId="20" borderId="45" xfId="0" applyFill="1" applyBorder="1" applyAlignment="1">
      <alignment wrapText="1"/>
    </xf>
    <xf numFmtId="0" fontId="0" fillId="18" borderId="6" xfId="0" applyFill="1" applyBorder="1" applyAlignment="1">
      <alignment vertical="center" wrapText="1"/>
    </xf>
    <xf numFmtId="0" fontId="0" fillId="18" borderId="6" xfId="0" applyFill="1" applyBorder="1" applyAlignment="1">
      <alignment wrapText="1"/>
    </xf>
    <xf numFmtId="0" fontId="0" fillId="18" borderId="6" xfId="0" applyFill="1" applyBorder="1" applyAlignment="1">
      <alignment horizontal="center" wrapText="1"/>
    </xf>
    <xf numFmtId="0" fontId="0" fillId="18" borderId="6" xfId="0" applyFill="1" applyBorder="1" applyAlignment="1">
      <alignment horizontal="center" vertical="center" wrapText="1"/>
    </xf>
    <xf numFmtId="0" fontId="0" fillId="18" borderId="17" xfId="0" applyFill="1" applyBorder="1" applyAlignment="1">
      <alignment wrapText="1"/>
    </xf>
    <xf numFmtId="0" fontId="0" fillId="18" borderId="2" xfId="0" applyFill="1" applyBorder="1" applyAlignment="1">
      <alignment vertical="center" wrapText="1"/>
    </xf>
    <xf numFmtId="0" fontId="0" fillId="18" borderId="2" xfId="0" applyFill="1" applyBorder="1" applyAlignment="1">
      <alignment wrapText="1"/>
    </xf>
    <xf numFmtId="0" fontId="0" fillId="18" borderId="2" xfId="0" applyFill="1" applyBorder="1" applyAlignment="1">
      <alignment horizont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36" xfId="0" applyFill="1" applyBorder="1" applyAlignment="1">
      <alignment wrapText="1"/>
    </xf>
    <xf numFmtId="0" fontId="3" fillId="11" borderId="53" xfId="0" applyFont="1" applyFill="1" applyBorder="1" applyAlignment="1">
      <alignment horizontal="center" vertical="center" wrapText="1"/>
    </xf>
    <xf numFmtId="0" fontId="0" fillId="11" borderId="53" xfId="0" applyFill="1" applyBorder="1" applyAlignment="1">
      <alignment vertical="center" wrapText="1"/>
    </xf>
    <xf numFmtId="0" fontId="0" fillId="11" borderId="53" xfId="0" applyFill="1" applyBorder="1" applyAlignment="1">
      <alignment wrapText="1"/>
    </xf>
    <xf numFmtId="0" fontId="0" fillId="11" borderId="53" xfId="0" applyFill="1" applyBorder="1" applyAlignment="1">
      <alignment horizontal="center" wrapText="1"/>
    </xf>
    <xf numFmtId="0" fontId="0" fillId="11" borderId="53" xfId="0" applyFill="1" applyBorder="1" applyAlignment="1">
      <alignment horizontal="center" vertical="center" wrapText="1"/>
    </xf>
    <xf numFmtId="0" fontId="0" fillId="19" borderId="4" xfId="0" applyFill="1" applyBorder="1" applyAlignment="1">
      <alignment vertical="center" wrapText="1"/>
    </xf>
    <xf numFmtId="0" fontId="0" fillId="19" borderId="4" xfId="0" applyFill="1" applyBorder="1" applyAlignment="1">
      <alignment wrapText="1"/>
    </xf>
    <xf numFmtId="0" fontId="0" fillId="19" borderId="4" xfId="0" applyFill="1" applyBorder="1" applyAlignment="1">
      <alignment horizontal="center" wrapText="1"/>
    </xf>
    <xf numFmtId="0" fontId="0" fillId="19" borderId="4" xfId="0" applyFill="1" applyBorder="1" applyAlignment="1">
      <alignment horizontal="center" vertical="center" wrapText="1"/>
    </xf>
    <xf numFmtId="0" fontId="0" fillId="19" borderId="31" xfId="0" applyFill="1" applyBorder="1" applyAlignment="1">
      <alignment horizontal="center" wrapText="1"/>
    </xf>
    <xf numFmtId="0" fontId="0" fillId="19" borderId="31" xfId="0" applyFill="1" applyBorder="1" applyAlignment="1">
      <alignment wrapText="1"/>
    </xf>
    <xf numFmtId="0" fontId="0" fillId="4" borderId="21" xfId="0" applyFill="1" applyBorder="1" applyAlignment="1">
      <alignment vertical="center" wrapText="1"/>
    </xf>
    <xf numFmtId="0" fontId="0" fillId="4" borderId="21" xfId="0" applyFill="1" applyBorder="1" applyAlignment="1">
      <alignment wrapText="1"/>
    </xf>
    <xf numFmtId="0" fontId="0" fillId="4" borderId="2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wrapText="1"/>
    </xf>
    <xf numFmtId="0" fontId="0" fillId="4" borderId="29" xfId="0" applyFill="1" applyBorder="1" applyAlignment="1">
      <alignment wrapText="1"/>
    </xf>
    <xf numFmtId="0" fontId="0" fillId="17" borderId="25" xfId="0" applyFill="1" applyBorder="1" applyAlignment="1">
      <alignment vertical="center" wrapText="1"/>
    </xf>
    <xf numFmtId="0" fontId="0" fillId="17" borderId="6" xfId="0" applyFill="1" applyBorder="1" applyAlignment="1">
      <alignment wrapText="1"/>
    </xf>
    <xf numFmtId="0" fontId="0" fillId="17" borderId="6" xfId="0" applyFill="1" applyBorder="1" applyAlignment="1">
      <alignment horizontal="center" wrapText="1"/>
    </xf>
    <xf numFmtId="0" fontId="0" fillId="17" borderId="25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wrapText="1"/>
    </xf>
    <xf numFmtId="0" fontId="0" fillId="17" borderId="7" xfId="0" applyFill="1" applyBorder="1" applyAlignment="1">
      <alignment wrapText="1"/>
    </xf>
    <xf numFmtId="0" fontId="0" fillId="17" borderId="4" xfId="0" applyFill="1" applyBorder="1" applyAlignment="1">
      <alignment wrapText="1"/>
    </xf>
    <xf numFmtId="0" fontId="0" fillId="17" borderId="1" xfId="0" applyFill="1" applyBorder="1" applyAlignment="1">
      <alignment vertical="center" wrapText="1"/>
    </xf>
    <xf numFmtId="0" fontId="0" fillId="17" borderId="1" xfId="0" applyFill="1" applyBorder="1" applyAlignment="1">
      <alignment wrapText="1"/>
    </xf>
    <xf numFmtId="0" fontId="0" fillId="17" borderId="1" xfId="0" applyFill="1" applyBorder="1" applyAlignment="1">
      <alignment horizont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wrapText="1"/>
    </xf>
    <xf numFmtId="0" fontId="0" fillId="17" borderId="12" xfId="0" applyFill="1" applyBorder="1" applyAlignment="1">
      <alignment wrapText="1"/>
    </xf>
    <xf numFmtId="0" fontId="0" fillId="17" borderId="2" xfId="0" applyFill="1" applyBorder="1" applyAlignment="1">
      <alignment vertical="center" wrapText="1"/>
    </xf>
    <xf numFmtId="0" fontId="0" fillId="17" borderId="2" xfId="0" applyFill="1" applyBorder="1" applyAlignment="1">
      <alignment wrapText="1"/>
    </xf>
    <xf numFmtId="0" fontId="0" fillId="17" borderId="2" xfId="0" applyFill="1" applyBorder="1" applyAlignment="1">
      <alignment horizont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16" xfId="0" applyFill="1" applyBorder="1" applyAlignment="1">
      <alignment horizontal="center" wrapText="1"/>
    </xf>
    <xf numFmtId="0" fontId="0" fillId="17" borderId="16" xfId="0" applyFill="1" applyBorder="1" applyAlignment="1">
      <alignment wrapText="1"/>
    </xf>
    <xf numFmtId="0" fontId="0" fillId="16" borderId="25" xfId="0" applyFill="1" applyBorder="1" applyAlignment="1">
      <alignment vertical="center" wrapText="1"/>
    </xf>
    <xf numFmtId="0" fontId="0" fillId="16" borderId="33" xfId="0" applyFill="1" applyBorder="1" applyAlignment="1">
      <alignment horizontal="center" vertical="center" wrapText="1"/>
    </xf>
    <xf numFmtId="0" fontId="0" fillId="16" borderId="6" xfId="0" applyFill="1" applyBorder="1" applyAlignment="1">
      <alignment horizontal="center" vertical="center" wrapText="1"/>
    </xf>
    <xf numFmtId="0" fontId="0" fillId="16" borderId="33" xfId="0" applyFill="1" applyBorder="1" applyAlignment="1">
      <alignment vertical="center" wrapText="1"/>
    </xf>
    <xf numFmtId="0" fontId="0" fillId="16" borderId="21" xfId="0" applyFill="1" applyBorder="1" applyAlignment="1">
      <alignment vertical="center" wrapText="1"/>
    </xf>
    <xf numFmtId="0" fontId="0" fillId="16" borderId="46" xfId="0" applyFill="1" applyBorder="1" applyAlignment="1">
      <alignment wrapText="1"/>
    </xf>
    <xf numFmtId="0" fontId="0" fillId="16" borderId="21" xfId="0" applyFill="1" applyBorder="1" applyAlignment="1">
      <alignment wrapText="1"/>
    </xf>
    <xf numFmtId="0" fontId="0" fillId="16" borderId="21" xfId="0" applyFill="1" applyBorder="1" applyAlignment="1">
      <alignment horizontal="center" wrapText="1"/>
    </xf>
    <xf numFmtId="0" fontId="0" fillId="16" borderId="46" xfId="0" applyFill="1" applyBorder="1" applyAlignment="1">
      <alignment horizontal="center" vertical="center" wrapText="1"/>
    </xf>
    <xf numFmtId="0" fontId="0" fillId="16" borderId="29" xfId="0" applyFill="1" applyBorder="1" applyAlignment="1">
      <alignment horizontal="center" wrapText="1"/>
    </xf>
    <xf numFmtId="0" fontId="0" fillId="16" borderId="29" xfId="0" applyFill="1" applyBorder="1" applyAlignment="1">
      <alignment wrapText="1"/>
    </xf>
    <xf numFmtId="0" fontId="0" fillId="15" borderId="6" xfId="0" applyFill="1" applyBorder="1" applyAlignment="1">
      <alignment vertical="center" wrapText="1"/>
    </xf>
    <xf numFmtId="0" fontId="0" fillId="15" borderId="6" xfId="0" applyFill="1" applyBorder="1" applyAlignment="1">
      <alignment wrapText="1"/>
    </xf>
    <xf numFmtId="0" fontId="0" fillId="15" borderId="6" xfId="0" applyFill="1" applyBorder="1" applyAlignment="1">
      <alignment horizontal="center" wrapText="1"/>
    </xf>
    <xf numFmtId="0" fontId="0" fillId="15" borderId="17" xfId="0" applyFill="1" applyBorder="1" applyAlignment="1">
      <alignment horizontal="center" wrapText="1"/>
    </xf>
    <xf numFmtId="0" fontId="0" fillId="15" borderId="6" xfId="0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 wrapText="1"/>
    </xf>
    <xf numFmtId="0" fontId="0" fillId="15" borderId="47" xfId="0" applyFill="1" applyBorder="1" applyAlignment="1">
      <alignment wrapText="1"/>
    </xf>
    <xf numFmtId="0" fontId="0" fillId="15" borderId="4" xfId="0" applyFill="1" applyBorder="1" applyAlignment="1">
      <alignment vertical="center" wrapText="1"/>
    </xf>
    <xf numFmtId="0" fontId="0" fillId="15" borderId="4" xfId="0" applyFill="1" applyBorder="1" applyAlignment="1">
      <alignment wrapText="1"/>
    </xf>
    <xf numFmtId="0" fontId="0" fillId="15" borderId="4" xfId="0" applyFill="1" applyBorder="1" applyAlignment="1">
      <alignment horizontal="center" wrapText="1"/>
    </xf>
    <xf numFmtId="0" fontId="0" fillId="15" borderId="37" xfId="0" applyFill="1" applyBorder="1" applyAlignment="1">
      <alignment horizont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31" xfId="0" applyFill="1" applyBorder="1" applyAlignment="1">
      <alignment horizontal="center" wrapText="1"/>
    </xf>
    <xf numFmtId="0" fontId="0" fillId="15" borderId="50" xfId="0" applyFill="1" applyBorder="1" applyAlignment="1">
      <alignment wrapText="1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48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0" fillId="15" borderId="1" xfId="0" applyFill="1" applyBorder="1" applyAlignment="1">
      <alignment horizontal="center" wrapText="1"/>
    </xf>
    <xf numFmtId="0" fontId="0" fillId="15" borderId="18" xfId="0" applyFill="1" applyBorder="1" applyAlignment="1">
      <alignment horizontal="center" wrapText="1"/>
    </xf>
    <xf numFmtId="0" fontId="0" fillId="15" borderId="12" xfId="0" applyFill="1" applyBorder="1" applyAlignment="1">
      <alignment horizontal="center" wrapText="1"/>
    </xf>
    <xf numFmtId="0" fontId="0" fillId="19" borderId="2" xfId="0" applyFill="1" applyBorder="1" applyAlignment="1">
      <alignment vertical="center" wrapText="1"/>
    </xf>
    <xf numFmtId="0" fontId="0" fillId="19" borderId="2" xfId="0" applyFill="1" applyBorder="1" applyAlignment="1">
      <alignment wrapText="1"/>
    </xf>
    <xf numFmtId="0" fontId="0" fillId="19" borderId="2" xfId="0" applyFill="1" applyBorder="1" applyAlignment="1">
      <alignment horizontal="center" wrapText="1"/>
    </xf>
    <xf numFmtId="0" fontId="0" fillId="19" borderId="36" xfId="0" applyFill="1" applyBorder="1" applyAlignment="1">
      <alignment horizont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16" xfId="0" applyFill="1" applyBorder="1" applyAlignment="1">
      <alignment horizontal="center" wrapText="1"/>
    </xf>
    <xf numFmtId="0" fontId="0" fillId="19" borderId="48" xfId="0" applyFill="1" applyBorder="1" applyAlignment="1">
      <alignment wrapText="1"/>
    </xf>
    <xf numFmtId="0" fontId="0" fillId="15" borderId="21" xfId="0" applyFill="1" applyBorder="1" applyAlignment="1">
      <alignment vertical="center" wrapText="1"/>
    </xf>
    <xf numFmtId="0" fontId="0" fillId="15" borderId="21" xfId="0" applyFill="1" applyBorder="1" applyAlignment="1">
      <alignment wrapText="1"/>
    </xf>
    <xf numFmtId="0" fontId="0" fillId="15" borderId="21" xfId="0" applyFill="1" applyBorder="1" applyAlignment="1">
      <alignment horizontal="center" wrapText="1"/>
    </xf>
    <xf numFmtId="0" fontId="0" fillId="15" borderId="24" xfId="0" applyFill="1" applyBorder="1" applyAlignment="1">
      <alignment horizont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9" xfId="0" applyFill="1" applyBorder="1" applyAlignment="1">
      <alignment horizontal="center" wrapText="1"/>
    </xf>
    <xf numFmtId="0" fontId="0" fillId="15" borderId="49" xfId="0" applyFill="1" applyBorder="1" applyAlignment="1">
      <alignment wrapText="1"/>
    </xf>
    <xf numFmtId="0" fontId="0" fillId="6" borderId="4" xfId="0" applyFill="1" applyBorder="1" applyAlignment="1">
      <alignment vertical="center" wrapText="1"/>
    </xf>
    <xf numFmtId="0" fontId="0" fillId="6" borderId="4" xfId="0" applyFill="1" applyBorder="1" applyAlignment="1">
      <alignment wrapText="1"/>
    </xf>
    <xf numFmtId="0" fontId="0" fillId="6" borderId="4" xfId="0" applyFill="1" applyBorder="1" applyAlignment="1">
      <alignment horizont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1" xfId="0" applyFill="1" applyBorder="1" applyAlignment="1">
      <alignment vertical="center" wrapText="1"/>
    </xf>
    <xf numFmtId="0" fontId="0" fillId="6" borderId="21" xfId="0" applyFill="1" applyBorder="1" applyAlignment="1">
      <alignment wrapText="1"/>
    </xf>
    <xf numFmtId="0" fontId="0" fillId="6" borderId="21" xfId="0" applyFill="1" applyBorder="1" applyAlignment="1">
      <alignment horizontal="center" wrapText="1"/>
    </xf>
    <xf numFmtId="0" fontId="0" fillId="6" borderId="21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0" fillId="7" borderId="1" xfId="0" applyNumberForma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164" fontId="0" fillId="11" borderId="1" xfId="0" applyNumberFormat="1" applyFill="1" applyBorder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2" borderId="1" xfId="0" applyFill="1" applyBorder="1" applyAlignment="1">
      <alignment vertical="center"/>
    </xf>
    <xf numFmtId="0" fontId="0" fillId="22" borderId="6" xfId="0" applyFill="1" applyBorder="1" applyAlignment="1">
      <alignment vertical="center"/>
    </xf>
    <xf numFmtId="14" fontId="0" fillId="7" borderId="2" xfId="0" applyNumberFormat="1" applyFill="1" applyBorder="1" applyAlignment="1">
      <alignment vertical="center" wrapText="1"/>
    </xf>
    <xf numFmtId="14" fontId="0" fillId="7" borderId="1" xfId="0" applyNumberFormat="1" applyFill="1" applyBorder="1" applyAlignment="1">
      <alignment vertical="center" wrapText="1"/>
    </xf>
    <xf numFmtId="0" fontId="6" fillId="8" borderId="8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wrapText="1"/>
    </xf>
    <xf numFmtId="0" fontId="3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0" fontId="0" fillId="24" borderId="4" xfId="0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1" xfId="0" applyNumberFormat="1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 vertical="center" wrapText="1"/>
    </xf>
    <xf numFmtId="0" fontId="0" fillId="24" borderId="1" xfId="0" quotePrefix="1" applyFill="1" applyBorder="1" applyAlignment="1">
      <alignment horizontal="center" vertical="center" wrapText="1"/>
    </xf>
    <xf numFmtId="14" fontId="4" fillId="24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0" fontId="0" fillId="24" borderId="1" xfId="0" applyFill="1" applyBorder="1"/>
    <xf numFmtId="14" fontId="0" fillId="7" borderId="2" xfId="0" applyNumberForma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3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24" borderId="2" xfId="0" applyFill="1" applyBorder="1" applyAlignment="1">
      <alignment horizontal="left" vertical="center"/>
    </xf>
    <xf numFmtId="0" fontId="0" fillId="24" borderId="4" xfId="0" applyFill="1" applyBorder="1" applyAlignment="1">
      <alignment horizontal="left" vertical="center"/>
    </xf>
    <xf numFmtId="0" fontId="0" fillId="24" borderId="2" xfId="0" applyFill="1" applyBorder="1" applyAlignment="1">
      <alignment vertical="center"/>
    </xf>
    <xf numFmtId="0" fontId="0" fillId="24" borderId="4" xfId="0" applyFill="1" applyBorder="1" applyAlignment="1">
      <alignment vertical="center"/>
    </xf>
    <xf numFmtId="0" fontId="0" fillId="24" borderId="2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4" borderId="2" xfId="0" applyFill="1" applyBorder="1" applyAlignment="1">
      <alignment vertical="center" wrapText="1"/>
    </xf>
    <xf numFmtId="0" fontId="0" fillId="24" borderId="4" xfId="0" applyFill="1" applyBorder="1" applyAlignment="1">
      <alignment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3" fillId="24" borderId="4" xfId="0" applyFont="1" applyFill="1" applyBorder="1" applyAlignment="1">
      <alignment horizontal="center" vertical="center" wrapText="1"/>
    </xf>
    <xf numFmtId="164" fontId="0" fillId="11" borderId="2" xfId="0" applyNumberFormat="1" applyFill="1" applyBorder="1" applyAlignment="1">
      <alignment horizontal="center" vertical="center" wrapText="1"/>
    </xf>
    <xf numFmtId="164" fontId="0" fillId="11" borderId="4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4" xfId="0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 vertical="center" wrapText="1"/>
    </xf>
    <xf numFmtId="164" fontId="0" fillId="18" borderId="2" xfId="0" applyNumberFormat="1" applyFill="1" applyBorder="1" applyAlignment="1">
      <alignment horizontal="center" vertical="center" wrapText="1"/>
    </xf>
    <xf numFmtId="164" fontId="0" fillId="18" borderId="4" xfId="0" applyNumberFormat="1" applyFill="1" applyBorder="1" applyAlignment="1">
      <alignment horizontal="center" vertical="center" wrapText="1"/>
    </xf>
    <xf numFmtId="0" fontId="9" fillId="24" borderId="2" xfId="0" applyFont="1" applyFill="1" applyBorder="1" applyAlignment="1">
      <alignment horizontal="center" vertical="center" wrapText="1"/>
    </xf>
    <xf numFmtId="0" fontId="9" fillId="24" borderId="4" xfId="0" applyFont="1" applyFill="1" applyBorder="1" applyAlignment="1">
      <alignment horizontal="center" vertical="center" wrapText="1"/>
    </xf>
    <xf numFmtId="14" fontId="0" fillId="24" borderId="2" xfId="0" applyNumberFormat="1" applyFill="1" applyBorder="1" applyAlignment="1">
      <alignment horizontal="center" vertical="center" wrapText="1"/>
    </xf>
    <xf numFmtId="14" fontId="0" fillId="24" borderId="4" xfId="0" applyNumberFormat="1" applyFill="1" applyBorder="1" applyAlignment="1">
      <alignment horizontal="center" vertical="center" wrapText="1"/>
    </xf>
    <xf numFmtId="0" fontId="9" fillId="24" borderId="3" xfId="0" applyFont="1" applyFill="1" applyBorder="1" applyAlignment="1">
      <alignment horizontal="center" vertical="center" wrapText="1"/>
    </xf>
    <xf numFmtId="14" fontId="0" fillId="24" borderId="3" xfId="0" applyNumberFormat="1" applyFill="1" applyBorder="1" applyAlignment="1">
      <alignment horizontal="center" vertical="center" wrapText="1"/>
    </xf>
    <xf numFmtId="3" fontId="0" fillId="24" borderId="2" xfId="0" applyNumberFormat="1" applyFill="1" applyBorder="1" applyAlignment="1">
      <alignment horizontal="center" vertical="center" wrapText="1"/>
    </xf>
    <xf numFmtId="3" fontId="0" fillId="24" borderId="4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3" fontId="0" fillId="24" borderId="3" xfId="0" applyNumberForma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164" fontId="9" fillId="18" borderId="1" xfId="0" applyNumberFormat="1" applyFont="1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textRotation="255"/>
    </xf>
    <xf numFmtId="0" fontId="3" fillId="7" borderId="3" xfId="0" applyFont="1" applyFill="1" applyBorder="1" applyAlignment="1">
      <alignment horizontal="center" vertical="center" textRotation="255"/>
    </xf>
    <xf numFmtId="0" fontId="3" fillId="7" borderId="4" xfId="0" applyFont="1" applyFill="1" applyBorder="1" applyAlignment="1">
      <alignment horizontal="center" vertical="center" textRotation="255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0" fillId="10" borderId="25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8" borderId="2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8" borderId="34" xfId="0" applyFill="1" applyBorder="1" applyAlignment="1">
      <alignment vertical="center" wrapText="1"/>
    </xf>
    <xf numFmtId="0" fontId="0" fillId="8" borderId="15" xfId="0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6" borderId="20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3" fillId="15" borderId="20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30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51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18" borderId="2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0" fontId="0" fillId="16" borderId="40" xfId="0" applyFill="1" applyBorder="1" applyAlignment="1">
      <alignment horizontal="center" vertical="center" wrapText="1"/>
    </xf>
    <xf numFmtId="0" fontId="0" fillId="16" borderId="39" xfId="0" applyFill="1" applyBorder="1" applyAlignment="1">
      <alignment horizontal="center" vertical="center" wrapText="1"/>
    </xf>
    <xf numFmtId="0" fontId="0" fillId="6" borderId="4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top" wrapText="1"/>
    </xf>
    <xf numFmtId="0" fontId="0" fillId="3" borderId="50" xfId="0" applyFill="1" applyBorder="1" applyAlignment="1">
      <alignment horizontal="center" vertical="top" wrapText="1"/>
    </xf>
    <xf numFmtId="0" fontId="0" fillId="15" borderId="6" xfId="0" applyFill="1" applyBorder="1" applyAlignment="1">
      <alignment vertical="center" wrapText="1"/>
    </xf>
    <xf numFmtId="0" fontId="0" fillId="15" borderId="4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21" xfId="0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38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10" borderId="21" xfId="0" applyFill="1" applyBorder="1" applyAlignment="1">
      <alignment vertical="center" wrapText="1"/>
    </xf>
    <xf numFmtId="0" fontId="0" fillId="10" borderId="43" xfId="0" applyFill="1" applyBorder="1" applyAlignment="1">
      <alignment vertical="center" wrapText="1"/>
    </xf>
    <xf numFmtId="0" fontId="0" fillId="10" borderId="6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3" fontId="0" fillId="7" borderId="4" xfId="0" applyNumberForma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14" fontId="0" fillId="7" borderId="4" xfId="0" applyNumberForma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F00FF"/>
      <color rgb="FFFF99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180975</xdr:colOff>
      <xdr:row>6</xdr:row>
      <xdr:rowOff>152400</xdr:rowOff>
    </xdr:to>
    <xdr:pic>
      <xdr:nvPicPr>
        <xdr:cNvPr id="2" name="Imagen 1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619500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180975</xdr:colOff>
      <xdr:row>7</xdr:row>
      <xdr:rowOff>152400</xdr:rowOff>
    </xdr:to>
    <xdr:pic>
      <xdr:nvPicPr>
        <xdr:cNvPr id="3" name="Imagen 2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191000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180975</xdr:colOff>
      <xdr:row>8</xdr:row>
      <xdr:rowOff>152400</xdr:rowOff>
    </xdr:to>
    <xdr:pic>
      <xdr:nvPicPr>
        <xdr:cNvPr id="4" name="Imagen 3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762500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180975</xdr:colOff>
      <xdr:row>9</xdr:row>
      <xdr:rowOff>152400</xdr:rowOff>
    </xdr:to>
    <xdr:pic>
      <xdr:nvPicPr>
        <xdr:cNvPr id="5" name="Imagen 4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5334000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180975</xdr:colOff>
      <xdr:row>24</xdr:row>
      <xdr:rowOff>152400</xdr:rowOff>
    </xdr:to>
    <xdr:pic>
      <xdr:nvPicPr>
        <xdr:cNvPr id="6" name="Imagen 5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6478250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180975</xdr:colOff>
      <xdr:row>25</xdr:row>
      <xdr:rowOff>152400</xdr:rowOff>
    </xdr:to>
    <xdr:pic>
      <xdr:nvPicPr>
        <xdr:cNvPr id="7" name="Imagen 6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7192625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180975</xdr:colOff>
      <xdr:row>31</xdr:row>
      <xdr:rowOff>152400</xdr:rowOff>
    </xdr:to>
    <xdr:pic>
      <xdr:nvPicPr>
        <xdr:cNvPr id="8" name="Imagen 7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1193125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180975</xdr:colOff>
      <xdr:row>32</xdr:row>
      <xdr:rowOff>152400</xdr:rowOff>
    </xdr:to>
    <xdr:pic>
      <xdr:nvPicPr>
        <xdr:cNvPr id="9" name="Imagen 8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1764625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180975</xdr:colOff>
      <xdr:row>33</xdr:row>
      <xdr:rowOff>152400</xdr:rowOff>
    </xdr:to>
    <xdr:pic>
      <xdr:nvPicPr>
        <xdr:cNvPr id="10" name="Imagen 9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2336125"/>
          <a:ext cx="1809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142875</xdr:colOff>
      <xdr:row>36</xdr:row>
      <xdr:rowOff>142875</xdr:rowOff>
    </xdr:to>
    <xdr:pic>
      <xdr:nvPicPr>
        <xdr:cNvPr id="11" name="Imagen 10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4050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142875</xdr:colOff>
      <xdr:row>37</xdr:row>
      <xdr:rowOff>142875</xdr:rowOff>
    </xdr:to>
    <xdr:pic>
      <xdr:nvPicPr>
        <xdr:cNvPr id="12" name="Imagen 11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4622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142875</xdr:colOff>
      <xdr:row>38</xdr:row>
      <xdr:rowOff>142875</xdr:rowOff>
    </xdr:to>
    <xdr:pic>
      <xdr:nvPicPr>
        <xdr:cNvPr id="13" name="Imagen 12" descr="Novedad Admisió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5193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topLeftCell="A9" zoomScale="80" zoomScaleNormal="80" workbookViewId="0">
      <selection activeCell="E27" sqref="E27:E29"/>
    </sheetView>
  </sheetViews>
  <sheetFormatPr baseColWidth="10" defaultColWidth="11.375" defaultRowHeight="30.1" customHeight="1" x14ac:dyDescent="0.25"/>
  <cols>
    <col min="1" max="1" width="9.25" style="76" customWidth="1"/>
    <col min="2" max="2" width="20.75" style="76" customWidth="1"/>
    <col min="3" max="3" width="23" style="76" customWidth="1"/>
    <col min="4" max="4" width="7" style="76" customWidth="1"/>
    <col min="5" max="5" width="14.625" style="124" bestFit="1" customWidth="1"/>
    <col min="6" max="6" width="14.625" style="76" customWidth="1"/>
    <col min="7" max="7" width="21.75" style="76" customWidth="1"/>
    <col min="8" max="8" width="13" style="76" customWidth="1"/>
    <col min="9" max="9" width="0" style="76" hidden="1" customWidth="1"/>
    <col min="10" max="10" width="14.375" style="76" customWidth="1"/>
    <col min="11" max="13" width="11.375" style="76"/>
    <col min="14" max="14" width="17" style="76" customWidth="1"/>
    <col min="15" max="15" width="11.375" style="76"/>
    <col min="16" max="16" width="35.875" style="76" customWidth="1"/>
    <col min="17" max="16384" width="11.375" style="76"/>
  </cols>
  <sheetData>
    <row r="1" spans="1:16" ht="30.1" customHeight="1" x14ac:dyDescent="0.25">
      <c r="A1" s="158" t="s">
        <v>526</v>
      </c>
      <c r="B1" s="6" t="s">
        <v>0</v>
      </c>
      <c r="C1" s="6" t="s">
        <v>1</v>
      </c>
      <c r="D1" s="6" t="s">
        <v>2</v>
      </c>
      <c r="E1" s="120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899</v>
      </c>
      <c r="P1" s="6" t="s">
        <v>14</v>
      </c>
    </row>
    <row r="2" spans="1:16" ht="30.1" customHeight="1" x14ac:dyDescent="0.25">
      <c r="A2" s="590">
        <v>1</v>
      </c>
      <c r="B2" s="590" t="s">
        <v>15</v>
      </c>
      <c r="C2" s="590" t="s">
        <v>16</v>
      </c>
      <c r="D2" s="590" t="s">
        <v>17</v>
      </c>
      <c r="E2" s="593">
        <v>115142288</v>
      </c>
      <c r="F2" s="590" t="s">
        <v>18</v>
      </c>
      <c r="G2" s="590" t="s">
        <v>19</v>
      </c>
      <c r="H2" s="590" t="s">
        <v>20</v>
      </c>
      <c r="I2" s="590"/>
      <c r="J2" s="587">
        <v>43272</v>
      </c>
      <c r="K2" s="587">
        <v>43280</v>
      </c>
      <c r="L2" s="587">
        <v>43309</v>
      </c>
      <c r="M2" s="57" t="s">
        <v>21</v>
      </c>
      <c r="N2" s="57" t="s">
        <v>22</v>
      </c>
      <c r="O2" s="74"/>
      <c r="P2" s="74"/>
    </row>
    <row r="3" spans="1:16" ht="30.1" customHeight="1" x14ac:dyDescent="0.25">
      <c r="A3" s="591"/>
      <c r="B3" s="591"/>
      <c r="C3" s="591"/>
      <c r="D3" s="591"/>
      <c r="E3" s="594"/>
      <c r="F3" s="591"/>
      <c r="G3" s="591"/>
      <c r="H3" s="591"/>
      <c r="I3" s="591"/>
      <c r="J3" s="588"/>
      <c r="K3" s="591"/>
      <c r="L3" s="591"/>
      <c r="M3" s="57" t="s">
        <v>23</v>
      </c>
      <c r="N3" s="57" t="s">
        <v>24</v>
      </c>
      <c r="O3" s="74"/>
      <c r="P3" s="74"/>
    </row>
    <row r="4" spans="1:16" ht="30.1" customHeight="1" x14ac:dyDescent="0.25">
      <c r="A4" s="592"/>
      <c r="B4" s="592"/>
      <c r="C4" s="592"/>
      <c r="D4" s="592"/>
      <c r="E4" s="595"/>
      <c r="F4" s="592"/>
      <c r="G4" s="592"/>
      <c r="H4" s="592"/>
      <c r="I4" s="592"/>
      <c r="J4" s="589"/>
      <c r="K4" s="592"/>
      <c r="L4" s="592"/>
      <c r="M4" s="57" t="s">
        <v>231</v>
      </c>
      <c r="N4" s="57" t="s">
        <v>25</v>
      </c>
      <c r="O4" s="74"/>
      <c r="P4" s="74"/>
    </row>
    <row r="5" spans="1:16" ht="30.1" customHeight="1" x14ac:dyDescent="0.25">
      <c r="A5" s="590">
        <v>2</v>
      </c>
      <c r="B5" s="590" t="s">
        <v>26</v>
      </c>
      <c r="C5" s="590" t="s">
        <v>27</v>
      </c>
      <c r="D5" s="590" t="s">
        <v>28</v>
      </c>
      <c r="E5" s="593">
        <v>25784195</v>
      </c>
      <c r="F5" s="590" t="s">
        <v>29</v>
      </c>
      <c r="G5" s="590" t="s">
        <v>30</v>
      </c>
      <c r="H5" s="590">
        <v>3215326011</v>
      </c>
      <c r="I5" s="590"/>
      <c r="J5" s="587">
        <v>43277</v>
      </c>
      <c r="K5" s="587">
        <v>43284</v>
      </c>
      <c r="L5" s="587">
        <v>43311</v>
      </c>
      <c r="M5" s="57">
        <v>30</v>
      </c>
      <c r="N5" s="57" t="s">
        <v>22</v>
      </c>
      <c r="O5" s="74"/>
      <c r="P5" s="190" t="s">
        <v>1024</v>
      </c>
    </row>
    <row r="6" spans="1:16" ht="30.1" customHeight="1" x14ac:dyDescent="0.25">
      <c r="A6" s="592"/>
      <c r="B6" s="592"/>
      <c r="C6" s="592"/>
      <c r="D6" s="592"/>
      <c r="E6" s="595"/>
      <c r="F6" s="592"/>
      <c r="G6" s="592"/>
      <c r="H6" s="592"/>
      <c r="I6" s="592"/>
      <c r="J6" s="589"/>
      <c r="K6" s="589"/>
      <c r="L6" s="589"/>
      <c r="M6" s="57">
        <v>30</v>
      </c>
      <c r="N6" s="57" t="s">
        <v>24</v>
      </c>
      <c r="O6" s="74"/>
      <c r="P6" s="74"/>
    </row>
    <row r="7" spans="1:16" ht="30.1" customHeight="1" x14ac:dyDescent="0.25">
      <c r="A7" s="590">
        <v>3</v>
      </c>
      <c r="B7" s="590" t="s">
        <v>31</v>
      </c>
      <c r="C7" s="590" t="s">
        <v>32</v>
      </c>
      <c r="D7" s="590" t="s">
        <v>28</v>
      </c>
      <c r="E7" s="593">
        <v>1233340477</v>
      </c>
      <c r="F7" s="590" t="s">
        <v>29</v>
      </c>
      <c r="G7" s="590" t="s">
        <v>33</v>
      </c>
      <c r="H7" s="590">
        <v>3216610082</v>
      </c>
      <c r="I7" s="57"/>
      <c r="J7" s="587">
        <v>43278</v>
      </c>
      <c r="K7" s="587">
        <v>43284</v>
      </c>
      <c r="L7" s="587">
        <v>43311</v>
      </c>
      <c r="M7" s="57">
        <v>30</v>
      </c>
      <c r="N7" s="57" t="s">
        <v>22</v>
      </c>
      <c r="O7" s="74"/>
      <c r="P7" s="74"/>
    </row>
    <row r="8" spans="1:16" ht="30.1" customHeight="1" x14ac:dyDescent="0.25">
      <c r="A8" s="592"/>
      <c r="B8" s="592"/>
      <c r="C8" s="592"/>
      <c r="D8" s="592"/>
      <c r="E8" s="595"/>
      <c r="F8" s="592"/>
      <c r="G8" s="592"/>
      <c r="H8" s="592"/>
      <c r="I8" s="57"/>
      <c r="J8" s="589"/>
      <c r="K8" s="589"/>
      <c r="L8" s="589"/>
      <c r="M8" s="57">
        <v>20</v>
      </c>
      <c r="N8" s="57" t="s">
        <v>24</v>
      </c>
      <c r="O8" s="74"/>
      <c r="P8" s="74"/>
    </row>
    <row r="9" spans="1:16" ht="30.1" customHeight="1" x14ac:dyDescent="0.25">
      <c r="A9" s="590">
        <v>4</v>
      </c>
      <c r="B9" s="597" t="s">
        <v>34</v>
      </c>
      <c r="C9" s="597" t="s">
        <v>35</v>
      </c>
      <c r="D9" s="597" t="s">
        <v>28</v>
      </c>
      <c r="E9" s="598">
        <v>50896806</v>
      </c>
      <c r="F9" s="597" t="s">
        <v>18</v>
      </c>
      <c r="G9" s="597" t="s">
        <v>997</v>
      </c>
      <c r="H9" s="597" t="s">
        <v>996</v>
      </c>
      <c r="I9" s="57"/>
      <c r="J9" s="596">
        <v>43278</v>
      </c>
      <c r="K9" s="596">
        <v>43284</v>
      </c>
      <c r="L9" s="596">
        <v>43311</v>
      </c>
      <c r="M9" s="57">
        <v>30</v>
      </c>
      <c r="N9" s="57" t="s">
        <v>22</v>
      </c>
      <c r="O9" s="74"/>
      <c r="P9" s="74"/>
    </row>
    <row r="10" spans="1:16" ht="30.1" customHeight="1" x14ac:dyDescent="0.25">
      <c r="A10" s="592"/>
      <c r="B10" s="597"/>
      <c r="C10" s="597"/>
      <c r="D10" s="597"/>
      <c r="E10" s="598"/>
      <c r="F10" s="597"/>
      <c r="G10" s="597"/>
      <c r="H10" s="597"/>
      <c r="I10" s="57"/>
      <c r="J10" s="596"/>
      <c r="K10" s="596"/>
      <c r="L10" s="596"/>
      <c r="M10" s="57">
        <v>30</v>
      </c>
      <c r="N10" s="57" t="s">
        <v>24</v>
      </c>
      <c r="O10" s="74"/>
      <c r="P10" s="74"/>
    </row>
    <row r="11" spans="1:16" ht="30.1" customHeight="1" x14ac:dyDescent="0.25">
      <c r="A11" s="125">
        <v>5</v>
      </c>
      <c r="B11" s="68" t="s">
        <v>232</v>
      </c>
      <c r="C11" s="68" t="s">
        <v>233</v>
      </c>
      <c r="D11" s="68" t="s">
        <v>28</v>
      </c>
      <c r="E11" s="121">
        <v>35000129</v>
      </c>
      <c r="F11" s="68" t="s">
        <v>29</v>
      </c>
      <c r="G11" s="68" t="s">
        <v>713</v>
      </c>
      <c r="H11" s="68">
        <v>3116558216</v>
      </c>
      <c r="I11" s="68"/>
      <c r="J11" s="77">
        <v>43280</v>
      </c>
      <c r="K11" s="77">
        <v>43290</v>
      </c>
      <c r="L11" s="77">
        <v>43289</v>
      </c>
      <c r="M11" s="57">
        <v>30</v>
      </c>
      <c r="N11" s="57" t="s">
        <v>22</v>
      </c>
      <c r="O11" s="74"/>
      <c r="P11" s="74"/>
    </row>
    <row r="12" spans="1:16" ht="30.1" customHeight="1" x14ac:dyDescent="0.25">
      <c r="A12" s="590">
        <v>6</v>
      </c>
      <c r="B12" s="597" t="s">
        <v>234</v>
      </c>
      <c r="C12" s="597" t="s">
        <v>235</v>
      </c>
      <c r="D12" s="597" t="s">
        <v>28</v>
      </c>
      <c r="E12" s="598">
        <v>6573462</v>
      </c>
      <c r="F12" s="597" t="s">
        <v>29</v>
      </c>
      <c r="G12" s="597" t="s">
        <v>714</v>
      </c>
      <c r="H12" s="597">
        <v>3205547766</v>
      </c>
      <c r="I12" s="57"/>
      <c r="J12" s="596">
        <v>43280</v>
      </c>
      <c r="K12" s="78">
        <v>43284</v>
      </c>
      <c r="L12" s="596">
        <v>43311</v>
      </c>
      <c r="M12" s="75">
        <v>15</v>
      </c>
      <c r="N12" s="57" t="s">
        <v>24</v>
      </c>
      <c r="O12" s="74"/>
      <c r="P12" s="74"/>
    </row>
    <row r="13" spans="1:16" ht="30.1" customHeight="1" x14ac:dyDescent="0.25">
      <c r="A13" s="591"/>
      <c r="B13" s="597"/>
      <c r="C13" s="597"/>
      <c r="D13" s="597"/>
      <c r="E13" s="598"/>
      <c r="F13" s="597"/>
      <c r="G13" s="597"/>
      <c r="H13" s="597"/>
      <c r="I13" s="57"/>
      <c r="J13" s="596"/>
      <c r="K13" s="78">
        <v>43293</v>
      </c>
      <c r="L13" s="596"/>
      <c r="M13" s="75">
        <v>20</v>
      </c>
      <c r="N13" s="57" t="s">
        <v>22</v>
      </c>
      <c r="O13" s="74"/>
      <c r="P13" s="74"/>
    </row>
    <row r="14" spans="1:16" ht="30.1" customHeight="1" x14ac:dyDescent="0.25">
      <c r="A14" s="592"/>
      <c r="B14" s="597"/>
      <c r="C14" s="597"/>
      <c r="D14" s="597"/>
      <c r="E14" s="598"/>
      <c r="F14" s="597"/>
      <c r="G14" s="597"/>
      <c r="H14" s="597"/>
      <c r="I14" s="57"/>
      <c r="J14" s="596"/>
      <c r="K14" s="78">
        <v>43284</v>
      </c>
      <c r="L14" s="596"/>
      <c r="M14" s="57">
        <v>20</v>
      </c>
      <c r="N14" s="57" t="s">
        <v>50</v>
      </c>
      <c r="O14" s="74"/>
      <c r="P14" s="74"/>
    </row>
    <row r="15" spans="1:16" ht="30.1" customHeight="1" x14ac:dyDescent="0.25">
      <c r="A15" s="590">
        <v>7</v>
      </c>
      <c r="B15" s="590" t="s">
        <v>236</v>
      </c>
      <c r="C15" s="590" t="s">
        <v>237</v>
      </c>
      <c r="D15" s="590" t="s">
        <v>28</v>
      </c>
      <c r="E15" s="593">
        <v>50956044</v>
      </c>
      <c r="F15" s="590" t="s">
        <v>18</v>
      </c>
      <c r="G15" s="590" t="s">
        <v>238</v>
      </c>
      <c r="H15" s="590">
        <v>3216612540</v>
      </c>
      <c r="I15" s="57"/>
      <c r="J15" s="587">
        <v>43280</v>
      </c>
      <c r="K15" s="78">
        <v>43284</v>
      </c>
      <c r="L15" s="78">
        <v>43311</v>
      </c>
      <c r="M15" s="57">
        <v>24</v>
      </c>
      <c r="N15" s="597" t="s">
        <v>22</v>
      </c>
      <c r="O15" s="74"/>
      <c r="P15" s="74"/>
    </row>
    <row r="16" spans="1:16" ht="30.1" customHeight="1" x14ac:dyDescent="0.25">
      <c r="A16" s="592"/>
      <c r="B16" s="592"/>
      <c r="C16" s="592"/>
      <c r="D16" s="592"/>
      <c r="E16" s="595"/>
      <c r="F16" s="592"/>
      <c r="G16" s="592"/>
      <c r="H16" s="592"/>
      <c r="I16" s="57"/>
      <c r="J16" s="589"/>
      <c r="K16" s="78">
        <v>43313</v>
      </c>
      <c r="L16" s="78">
        <v>43343</v>
      </c>
      <c r="M16" s="57">
        <v>24</v>
      </c>
      <c r="N16" s="597"/>
      <c r="O16" s="74"/>
      <c r="P16" s="74"/>
    </row>
    <row r="17" spans="1:16" ht="30.1" customHeight="1" x14ac:dyDescent="0.25">
      <c r="A17" s="125">
        <v>8</v>
      </c>
      <c r="B17" s="57" t="s">
        <v>239</v>
      </c>
      <c r="C17" s="57" t="s">
        <v>240</v>
      </c>
      <c r="D17" s="57" t="s">
        <v>28</v>
      </c>
      <c r="E17" s="122">
        <v>34964808</v>
      </c>
      <c r="F17" s="57" t="s">
        <v>241</v>
      </c>
      <c r="G17" s="57" t="s">
        <v>715</v>
      </c>
      <c r="H17" s="57">
        <v>3013086551</v>
      </c>
      <c r="I17" s="57"/>
      <c r="J17" s="78">
        <v>43280</v>
      </c>
      <c r="K17" s="78">
        <v>43285</v>
      </c>
      <c r="L17" s="78">
        <v>43304</v>
      </c>
      <c r="M17" s="57">
        <v>10</v>
      </c>
      <c r="N17" s="57" t="s">
        <v>22</v>
      </c>
      <c r="O17" s="74"/>
      <c r="P17" s="74"/>
    </row>
    <row r="18" spans="1:16" ht="30.1" customHeight="1" x14ac:dyDescent="0.25">
      <c r="A18" s="590">
        <v>9</v>
      </c>
      <c r="B18" s="590" t="s">
        <v>131</v>
      </c>
      <c r="C18" s="590" t="s">
        <v>132</v>
      </c>
      <c r="D18" s="590" t="s">
        <v>28</v>
      </c>
      <c r="E18" s="593">
        <v>1067938627</v>
      </c>
      <c r="F18" s="590" t="s">
        <v>100</v>
      </c>
      <c r="G18" s="590" t="s">
        <v>19</v>
      </c>
      <c r="H18" s="590"/>
      <c r="I18" s="57"/>
      <c r="J18" s="78">
        <v>43291</v>
      </c>
      <c r="K18" s="78">
        <v>43292</v>
      </c>
      <c r="L18" s="78">
        <v>43324</v>
      </c>
      <c r="M18" s="57">
        <v>30</v>
      </c>
      <c r="N18" s="57" t="s">
        <v>22</v>
      </c>
      <c r="O18" s="74"/>
      <c r="P18" s="74"/>
    </row>
    <row r="19" spans="1:16" ht="30.1" customHeight="1" x14ac:dyDescent="0.25">
      <c r="A19" s="592"/>
      <c r="B19" s="592"/>
      <c r="C19" s="592"/>
      <c r="D19" s="592"/>
      <c r="E19" s="595"/>
      <c r="F19" s="592"/>
      <c r="G19" s="592"/>
      <c r="H19" s="592"/>
      <c r="I19" s="57"/>
      <c r="J19" s="78">
        <v>43291</v>
      </c>
      <c r="K19" s="78">
        <v>43292</v>
      </c>
      <c r="L19" s="78">
        <v>43324</v>
      </c>
      <c r="M19" s="57">
        <v>30</v>
      </c>
      <c r="N19" s="57" t="s">
        <v>24</v>
      </c>
      <c r="O19" s="74"/>
      <c r="P19" s="74"/>
    </row>
    <row r="20" spans="1:16" ht="30.1" customHeight="1" x14ac:dyDescent="0.25">
      <c r="A20" s="590">
        <v>10</v>
      </c>
      <c r="B20" s="590" t="s">
        <v>708</v>
      </c>
      <c r="C20" s="590" t="s">
        <v>709</v>
      </c>
      <c r="D20" s="590" t="s">
        <v>28</v>
      </c>
      <c r="E20" s="593">
        <v>25765953</v>
      </c>
      <c r="F20" s="590" t="s">
        <v>29</v>
      </c>
      <c r="G20" s="590" t="s">
        <v>716</v>
      </c>
      <c r="H20" s="590">
        <v>3107449534</v>
      </c>
      <c r="I20" s="57"/>
      <c r="J20" s="587">
        <v>43287</v>
      </c>
      <c r="K20" s="587">
        <v>43288</v>
      </c>
      <c r="L20" s="587">
        <v>43318</v>
      </c>
      <c r="M20" s="590">
        <v>20</v>
      </c>
      <c r="N20" s="590" t="s">
        <v>22</v>
      </c>
      <c r="O20" s="74"/>
      <c r="P20" s="74"/>
    </row>
    <row r="21" spans="1:16" ht="30.1" customHeight="1" x14ac:dyDescent="0.25">
      <c r="A21" s="592"/>
      <c r="B21" s="592"/>
      <c r="C21" s="592"/>
      <c r="D21" s="592"/>
      <c r="E21" s="595"/>
      <c r="F21" s="592"/>
      <c r="G21" s="592"/>
      <c r="H21" s="592"/>
      <c r="I21" s="57"/>
      <c r="J21" s="589"/>
      <c r="K21" s="589"/>
      <c r="L21" s="589"/>
      <c r="M21" s="592"/>
      <c r="N21" s="592"/>
      <c r="O21" s="74"/>
      <c r="P21" s="74"/>
    </row>
    <row r="22" spans="1:16" ht="30.1" customHeight="1" x14ac:dyDescent="0.25">
      <c r="A22" s="590">
        <v>11</v>
      </c>
      <c r="B22" s="590" t="s">
        <v>717</v>
      </c>
      <c r="C22" s="590" t="s">
        <v>718</v>
      </c>
      <c r="D22" s="590" t="s">
        <v>28</v>
      </c>
      <c r="E22" s="593">
        <v>1067959980</v>
      </c>
      <c r="F22" s="590" t="s">
        <v>29</v>
      </c>
      <c r="G22" s="590" t="s">
        <v>719</v>
      </c>
      <c r="H22" s="590">
        <v>3013110979</v>
      </c>
      <c r="I22" s="57"/>
      <c r="J22" s="587">
        <v>43287</v>
      </c>
      <c r="K22" s="587">
        <v>43288</v>
      </c>
      <c r="L22" s="587">
        <v>43318</v>
      </c>
      <c r="M22" s="57">
        <v>20</v>
      </c>
      <c r="N22" s="57" t="s">
        <v>22</v>
      </c>
      <c r="O22" s="74"/>
      <c r="P22" s="74"/>
    </row>
    <row r="23" spans="1:16" ht="30.1" customHeight="1" x14ac:dyDescent="0.25">
      <c r="A23" s="591"/>
      <c r="B23" s="591"/>
      <c r="C23" s="591"/>
      <c r="D23" s="591"/>
      <c r="E23" s="594"/>
      <c r="F23" s="591"/>
      <c r="G23" s="591"/>
      <c r="H23" s="591"/>
      <c r="I23" s="57"/>
      <c r="J23" s="588"/>
      <c r="K23" s="588"/>
      <c r="L23" s="588"/>
      <c r="M23" s="57">
        <v>20</v>
      </c>
      <c r="N23" s="57" t="s">
        <v>50</v>
      </c>
      <c r="O23" s="74"/>
      <c r="P23" s="74"/>
    </row>
    <row r="24" spans="1:16" ht="30.1" customHeight="1" x14ac:dyDescent="0.25">
      <c r="A24" s="592"/>
      <c r="B24" s="592"/>
      <c r="C24" s="592"/>
      <c r="D24" s="592"/>
      <c r="E24" s="595"/>
      <c r="F24" s="592"/>
      <c r="G24" s="592"/>
      <c r="H24" s="592"/>
      <c r="I24" s="57"/>
      <c r="J24" s="589"/>
      <c r="K24" s="589"/>
      <c r="L24" s="589"/>
      <c r="M24" s="57">
        <v>20</v>
      </c>
      <c r="N24" s="57" t="s">
        <v>24</v>
      </c>
      <c r="O24" s="74"/>
      <c r="P24" s="74"/>
    </row>
    <row r="25" spans="1:16" ht="30.1" customHeight="1" x14ac:dyDescent="0.25">
      <c r="A25" s="125">
        <v>12</v>
      </c>
      <c r="B25" s="57" t="s">
        <v>114</v>
      </c>
      <c r="C25" s="57" t="s">
        <v>115</v>
      </c>
      <c r="D25" s="57" t="s">
        <v>28</v>
      </c>
      <c r="E25" s="122">
        <v>1134329040</v>
      </c>
      <c r="F25" s="57" t="s">
        <v>100</v>
      </c>
      <c r="G25" s="57" t="s">
        <v>720</v>
      </c>
      <c r="H25" s="57">
        <v>3225970377</v>
      </c>
      <c r="I25" s="57"/>
      <c r="J25" s="78">
        <v>43290</v>
      </c>
      <c r="K25" s="78">
        <v>43290</v>
      </c>
      <c r="L25" s="78">
        <v>43291</v>
      </c>
      <c r="M25" s="57">
        <v>40</v>
      </c>
      <c r="N25" s="57" t="s">
        <v>22</v>
      </c>
      <c r="O25" s="74"/>
      <c r="P25" s="74"/>
    </row>
    <row r="26" spans="1:16" ht="30.1" customHeight="1" x14ac:dyDescent="0.25">
      <c r="A26" s="125">
        <v>13</v>
      </c>
      <c r="B26" s="57" t="s">
        <v>721</v>
      </c>
      <c r="C26" s="57" t="s">
        <v>722</v>
      </c>
      <c r="D26" s="57" t="s">
        <v>28</v>
      </c>
      <c r="E26" s="122">
        <v>34961587</v>
      </c>
      <c r="F26" s="57" t="s">
        <v>100</v>
      </c>
      <c r="G26" s="57" t="s">
        <v>723</v>
      </c>
      <c r="H26" s="57" t="s">
        <v>724</v>
      </c>
      <c r="I26" s="57"/>
      <c r="J26" s="78">
        <v>43291</v>
      </c>
      <c r="K26" s="78">
        <v>43293</v>
      </c>
      <c r="L26" s="117">
        <v>43476</v>
      </c>
      <c r="M26" s="57">
        <v>72</v>
      </c>
      <c r="N26" s="57" t="s">
        <v>24</v>
      </c>
      <c r="O26" s="57" t="s">
        <v>725</v>
      </c>
      <c r="P26" s="74"/>
    </row>
    <row r="27" spans="1:16" ht="30.1" customHeight="1" x14ac:dyDescent="0.25">
      <c r="A27" s="590">
        <v>14</v>
      </c>
      <c r="B27" s="597" t="s">
        <v>215</v>
      </c>
      <c r="C27" s="597" t="s">
        <v>726</v>
      </c>
      <c r="D27" s="597" t="s">
        <v>28</v>
      </c>
      <c r="E27" s="598">
        <v>6863365</v>
      </c>
      <c r="F27" s="597" t="s">
        <v>29</v>
      </c>
      <c r="G27" s="597" t="s">
        <v>727</v>
      </c>
      <c r="H27" s="597">
        <v>3008151227</v>
      </c>
      <c r="I27" s="57"/>
      <c r="J27" s="596">
        <v>43291</v>
      </c>
      <c r="K27" s="596">
        <v>43292</v>
      </c>
      <c r="L27" s="596">
        <v>43312</v>
      </c>
      <c r="M27" s="57">
        <v>20</v>
      </c>
      <c r="N27" s="57" t="s">
        <v>22</v>
      </c>
      <c r="O27" s="57"/>
      <c r="P27" s="74"/>
    </row>
    <row r="28" spans="1:16" ht="30.1" customHeight="1" x14ac:dyDescent="0.25">
      <c r="A28" s="591"/>
      <c r="B28" s="597"/>
      <c r="C28" s="597"/>
      <c r="D28" s="597"/>
      <c r="E28" s="598"/>
      <c r="F28" s="597"/>
      <c r="G28" s="597"/>
      <c r="H28" s="597"/>
      <c r="I28" s="118"/>
      <c r="J28" s="596"/>
      <c r="K28" s="596"/>
      <c r="L28" s="596"/>
      <c r="M28" s="118">
        <v>12</v>
      </c>
      <c r="N28" s="118" t="s">
        <v>25</v>
      </c>
      <c r="O28" s="118"/>
      <c r="P28" s="74" t="s">
        <v>1003</v>
      </c>
    </row>
    <row r="29" spans="1:16" ht="30.1" customHeight="1" x14ac:dyDescent="0.25">
      <c r="A29" s="592"/>
      <c r="B29" s="597"/>
      <c r="C29" s="597"/>
      <c r="D29" s="597"/>
      <c r="E29" s="598"/>
      <c r="F29" s="597"/>
      <c r="G29" s="597"/>
      <c r="H29" s="597"/>
      <c r="I29" s="57"/>
      <c r="J29" s="596"/>
      <c r="K29" s="596"/>
      <c r="L29" s="596"/>
      <c r="M29" s="57">
        <v>12</v>
      </c>
      <c r="N29" s="57" t="s">
        <v>24</v>
      </c>
      <c r="O29" s="57"/>
      <c r="P29" s="74"/>
    </row>
    <row r="30" spans="1:16" ht="30.1" customHeight="1" x14ac:dyDescent="0.25">
      <c r="A30" s="125">
        <v>15</v>
      </c>
      <c r="B30" s="57" t="s">
        <v>728</v>
      </c>
      <c r="C30" s="57" t="s">
        <v>729</v>
      </c>
      <c r="D30" s="57" t="s">
        <v>28</v>
      </c>
      <c r="E30" s="122">
        <v>1575016</v>
      </c>
      <c r="F30" s="57" t="s">
        <v>72</v>
      </c>
      <c r="G30" s="57"/>
      <c r="H30" s="57"/>
      <c r="I30" s="57"/>
      <c r="J30" s="78">
        <v>43290</v>
      </c>
      <c r="K30" s="89">
        <v>42917</v>
      </c>
      <c r="L30" s="89">
        <v>43311</v>
      </c>
      <c r="M30" s="57">
        <v>20</v>
      </c>
      <c r="N30" s="57" t="s">
        <v>22</v>
      </c>
      <c r="O30" s="57"/>
      <c r="P30" s="74"/>
    </row>
    <row r="31" spans="1:16" ht="30.1" customHeight="1" x14ac:dyDescent="0.25">
      <c r="A31" s="590">
        <v>16</v>
      </c>
      <c r="B31" s="590" t="s">
        <v>735</v>
      </c>
      <c r="C31" s="590" t="s">
        <v>736</v>
      </c>
      <c r="D31" s="590" t="s">
        <v>28</v>
      </c>
      <c r="E31" s="593">
        <v>1067955615</v>
      </c>
      <c r="F31" s="590" t="s">
        <v>72</v>
      </c>
      <c r="G31" s="590" t="s">
        <v>737</v>
      </c>
      <c r="H31" s="590">
        <v>3145862419</v>
      </c>
      <c r="I31" s="57"/>
      <c r="J31" s="587">
        <v>43285</v>
      </c>
      <c r="K31" s="566">
        <v>43290</v>
      </c>
      <c r="L31" s="566">
        <v>43312</v>
      </c>
      <c r="M31" s="57">
        <v>96</v>
      </c>
      <c r="N31" s="57" t="s">
        <v>22</v>
      </c>
      <c r="O31" s="590" t="s">
        <v>738</v>
      </c>
      <c r="P31" s="74"/>
    </row>
    <row r="32" spans="1:16" ht="30.1" customHeight="1" x14ac:dyDescent="0.25">
      <c r="A32" s="592"/>
      <c r="B32" s="592"/>
      <c r="C32" s="592"/>
      <c r="D32" s="592"/>
      <c r="E32" s="595"/>
      <c r="F32" s="592"/>
      <c r="G32" s="592"/>
      <c r="H32" s="592"/>
      <c r="I32" s="57"/>
      <c r="J32" s="589"/>
      <c r="K32" s="567">
        <v>43304</v>
      </c>
      <c r="L32" s="567">
        <v>43334</v>
      </c>
      <c r="M32" s="57">
        <v>96</v>
      </c>
      <c r="N32" s="57" t="s">
        <v>24</v>
      </c>
      <c r="O32" s="592"/>
      <c r="P32" s="74"/>
    </row>
    <row r="33" spans="1:17" ht="30.1" customHeight="1" x14ac:dyDescent="0.25">
      <c r="A33" s="125">
        <v>17</v>
      </c>
      <c r="B33" s="57" t="s">
        <v>743</v>
      </c>
      <c r="C33" s="57" t="s">
        <v>744</v>
      </c>
      <c r="D33" s="57"/>
      <c r="E33" s="122"/>
      <c r="F33" s="57"/>
      <c r="G33" s="57" t="s">
        <v>745</v>
      </c>
      <c r="H33" s="57" t="s">
        <v>746</v>
      </c>
      <c r="I33" s="57"/>
      <c r="J33" s="78">
        <v>43292</v>
      </c>
      <c r="K33" s="78">
        <v>43292</v>
      </c>
      <c r="L33" s="78">
        <v>43296</v>
      </c>
      <c r="M33" s="57" t="s">
        <v>747</v>
      </c>
      <c r="N33" s="57" t="s">
        <v>25</v>
      </c>
      <c r="O33" s="57"/>
      <c r="P33" s="57"/>
    </row>
    <row r="34" spans="1:17" ht="30.1" customHeight="1" x14ac:dyDescent="0.25">
      <c r="A34" s="125">
        <v>18</v>
      </c>
      <c r="B34" s="57" t="s">
        <v>772</v>
      </c>
      <c r="C34" s="57" t="s">
        <v>773</v>
      </c>
      <c r="D34" s="57" t="s">
        <v>17</v>
      </c>
      <c r="E34" s="122">
        <v>10629829889</v>
      </c>
      <c r="F34" s="57" t="s">
        <v>18</v>
      </c>
      <c r="G34" s="57" t="s">
        <v>774</v>
      </c>
      <c r="H34" s="57" t="s">
        <v>775</v>
      </c>
      <c r="I34" s="57"/>
      <c r="J34" s="78">
        <v>43293</v>
      </c>
      <c r="K34" s="78">
        <v>43293</v>
      </c>
      <c r="L34" s="78">
        <v>43298</v>
      </c>
      <c r="M34" s="57" t="s">
        <v>776</v>
      </c>
      <c r="N34" s="57" t="s">
        <v>25</v>
      </c>
      <c r="O34" s="57"/>
      <c r="P34" s="57"/>
      <c r="Q34" s="79"/>
    </row>
    <row r="35" spans="1:17" ht="30.1" customHeight="1" x14ac:dyDescent="0.25">
      <c r="A35" s="125">
        <v>19</v>
      </c>
      <c r="B35" s="57" t="s">
        <v>777</v>
      </c>
      <c r="C35" s="57" t="s">
        <v>778</v>
      </c>
      <c r="D35" s="57" t="s">
        <v>17</v>
      </c>
      <c r="E35" s="122">
        <v>1233344559</v>
      </c>
      <c r="F35" s="57" t="s">
        <v>18</v>
      </c>
      <c r="G35" s="57" t="s">
        <v>779</v>
      </c>
      <c r="H35" s="57" t="s">
        <v>780</v>
      </c>
      <c r="I35" s="57"/>
      <c r="J35" s="78">
        <v>43293</v>
      </c>
      <c r="K35" s="78">
        <v>43293</v>
      </c>
      <c r="L35" s="78">
        <v>43298</v>
      </c>
      <c r="M35" s="57" t="s">
        <v>776</v>
      </c>
      <c r="N35" s="57" t="s">
        <v>25</v>
      </c>
      <c r="O35" s="57"/>
      <c r="P35" s="57"/>
    </row>
    <row r="36" spans="1:17" ht="30.1" customHeight="1" x14ac:dyDescent="0.25">
      <c r="A36" s="125">
        <v>20</v>
      </c>
      <c r="B36" s="57" t="s">
        <v>828</v>
      </c>
      <c r="C36" s="57" t="s">
        <v>785</v>
      </c>
      <c r="D36" s="57" t="s">
        <v>28</v>
      </c>
      <c r="E36" s="122">
        <v>1063646868</v>
      </c>
      <c r="F36" s="57" t="s">
        <v>18</v>
      </c>
      <c r="G36" s="57" t="s">
        <v>786</v>
      </c>
      <c r="H36" s="57" t="s">
        <v>787</v>
      </c>
      <c r="I36" s="57"/>
      <c r="J36" s="78">
        <v>43286</v>
      </c>
      <c r="K36" s="78">
        <v>43286</v>
      </c>
      <c r="L36" s="78">
        <v>43308</v>
      </c>
      <c r="M36" s="82">
        <v>15</v>
      </c>
      <c r="N36" s="57" t="s">
        <v>22</v>
      </c>
      <c r="O36" s="57"/>
      <c r="P36" s="57"/>
    </row>
    <row r="37" spans="1:17" ht="30.1" customHeight="1" x14ac:dyDescent="0.25">
      <c r="A37" s="125">
        <v>21</v>
      </c>
      <c r="B37" s="80" t="s">
        <v>812</v>
      </c>
      <c r="C37" s="80" t="s">
        <v>813</v>
      </c>
      <c r="D37" s="80" t="s">
        <v>28</v>
      </c>
      <c r="E37" s="123">
        <v>22163950</v>
      </c>
      <c r="F37" s="80" t="s">
        <v>18</v>
      </c>
      <c r="G37" s="80" t="s">
        <v>814</v>
      </c>
      <c r="H37" s="80">
        <v>3127926549</v>
      </c>
      <c r="I37" s="80"/>
      <c r="J37" s="81">
        <v>43295</v>
      </c>
      <c r="K37" s="81">
        <v>43295</v>
      </c>
      <c r="L37" s="81">
        <v>43301</v>
      </c>
      <c r="M37" s="80" t="s">
        <v>820</v>
      </c>
      <c r="N37" s="80" t="s">
        <v>25</v>
      </c>
      <c r="O37" s="80"/>
      <c r="P37" s="80"/>
    </row>
    <row r="38" spans="1:17" ht="30.1" customHeight="1" x14ac:dyDescent="0.25">
      <c r="A38" s="125">
        <v>22</v>
      </c>
      <c r="B38" s="80" t="s">
        <v>823</v>
      </c>
      <c r="C38" s="80" t="s">
        <v>824</v>
      </c>
      <c r="D38" s="80" t="s">
        <v>28</v>
      </c>
      <c r="E38" s="123">
        <v>6871555</v>
      </c>
      <c r="F38" s="80" t="s">
        <v>18</v>
      </c>
      <c r="G38" s="80" t="s">
        <v>19</v>
      </c>
      <c r="H38" s="80"/>
      <c r="I38" s="80"/>
      <c r="J38" s="81">
        <v>43291</v>
      </c>
      <c r="K38" s="81">
        <v>43291</v>
      </c>
      <c r="L38" s="81">
        <v>43321</v>
      </c>
      <c r="M38" s="80">
        <v>60</v>
      </c>
      <c r="N38" s="80" t="s">
        <v>25</v>
      </c>
      <c r="O38" s="80"/>
      <c r="P38" s="80"/>
    </row>
    <row r="39" spans="1:17" ht="30.1" customHeight="1" x14ac:dyDescent="0.25">
      <c r="A39" s="125">
        <v>23</v>
      </c>
      <c r="B39" s="80" t="s">
        <v>825</v>
      </c>
      <c r="C39" s="80" t="s">
        <v>826</v>
      </c>
      <c r="D39" s="80" t="s">
        <v>28</v>
      </c>
      <c r="E39" s="123">
        <v>10915652</v>
      </c>
      <c r="F39" s="80" t="s">
        <v>18</v>
      </c>
      <c r="G39" s="80" t="s">
        <v>827</v>
      </c>
      <c r="H39" s="80">
        <v>3226226378</v>
      </c>
      <c r="I39" s="80"/>
      <c r="J39" s="81">
        <v>43295</v>
      </c>
      <c r="K39" s="81">
        <v>43295</v>
      </c>
      <c r="L39" s="81">
        <v>43301</v>
      </c>
      <c r="M39" s="80" t="s">
        <v>820</v>
      </c>
      <c r="N39" s="80" t="s">
        <v>25</v>
      </c>
      <c r="O39" s="80"/>
      <c r="P39" s="80"/>
    </row>
    <row r="40" spans="1:17" ht="30.1" customHeight="1" x14ac:dyDescent="0.25">
      <c r="A40" s="125">
        <v>24</v>
      </c>
      <c r="B40" s="80" t="s">
        <v>829</v>
      </c>
      <c r="C40" s="80" t="s">
        <v>830</v>
      </c>
      <c r="D40" s="80" t="s">
        <v>28</v>
      </c>
      <c r="E40" s="123">
        <v>25756991</v>
      </c>
      <c r="F40" s="80" t="s">
        <v>29</v>
      </c>
      <c r="G40" s="80" t="s">
        <v>831</v>
      </c>
      <c r="H40" s="80">
        <v>3114020424</v>
      </c>
      <c r="I40" s="80"/>
      <c r="J40" s="81">
        <v>43294</v>
      </c>
      <c r="K40" s="81">
        <v>43297</v>
      </c>
      <c r="L40" s="81">
        <v>43318</v>
      </c>
      <c r="M40" s="80">
        <v>15</v>
      </c>
      <c r="N40" s="80" t="s">
        <v>22</v>
      </c>
      <c r="O40" s="80"/>
      <c r="P40" s="80"/>
    </row>
    <row r="41" spans="1:17" ht="30.1" customHeight="1" x14ac:dyDescent="0.25">
      <c r="A41" s="125">
        <v>25</v>
      </c>
      <c r="B41" s="80" t="s">
        <v>839</v>
      </c>
      <c r="C41" s="80" t="s">
        <v>840</v>
      </c>
      <c r="D41" s="80" t="s">
        <v>28</v>
      </c>
      <c r="E41" s="123">
        <v>1067902346</v>
      </c>
      <c r="F41" s="80" t="s">
        <v>18</v>
      </c>
      <c r="G41" s="80" t="s">
        <v>841</v>
      </c>
      <c r="H41" s="80">
        <v>3145543192</v>
      </c>
      <c r="I41" s="80"/>
      <c r="J41" s="81">
        <v>43285</v>
      </c>
      <c r="K41" s="81">
        <v>43290</v>
      </c>
      <c r="L41" s="81">
        <v>43351</v>
      </c>
      <c r="M41" s="80">
        <v>20</v>
      </c>
      <c r="N41" s="80" t="s">
        <v>22</v>
      </c>
      <c r="O41" s="80"/>
      <c r="P41" s="80" t="s">
        <v>842</v>
      </c>
    </row>
    <row r="42" spans="1:17" ht="30.1" customHeight="1" x14ac:dyDescent="0.25">
      <c r="A42" s="125">
        <v>26</v>
      </c>
      <c r="B42" s="80" t="s">
        <v>846</v>
      </c>
      <c r="C42" s="80" t="s">
        <v>843</v>
      </c>
      <c r="D42" s="80" t="s">
        <v>28</v>
      </c>
      <c r="E42" s="123">
        <v>1574006</v>
      </c>
      <c r="F42" s="80" t="s">
        <v>18</v>
      </c>
      <c r="G42" s="80" t="s">
        <v>844</v>
      </c>
      <c r="H42" s="80">
        <v>3135916872</v>
      </c>
      <c r="I42" s="80"/>
      <c r="J42" s="81">
        <v>43285</v>
      </c>
      <c r="K42" s="81">
        <v>43290</v>
      </c>
      <c r="L42" s="81">
        <v>43351</v>
      </c>
      <c r="M42" s="80">
        <v>15</v>
      </c>
      <c r="N42" s="80" t="s">
        <v>22</v>
      </c>
      <c r="O42" s="80"/>
      <c r="P42" s="80" t="s">
        <v>845</v>
      </c>
    </row>
    <row r="43" spans="1:17" ht="30.1" customHeight="1" x14ac:dyDescent="0.25">
      <c r="A43" s="125">
        <v>27</v>
      </c>
      <c r="B43" s="80" t="s">
        <v>855</v>
      </c>
      <c r="C43" s="80" t="s">
        <v>856</v>
      </c>
      <c r="D43" s="80" t="s">
        <v>28</v>
      </c>
      <c r="E43" s="123">
        <v>32253284</v>
      </c>
      <c r="F43" s="80"/>
      <c r="G43" s="80" t="s">
        <v>921</v>
      </c>
      <c r="H43" s="80">
        <v>3205679193</v>
      </c>
      <c r="I43" s="80"/>
      <c r="J43" s="81">
        <v>43289</v>
      </c>
      <c r="K43" s="81">
        <v>43290</v>
      </c>
      <c r="L43" s="81">
        <v>43351</v>
      </c>
      <c r="M43" s="80">
        <v>40</v>
      </c>
      <c r="N43" s="80" t="s">
        <v>22</v>
      </c>
      <c r="O43" s="80"/>
      <c r="P43" s="80"/>
    </row>
    <row r="44" spans="1:17" ht="30.1" customHeight="1" x14ac:dyDescent="0.25">
      <c r="A44" s="590">
        <v>28</v>
      </c>
      <c r="B44" s="590" t="s">
        <v>872</v>
      </c>
      <c r="C44" s="590" t="s">
        <v>873</v>
      </c>
      <c r="D44" s="590" t="s">
        <v>28</v>
      </c>
      <c r="E44" s="593">
        <v>1067837122</v>
      </c>
      <c r="F44" s="590" t="s">
        <v>18</v>
      </c>
      <c r="G44" s="590" t="s">
        <v>874</v>
      </c>
      <c r="H44" s="590">
        <v>3115037830</v>
      </c>
      <c r="I44" s="80"/>
      <c r="J44" s="587">
        <v>43297</v>
      </c>
      <c r="K44" s="587">
        <v>43304</v>
      </c>
      <c r="L44" s="587">
        <v>43303</v>
      </c>
      <c r="M44" s="80">
        <v>30</v>
      </c>
      <c r="N44" s="80" t="s">
        <v>50</v>
      </c>
      <c r="O44" s="80"/>
      <c r="P44" s="80"/>
    </row>
    <row r="45" spans="1:17" ht="30.1" customHeight="1" x14ac:dyDescent="0.25">
      <c r="A45" s="592"/>
      <c r="B45" s="592"/>
      <c r="C45" s="592"/>
      <c r="D45" s="592"/>
      <c r="E45" s="595"/>
      <c r="F45" s="592"/>
      <c r="G45" s="592"/>
      <c r="H45" s="592"/>
      <c r="I45" s="57"/>
      <c r="J45" s="589"/>
      <c r="K45" s="589"/>
      <c r="L45" s="589"/>
      <c r="M45" s="57">
        <v>30</v>
      </c>
      <c r="N45" s="57" t="s">
        <v>22</v>
      </c>
      <c r="O45" s="57"/>
      <c r="P45" s="57"/>
    </row>
    <row r="46" spans="1:17" ht="30.1" customHeight="1" x14ac:dyDescent="0.25">
      <c r="A46" s="590">
        <v>29</v>
      </c>
      <c r="B46" s="590" t="s">
        <v>875</v>
      </c>
      <c r="C46" s="590" t="s">
        <v>876</v>
      </c>
      <c r="D46" s="590" t="s">
        <v>28</v>
      </c>
      <c r="E46" s="593">
        <v>25796336</v>
      </c>
      <c r="F46" s="590" t="s">
        <v>18</v>
      </c>
      <c r="G46" s="590" t="s">
        <v>877</v>
      </c>
      <c r="H46" s="590">
        <v>3045963178</v>
      </c>
      <c r="I46" s="118"/>
      <c r="J46" s="587">
        <v>43285</v>
      </c>
      <c r="K46" s="587">
        <v>43286</v>
      </c>
      <c r="L46" s="587">
        <v>43316</v>
      </c>
      <c r="M46" s="92"/>
      <c r="N46" s="92"/>
      <c r="O46" s="92"/>
      <c r="P46" s="92"/>
    </row>
    <row r="47" spans="1:17" ht="30.1" customHeight="1" x14ac:dyDescent="0.25">
      <c r="A47" s="592"/>
      <c r="B47" s="592"/>
      <c r="C47" s="592"/>
      <c r="D47" s="592"/>
      <c r="E47" s="595"/>
      <c r="F47" s="592"/>
      <c r="G47" s="592"/>
      <c r="H47" s="592"/>
      <c r="I47" s="57"/>
      <c r="J47" s="589"/>
      <c r="K47" s="589"/>
      <c r="L47" s="589"/>
      <c r="M47" s="118">
        <v>20</v>
      </c>
      <c r="N47" s="57" t="s">
        <v>22</v>
      </c>
      <c r="O47" s="57" t="s">
        <v>891</v>
      </c>
      <c r="P47" s="92" t="s">
        <v>949</v>
      </c>
    </row>
    <row r="48" spans="1:17" ht="30.1" customHeight="1" x14ac:dyDescent="0.25">
      <c r="A48" s="125">
        <v>30</v>
      </c>
      <c r="B48" s="57" t="s">
        <v>880</v>
      </c>
      <c r="C48" s="57" t="s">
        <v>881</v>
      </c>
      <c r="D48" s="57" t="s">
        <v>28</v>
      </c>
      <c r="E48" s="122"/>
      <c r="F48" s="57" t="s">
        <v>29</v>
      </c>
      <c r="G48" s="57" t="s">
        <v>882</v>
      </c>
      <c r="H48" s="97">
        <v>3183499115</v>
      </c>
      <c r="I48" s="57"/>
      <c r="J48" s="89">
        <v>43278</v>
      </c>
      <c r="K48" s="89">
        <v>43278</v>
      </c>
      <c r="L48" s="89">
        <v>43370</v>
      </c>
      <c r="M48" s="57">
        <v>60</v>
      </c>
      <c r="N48" s="57" t="s">
        <v>22</v>
      </c>
      <c r="O48" s="57"/>
      <c r="P48" s="57"/>
    </row>
    <row r="49" spans="1:16" ht="30.1" customHeight="1" x14ac:dyDescent="0.25">
      <c r="A49" s="125">
        <v>31</v>
      </c>
      <c r="B49" s="88" t="s">
        <v>883</v>
      </c>
      <c r="C49" s="88" t="s">
        <v>884</v>
      </c>
      <c r="D49" s="57" t="s">
        <v>28</v>
      </c>
      <c r="E49" s="122"/>
      <c r="F49" s="57" t="s">
        <v>29</v>
      </c>
      <c r="G49" s="57" t="s">
        <v>885</v>
      </c>
      <c r="H49" s="97">
        <v>3008086435</v>
      </c>
      <c r="I49" s="57"/>
      <c r="J49" s="89">
        <v>43278</v>
      </c>
      <c r="K49" s="89">
        <v>43278</v>
      </c>
      <c r="L49" s="89">
        <v>43307</v>
      </c>
      <c r="M49" s="57">
        <v>20</v>
      </c>
      <c r="N49" s="57" t="s">
        <v>22</v>
      </c>
      <c r="O49" s="57"/>
      <c r="P49" s="57"/>
    </row>
    <row r="50" spans="1:16" ht="30.1" customHeight="1" x14ac:dyDescent="0.25">
      <c r="A50" s="125">
        <v>32</v>
      </c>
      <c r="B50" s="57" t="s">
        <v>886</v>
      </c>
      <c r="C50" s="88" t="s">
        <v>887</v>
      </c>
      <c r="D50" s="57" t="s">
        <v>28</v>
      </c>
      <c r="E50" s="122"/>
      <c r="F50" s="57" t="s">
        <v>18</v>
      </c>
      <c r="G50" s="57" t="s">
        <v>900</v>
      </c>
      <c r="H50" s="57">
        <v>3126305175</v>
      </c>
      <c r="I50" s="57"/>
      <c r="J50" s="89">
        <v>43291</v>
      </c>
      <c r="K50" s="89">
        <v>43291</v>
      </c>
      <c r="L50" s="89">
        <v>43322</v>
      </c>
      <c r="M50" s="57">
        <v>10</v>
      </c>
      <c r="N50" s="57" t="s">
        <v>22</v>
      </c>
      <c r="O50" s="57"/>
      <c r="P50" s="57"/>
    </row>
    <row r="51" spans="1:16" ht="30.1" customHeight="1" x14ac:dyDescent="0.25">
      <c r="A51" s="125">
        <v>33</v>
      </c>
      <c r="B51" s="57" t="s">
        <v>892</v>
      </c>
      <c r="C51" s="57" t="s">
        <v>893</v>
      </c>
      <c r="D51" s="57" t="s">
        <v>28</v>
      </c>
      <c r="E51" s="122">
        <v>50919775</v>
      </c>
      <c r="F51" s="57" t="s">
        <v>18</v>
      </c>
      <c r="G51" s="57" t="s">
        <v>894</v>
      </c>
      <c r="H51" s="57">
        <v>3007763838</v>
      </c>
      <c r="I51" s="57"/>
      <c r="J51" s="93">
        <v>43285</v>
      </c>
      <c r="K51" s="93">
        <v>43286</v>
      </c>
      <c r="L51" s="93">
        <v>43316</v>
      </c>
      <c r="M51" s="57">
        <v>20</v>
      </c>
      <c r="N51" s="57" t="s">
        <v>22</v>
      </c>
      <c r="O51" s="57"/>
      <c r="P51" s="57"/>
    </row>
    <row r="52" spans="1:16" ht="30.1" customHeight="1" x14ac:dyDescent="0.25">
      <c r="A52" s="125">
        <v>34</v>
      </c>
      <c r="B52" s="57" t="s">
        <v>895</v>
      </c>
      <c r="C52" s="57" t="s">
        <v>896</v>
      </c>
      <c r="D52" s="57" t="s">
        <v>28</v>
      </c>
      <c r="E52" s="122">
        <v>50931108</v>
      </c>
      <c r="F52" s="57" t="s">
        <v>18</v>
      </c>
      <c r="G52" s="57" t="s">
        <v>897</v>
      </c>
      <c r="H52" s="57">
        <v>3123386830</v>
      </c>
      <c r="I52" s="57"/>
      <c r="J52" s="93">
        <v>43285</v>
      </c>
      <c r="K52" s="93">
        <v>43286</v>
      </c>
      <c r="L52" s="93">
        <v>43316</v>
      </c>
      <c r="M52" s="57">
        <v>20</v>
      </c>
      <c r="N52" s="57" t="s">
        <v>22</v>
      </c>
      <c r="O52" s="57"/>
      <c r="P52" s="57" t="s">
        <v>898</v>
      </c>
    </row>
    <row r="53" spans="1:16" ht="30.1" customHeight="1" x14ac:dyDescent="0.25">
      <c r="A53" s="125">
        <v>35</v>
      </c>
      <c r="B53" s="94" t="s">
        <v>901</v>
      </c>
      <c r="C53" s="94" t="s">
        <v>902</v>
      </c>
      <c r="D53" s="94" t="s">
        <v>28</v>
      </c>
      <c r="E53" s="122">
        <v>10967175</v>
      </c>
      <c r="F53" s="94" t="s">
        <v>18</v>
      </c>
      <c r="G53" s="94" t="s">
        <v>903</v>
      </c>
      <c r="H53" s="94">
        <v>3106432129</v>
      </c>
      <c r="I53" s="94"/>
      <c r="J53" s="93">
        <v>43270</v>
      </c>
      <c r="K53" s="93">
        <v>43271</v>
      </c>
      <c r="L53" s="93">
        <v>43363</v>
      </c>
      <c r="M53" s="94">
        <v>90</v>
      </c>
      <c r="N53" s="94" t="s">
        <v>22</v>
      </c>
      <c r="O53" s="94"/>
      <c r="P53" s="94" t="s">
        <v>904</v>
      </c>
    </row>
    <row r="54" spans="1:16" ht="30.1" customHeight="1" x14ac:dyDescent="0.25">
      <c r="A54" s="125">
        <v>36</v>
      </c>
      <c r="B54" s="57" t="s">
        <v>905</v>
      </c>
      <c r="C54" s="57" t="s">
        <v>906</v>
      </c>
      <c r="D54" s="57" t="s">
        <v>17</v>
      </c>
      <c r="E54" s="122">
        <v>1007781468</v>
      </c>
      <c r="F54" s="57" t="s">
        <v>18</v>
      </c>
      <c r="G54" s="57" t="s">
        <v>907</v>
      </c>
      <c r="H54" s="57">
        <v>3234790097</v>
      </c>
      <c r="I54" s="57"/>
      <c r="J54" s="93">
        <v>43298</v>
      </c>
      <c r="K54" s="93">
        <v>43318</v>
      </c>
      <c r="L54" s="93">
        <v>43501</v>
      </c>
      <c r="M54" s="57">
        <v>72</v>
      </c>
      <c r="N54" s="57" t="s">
        <v>22</v>
      </c>
      <c r="O54" s="57" t="s">
        <v>725</v>
      </c>
      <c r="P54" s="57" t="s">
        <v>911</v>
      </c>
    </row>
    <row r="55" spans="1:16" ht="30.1" customHeight="1" x14ac:dyDescent="0.25">
      <c r="A55" s="590">
        <v>37</v>
      </c>
      <c r="B55" s="590" t="s">
        <v>908</v>
      </c>
      <c r="C55" s="590" t="s">
        <v>909</v>
      </c>
      <c r="D55" s="590" t="s">
        <v>28</v>
      </c>
      <c r="E55" s="593">
        <v>78753699</v>
      </c>
      <c r="F55" s="590" t="s">
        <v>29</v>
      </c>
      <c r="G55" s="590" t="s">
        <v>910</v>
      </c>
      <c r="H55" s="590">
        <v>3205581880</v>
      </c>
      <c r="I55" s="118"/>
      <c r="J55" s="587">
        <v>43298</v>
      </c>
      <c r="K55" s="587">
        <v>43299</v>
      </c>
      <c r="L55" s="587">
        <v>43329</v>
      </c>
      <c r="M55" s="118">
        <v>12</v>
      </c>
      <c r="N55" s="118" t="s">
        <v>50</v>
      </c>
      <c r="O55" s="118"/>
      <c r="P55" s="118"/>
    </row>
    <row r="56" spans="1:16" ht="30.1" customHeight="1" x14ac:dyDescent="0.25">
      <c r="A56" s="592"/>
      <c r="B56" s="592"/>
      <c r="C56" s="592"/>
      <c r="D56" s="592"/>
      <c r="E56" s="595"/>
      <c r="F56" s="592"/>
      <c r="G56" s="592"/>
      <c r="H56" s="592"/>
      <c r="I56" s="57"/>
      <c r="J56" s="589"/>
      <c r="K56" s="589"/>
      <c r="L56" s="589"/>
      <c r="M56" s="57">
        <v>12</v>
      </c>
      <c r="N56" s="57" t="s">
        <v>22</v>
      </c>
      <c r="O56" s="57"/>
      <c r="P56" s="57"/>
    </row>
    <row r="57" spans="1:16" ht="30.1" customHeight="1" x14ac:dyDescent="0.25">
      <c r="A57" s="590">
        <v>38</v>
      </c>
      <c r="B57" s="590" t="s">
        <v>938</v>
      </c>
      <c r="C57" s="590" t="s">
        <v>939</v>
      </c>
      <c r="D57" s="590" t="s">
        <v>28</v>
      </c>
      <c r="E57" s="593">
        <v>1554172</v>
      </c>
      <c r="F57" s="590" t="s">
        <v>29</v>
      </c>
      <c r="G57" s="590" t="s">
        <v>940</v>
      </c>
      <c r="H57" s="590">
        <v>3116276495</v>
      </c>
      <c r="I57" s="57"/>
      <c r="J57" s="587">
        <v>43299</v>
      </c>
      <c r="K57" s="587">
        <v>43300</v>
      </c>
      <c r="L57" s="587">
        <v>43330</v>
      </c>
      <c r="M57" s="57">
        <v>12</v>
      </c>
      <c r="N57" s="57" t="s">
        <v>22</v>
      </c>
      <c r="O57" s="57"/>
      <c r="P57" s="57"/>
    </row>
    <row r="58" spans="1:16" ht="30.1" customHeight="1" x14ac:dyDescent="0.25">
      <c r="A58" s="591"/>
      <c r="B58" s="591"/>
      <c r="C58" s="591"/>
      <c r="D58" s="591"/>
      <c r="E58" s="594"/>
      <c r="F58" s="591"/>
      <c r="G58" s="591"/>
      <c r="H58" s="591"/>
      <c r="I58" s="57"/>
      <c r="J58" s="588"/>
      <c r="K58" s="588"/>
      <c r="L58" s="588"/>
      <c r="M58" s="57">
        <v>12</v>
      </c>
      <c r="N58" s="57" t="s">
        <v>50</v>
      </c>
      <c r="O58" s="57"/>
      <c r="P58" s="57"/>
    </row>
    <row r="59" spans="1:16" ht="30.1" customHeight="1" x14ac:dyDescent="0.25">
      <c r="A59" s="592"/>
      <c r="B59" s="592"/>
      <c r="C59" s="592"/>
      <c r="D59" s="592"/>
      <c r="E59" s="595"/>
      <c r="F59" s="592"/>
      <c r="G59" s="592"/>
      <c r="H59" s="592"/>
      <c r="I59" s="57"/>
      <c r="J59" s="589"/>
      <c r="K59" s="589"/>
      <c r="L59" s="589"/>
      <c r="M59" s="57">
        <v>12</v>
      </c>
      <c r="N59" s="57" t="s">
        <v>24</v>
      </c>
      <c r="O59" s="57"/>
      <c r="P59" s="57"/>
    </row>
    <row r="60" spans="1:16" ht="30.1" customHeight="1" x14ac:dyDescent="0.25">
      <c r="A60" s="125">
        <v>39</v>
      </c>
      <c r="B60" s="57" t="s">
        <v>998</v>
      </c>
      <c r="C60" s="57" t="s">
        <v>999</v>
      </c>
      <c r="D60" s="57" t="s">
        <v>802</v>
      </c>
      <c r="E60" s="122">
        <v>1062534152</v>
      </c>
      <c r="F60" s="57" t="s">
        <v>18</v>
      </c>
      <c r="G60" s="57" t="s">
        <v>1000</v>
      </c>
      <c r="H60" s="57" t="s">
        <v>1001</v>
      </c>
      <c r="I60" s="57"/>
      <c r="J60" s="181">
        <v>43304</v>
      </c>
      <c r="K60" s="181">
        <v>43304</v>
      </c>
      <c r="L60" s="181">
        <v>43308</v>
      </c>
      <c r="M60" s="57" t="s">
        <v>1002</v>
      </c>
      <c r="N60" s="57" t="s">
        <v>25</v>
      </c>
      <c r="O60" s="57"/>
      <c r="P60" s="57"/>
    </row>
    <row r="61" spans="1:16" ht="30.1" customHeight="1" x14ac:dyDescent="0.25">
      <c r="A61" s="590">
        <v>40</v>
      </c>
      <c r="B61" s="590" t="s">
        <v>1014</v>
      </c>
      <c r="C61" s="590" t="s">
        <v>1015</v>
      </c>
      <c r="D61" s="590" t="s">
        <v>802</v>
      </c>
      <c r="E61" s="593">
        <v>1062983351</v>
      </c>
      <c r="F61" s="590" t="s">
        <v>18</v>
      </c>
      <c r="G61" s="590" t="s">
        <v>1016</v>
      </c>
      <c r="H61" s="590">
        <v>3113667300</v>
      </c>
      <c r="I61" s="183"/>
      <c r="J61" s="587">
        <v>43305</v>
      </c>
      <c r="K61" s="587">
        <v>43306</v>
      </c>
      <c r="L61" s="587">
        <v>43349</v>
      </c>
      <c r="M61" s="183">
        <v>30</v>
      </c>
      <c r="N61" s="183" t="s">
        <v>50</v>
      </c>
      <c r="O61" s="183"/>
      <c r="P61" s="183"/>
    </row>
    <row r="62" spans="1:16" ht="30.1" customHeight="1" x14ac:dyDescent="0.25">
      <c r="A62" s="591"/>
      <c r="B62" s="591"/>
      <c r="C62" s="591"/>
      <c r="D62" s="591"/>
      <c r="E62" s="594"/>
      <c r="F62" s="591"/>
      <c r="G62" s="591"/>
      <c r="H62" s="591"/>
      <c r="I62" s="183"/>
      <c r="J62" s="588"/>
      <c r="K62" s="588"/>
      <c r="L62" s="588"/>
      <c r="M62" s="183">
        <v>30</v>
      </c>
      <c r="N62" s="183" t="s">
        <v>24</v>
      </c>
      <c r="O62" s="183"/>
      <c r="P62" s="183"/>
    </row>
    <row r="63" spans="1:16" ht="30.1" customHeight="1" x14ac:dyDescent="0.25">
      <c r="A63" s="592"/>
      <c r="B63" s="592"/>
      <c r="C63" s="592"/>
      <c r="D63" s="592"/>
      <c r="E63" s="595"/>
      <c r="F63" s="592"/>
      <c r="G63" s="592"/>
      <c r="H63" s="592"/>
      <c r="I63" s="57"/>
      <c r="J63" s="589"/>
      <c r="K63" s="589"/>
      <c r="L63" s="589"/>
      <c r="M63" s="57">
        <v>30</v>
      </c>
      <c r="N63" s="57" t="s">
        <v>22</v>
      </c>
      <c r="O63" s="57"/>
      <c r="P63" s="57"/>
    </row>
    <row r="64" spans="1:16" ht="30.1" customHeight="1" x14ac:dyDescent="0.25">
      <c r="A64" s="192">
        <v>41</v>
      </c>
      <c r="B64" s="192" t="s">
        <v>1031</v>
      </c>
      <c r="C64" s="192" t="s">
        <v>1032</v>
      </c>
      <c r="D64" s="192" t="s">
        <v>28</v>
      </c>
      <c r="E64" s="193">
        <v>25755206</v>
      </c>
      <c r="F64" s="192" t="s">
        <v>87</v>
      </c>
      <c r="G64" s="192" t="s">
        <v>1033</v>
      </c>
      <c r="H64" s="192"/>
      <c r="I64" s="184"/>
      <c r="J64" s="191">
        <v>43306</v>
      </c>
      <c r="K64" s="191">
        <v>43306</v>
      </c>
      <c r="L64" s="191">
        <v>43321</v>
      </c>
      <c r="M64" s="184">
        <v>30</v>
      </c>
      <c r="N64" s="184" t="s">
        <v>22</v>
      </c>
      <c r="O64" s="184" t="s">
        <v>1034</v>
      </c>
      <c r="P64" s="184"/>
    </row>
    <row r="65" spans="1:16" ht="30.1" customHeight="1" x14ac:dyDescent="0.25">
      <c r="A65" s="590">
        <v>42</v>
      </c>
      <c r="B65" s="590" t="s">
        <v>1042</v>
      </c>
      <c r="C65" s="590" t="s">
        <v>1043</v>
      </c>
      <c r="D65" s="590" t="s">
        <v>17</v>
      </c>
      <c r="E65" s="593">
        <v>1003047477</v>
      </c>
      <c r="F65" s="590" t="s">
        <v>18</v>
      </c>
      <c r="G65" s="590" t="s">
        <v>1044</v>
      </c>
      <c r="H65" s="590">
        <v>3104128097</v>
      </c>
      <c r="I65" s="184"/>
      <c r="J65" s="587">
        <v>43304</v>
      </c>
      <c r="K65" s="587">
        <v>43307</v>
      </c>
      <c r="L65" s="587">
        <v>43398</v>
      </c>
      <c r="M65" s="184">
        <v>24</v>
      </c>
      <c r="N65" s="184" t="s">
        <v>22</v>
      </c>
      <c r="O65" s="590" t="s">
        <v>1046</v>
      </c>
      <c r="P65" s="184"/>
    </row>
    <row r="66" spans="1:16" ht="30.1" customHeight="1" x14ac:dyDescent="0.25">
      <c r="A66" s="591"/>
      <c r="B66" s="591"/>
      <c r="C66" s="591"/>
      <c r="D66" s="591"/>
      <c r="E66" s="594"/>
      <c r="F66" s="591"/>
      <c r="G66" s="591"/>
      <c r="H66" s="591"/>
      <c r="I66" s="184"/>
      <c r="J66" s="588"/>
      <c r="K66" s="588"/>
      <c r="L66" s="588"/>
      <c r="M66" s="184">
        <v>24</v>
      </c>
      <c r="N66" s="184" t="s">
        <v>50</v>
      </c>
      <c r="O66" s="591"/>
      <c r="P66" s="184"/>
    </row>
    <row r="67" spans="1:16" ht="30.1" customHeight="1" x14ac:dyDescent="0.25">
      <c r="A67" s="592"/>
      <c r="B67" s="592"/>
      <c r="C67" s="592"/>
      <c r="D67" s="592"/>
      <c r="E67" s="595"/>
      <c r="F67" s="592"/>
      <c r="G67" s="592"/>
      <c r="H67" s="592"/>
      <c r="I67" s="184"/>
      <c r="J67" s="589"/>
      <c r="K67" s="589"/>
      <c r="L67" s="589"/>
      <c r="M67" s="184">
        <v>24</v>
      </c>
      <c r="N67" s="184" t="s">
        <v>1045</v>
      </c>
      <c r="O67" s="592"/>
      <c r="P67" s="184"/>
    </row>
    <row r="68" spans="1:16" ht="30.1" customHeight="1" x14ac:dyDescent="0.25">
      <c r="A68" s="184">
        <v>43</v>
      </c>
      <c r="B68" s="184"/>
      <c r="C68" s="184"/>
      <c r="D68" s="184"/>
      <c r="E68" s="185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</row>
    <row r="69" spans="1:16" ht="30.1" customHeight="1" x14ac:dyDescent="0.25">
      <c r="A69" s="184">
        <v>44</v>
      </c>
      <c r="B69" s="184"/>
      <c r="C69" s="184"/>
      <c r="D69" s="184"/>
      <c r="E69" s="185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</row>
    <row r="70" spans="1:16" ht="30.1" customHeight="1" x14ac:dyDescent="0.25">
      <c r="A70" s="184">
        <v>45</v>
      </c>
      <c r="B70" s="184"/>
      <c r="C70" s="184"/>
      <c r="D70" s="184"/>
      <c r="E70" s="185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</row>
  </sheetData>
  <autoFilter ref="B1:Q70"/>
  <mergeCells count="186">
    <mergeCell ref="B65:B67"/>
    <mergeCell ref="C65:C67"/>
    <mergeCell ref="O65:O67"/>
    <mergeCell ref="D65:D67"/>
    <mergeCell ref="E65:E67"/>
    <mergeCell ref="F65:F67"/>
    <mergeCell ref="A65:A67"/>
    <mergeCell ref="G65:G67"/>
    <mergeCell ref="H65:H67"/>
    <mergeCell ref="J65:J67"/>
    <mergeCell ref="K65:K67"/>
    <mergeCell ref="L65:L67"/>
    <mergeCell ref="A27:A29"/>
    <mergeCell ref="A31:A32"/>
    <mergeCell ref="A44:A45"/>
    <mergeCell ref="A46:A47"/>
    <mergeCell ref="A55:A56"/>
    <mergeCell ref="A57:A59"/>
    <mergeCell ref="A2:A4"/>
    <mergeCell ref="A5:A6"/>
    <mergeCell ref="A7:A8"/>
    <mergeCell ref="A9:A10"/>
    <mergeCell ref="A12:A14"/>
    <mergeCell ref="A15:A16"/>
    <mergeCell ref="A18:A19"/>
    <mergeCell ref="A20:A21"/>
    <mergeCell ref="A22:A24"/>
    <mergeCell ref="L57:L59"/>
    <mergeCell ref="B57:B59"/>
    <mergeCell ref="C57:C59"/>
    <mergeCell ref="D57:D59"/>
    <mergeCell ref="E57:E59"/>
    <mergeCell ref="F57:F59"/>
    <mergeCell ref="G57:G59"/>
    <mergeCell ref="H57:H59"/>
    <mergeCell ref="J57:J59"/>
    <mergeCell ref="K57:K59"/>
    <mergeCell ref="O31:O32"/>
    <mergeCell ref="G31:G32"/>
    <mergeCell ref="H31:H32"/>
    <mergeCell ref="J31:J32"/>
    <mergeCell ref="C31:C32"/>
    <mergeCell ref="B31:B32"/>
    <mergeCell ref="D31:D32"/>
    <mergeCell ref="E31:E32"/>
    <mergeCell ref="F31:F32"/>
    <mergeCell ref="M20:M21"/>
    <mergeCell ref="G27:G29"/>
    <mergeCell ref="H27:H29"/>
    <mergeCell ref="J27:J29"/>
    <mergeCell ref="K27:K29"/>
    <mergeCell ref="L27:L29"/>
    <mergeCell ref="B27:B29"/>
    <mergeCell ref="C27:C29"/>
    <mergeCell ref="D27:D29"/>
    <mergeCell ref="E27:E29"/>
    <mergeCell ref="F27:F29"/>
    <mergeCell ref="D22:D24"/>
    <mergeCell ref="C22:C24"/>
    <mergeCell ref="L22:L24"/>
    <mergeCell ref="K22:K24"/>
    <mergeCell ref="J22:J24"/>
    <mergeCell ref="H22:H24"/>
    <mergeCell ref="J20:J21"/>
    <mergeCell ref="K20:K21"/>
    <mergeCell ref="L20:L21"/>
    <mergeCell ref="N20:N21"/>
    <mergeCell ref="B18:B19"/>
    <mergeCell ref="C18:C19"/>
    <mergeCell ref="D18:D19"/>
    <mergeCell ref="E18:E19"/>
    <mergeCell ref="F18:F19"/>
    <mergeCell ref="N15:N16"/>
    <mergeCell ref="B15:B16"/>
    <mergeCell ref="C15:C16"/>
    <mergeCell ref="D15:D16"/>
    <mergeCell ref="E15:E16"/>
    <mergeCell ref="F15:F16"/>
    <mergeCell ref="G15:G16"/>
    <mergeCell ref="H15:H16"/>
    <mergeCell ref="J15:J16"/>
    <mergeCell ref="G18:G19"/>
    <mergeCell ref="H18:H19"/>
    <mergeCell ref="B20:B21"/>
    <mergeCell ref="C20:C21"/>
    <mergeCell ref="D20:D21"/>
    <mergeCell ref="E20:E21"/>
    <mergeCell ref="F20:F21"/>
    <mergeCell ref="G20:G21"/>
    <mergeCell ref="H20:H21"/>
    <mergeCell ref="B2:B4"/>
    <mergeCell ref="C2:C4"/>
    <mergeCell ref="D2:D4"/>
    <mergeCell ref="E2:E4"/>
    <mergeCell ref="L2:L4"/>
    <mergeCell ref="F2:F4"/>
    <mergeCell ref="G2:G4"/>
    <mergeCell ref="H2:H4"/>
    <mergeCell ref="J2:J4"/>
    <mergeCell ref="K2:K4"/>
    <mergeCell ref="I2:I4"/>
    <mergeCell ref="L5:L6"/>
    <mergeCell ref="I5:I6"/>
    <mergeCell ref="L7:L8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G9:G10"/>
    <mergeCell ref="G7:G8"/>
    <mergeCell ref="H9:H10"/>
    <mergeCell ref="J9:J10"/>
    <mergeCell ref="B5:B6"/>
    <mergeCell ref="C5:C6"/>
    <mergeCell ref="D5:D6"/>
    <mergeCell ref="E5:E6"/>
    <mergeCell ref="F5:F6"/>
    <mergeCell ref="G5:G6"/>
    <mergeCell ref="H5:H6"/>
    <mergeCell ref="J5:J6"/>
    <mergeCell ref="K5:K6"/>
    <mergeCell ref="H55:H56"/>
    <mergeCell ref="J55:J56"/>
    <mergeCell ref="K55:K56"/>
    <mergeCell ref="B44:B45"/>
    <mergeCell ref="C44:C45"/>
    <mergeCell ref="D44:D45"/>
    <mergeCell ref="K9:K10"/>
    <mergeCell ref="B22:B24"/>
    <mergeCell ref="G22:G24"/>
    <mergeCell ref="F22:F24"/>
    <mergeCell ref="E22:E24"/>
    <mergeCell ref="E44:E45"/>
    <mergeCell ref="F44:F45"/>
    <mergeCell ref="G44:G45"/>
    <mergeCell ref="H44:H45"/>
    <mergeCell ref="J44:J45"/>
    <mergeCell ref="K44:K45"/>
    <mergeCell ref="L9:L10"/>
    <mergeCell ref="H7:H8"/>
    <mergeCell ref="J7:J8"/>
    <mergeCell ref="K7:K8"/>
    <mergeCell ref="G12:G14"/>
    <mergeCell ref="H12:H14"/>
    <mergeCell ref="J12:J14"/>
    <mergeCell ref="L12:L14"/>
    <mergeCell ref="B12:B14"/>
    <mergeCell ref="C12:C14"/>
    <mergeCell ref="D12:D14"/>
    <mergeCell ref="E12:E14"/>
    <mergeCell ref="F12:F14"/>
    <mergeCell ref="L44:L45"/>
    <mergeCell ref="L55:L56"/>
    <mergeCell ref="B46:B47"/>
    <mergeCell ref="C46:C47"/>
    <mergeCell ref="D46:D47"/>
    <mergeCell ref="E46:E47"/>
    <mergeCell ref="F46:F47"/>
    <mergeCell ref="G46:G47"/>
    <mergeCell ref="H46:H47"/>
    <mergeCell ref="J46:J47"/>
    <mergeCell ref="K46:K47"/>
    <mergeCell ref="L46:L47"/>
    <mergeCell ref="B55:B56"/>
    <mergeCell ref="C55:C56"/>
    <mergeCell ref="D55:D56"/>
    <mergeCell ref="E55:E56"/>
    <mergeCell ref="F55:F56"/>
    <mergeCell ref="G55:G56"/>
    <mergeCell ref="K61:K63"/>
    <mergeCell ref="L61:L63"/>
    <mergeCell ref="A61:A63"/>
    <mergeCell ref="B61:B63"/>
    <mergeCell ref="C61:C63"/>
    <mergeCell ref="D61:D63"/>
    <mergeCell ref="E61:E63"/>
    <mergeCell ref="F61:F63"/>
    <mergeCell ref="G61:G63"/>
    <mergeCell ref="H61:H63"/>
    <mergeCell ref="J61:J63"/>
  </mergeCells>
  <pageMargins left="0.7" right="0.7" top="0.75" bottom="0.75" header="0.3" footer="0.3"/>
  <pageSetup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6"/>
  <sheetViews>
    <sheetView zoomScale="80" zoomScaleNormal="80" workbookViewId="0">
      <pane ySplit="1" topLeftCell="A22" activePane="bottomLeft" state="frozen"/>
      <selection pane="bottomLeft" activeCell="B31" sqref="B31:B32"/>
    </sheetView>
  </sheetViews>
  <sheetFormatPr baseColWidth="10" defaultColWidth="11.375" defaultRowHeight="30.1" customHeight="1" x14ac:dyDescent="0.25"/>
  <cols>
    <col min="1" max="1" width="7.125" style="555" customWidth="1"/>
    <col min="2" max="2" width="19.375" style="76" customWidth="1"/>
    <col min="3" max="3" width="19.625" style="76" customWidth="1"/>
    <col min="4" max="4" width="6.875" style="76" customWidth="1"/>
    <col min="5" max="5" width="15" style="124" customWidth="1"/>
    <col min="6" max="7" width="13.25" style="76" customWidth="1"/>
    <col min="8" max="8" width="30.25" style="76" customWidth="1"/>
    <col min="9" max="9" width="14.75" style="556" customWidth="1"/>
    <col min="10" max="10" width="11.375" style="76"/>
    <col min="11" max="11" width="17" style="76" customWidth="1"/>
    <col min="12" max="12" width="18.625" style="76" customWidth="1"/>
    <col min="13" max="13" width="11.375" style="76"/>
    <col min="14" max="14" width="20.125" style="76" customWidth="1"/>
    <col min="15" max="15" width="21.375" style="76" customWidth="1"/>
    <col min="16" max="16" width="29.125" style="76" customWidth="1"/>
    <col min="17" max="17" width="46.125" style="562" customWidth="1"/>
    <col min="18" max="16384" width="11.375" style="546"/>
  </cols>
  <sheetData>
    <row r="1" spans="1:17" s="76" customFormat="1" ht="30.1" customHeight="1" x14ac:dyDescent="0.25">
      <c r="A1" s="549" t="s">
        <v>526</v>
      </c>
      <c r="B1" s="6" t="s">
        <v>0</v>
      </c>
      <c r="C1" s="6" t="s">
        <v>1</v>
      </c>
      <c r="D1" s="6" t="s">
        <v>2</v>
      </c>
      <c r="E1" s="120" t="s">
        <v>3</v>
      </c>
      <c r="F1" s="6" t="s">
        <v>4</v>
      </c>
      <c r="G1" s="6" t="s">
        <v>63</v>
      </c>
      <c r="H1" s="6" t="s">
        <v>5</v>
      </c>
      <c r="I1" s="6" t="s">
        <v>6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558" t="s">
        <v>821</v>
      </c>
    </row>
    <row r="2" spans="1:17" ht="30.1" customHeight="1" x14ac:dyDescent="0.25">
      <c r="A2" s="573">
        <v>1</v>
      </c>
      <c r="B2" s="574" t="s">
        <v>36</v>
      </c>
      <c r="C2" s="574" t="s">
        <v>37</v>
      </c>
      <c r="D2" s="574" t="s">
        <v>28</v>
      </c>
      <c r="E2" s="575">
        <v>26027649</v>
      </c>
      <c r="F2" s="574" t="s">
        <v>18</v>
      </c>
      <c r="G2" s="574" t="s">
        <v>145</v>
      </c>
      <c r="H2" s="574" t="s">
        <v>38</v>
      </c>
      <c r="I2" s="576">
        <v>3145141596</v>
      </c>
      <c r="J2" s="577">
        <v>43278</v>
      </c>
      <c r="K2" s="577">
        <v>43284</v>
      </c>
      <c r="L2" s="577">
        <v>43311</v>
      </c>
      <c r="M2" s="574" t="s">
        <v>39</v>
      </c>
      <c r="N2" s="574" t="s">
        <v>22</v>
      </c>
      <c r="O2" s="574" t="s">
        <v>40</v>
      </c>
      <c r="P2" s="219"/>
      <c r="Q2" s="557"/>
    </row>
    <row r="3" spans="1:17" ht="30.1" customHeight="1" x14ac:dyDescent="0.25">
      <c r="A3" s="607">
        <v>2</v>
      </c>
      <c r="B3" s="612" t="s">
        <v>41</v>
      </c>
      <c r="C3" s="612" t="s">
        <v>42</v>
      </c>
      <c r="D3" s="612" t="s">
        <v>28</v>
      </c>
      <c r="E3" s="623">
        <v>25845378</v>
      </c>
      <c r="F3" s="612" t="s">
        <v>43</v>
      </c>
      <c r="G3" s="612" t="s">
        <v>54</v>
      </c>
      <c r="H3" s="612" t="s">
        <v>44</v>
      </c>
      <c r="I3" s="617">
        <v>3122711252</v>
      </c>
      <c r="J3" s="619">
        <v>43277</v>
      </c>
      <c r="K3" s="619">
        <v>43284</v>
      </c>
      <c r="L3" s="619">
        <v>43311</v>
      </c>
      <c r="M3" s="612">
        <v>12</v>
      </c>
      <c r="N3" s="612" t="s">
        <v>22</v>
      </c>
      <c r="O3" s="574" t="s">
        <v>45</v>
      </c>
      <c r="P3" s="219"/>
      <c r="Q3" s="557"/>
    </row>
    <row r="4" spans="1:17" ht="30.1" customHeight="1" x14ac:dyDescent="0.25">
      <c r="A4" s="608"/>
      <c r="B4" s="613"/>
      <c r="C4" s="613"/>
      <c r="D4" s="613"/>
      <c r="E4" s="624"/>
      <c r="F4" s="613"/>
      <c r="G4" s="613"/>
      <c r="H4" s="613"/>
      <c r="I4" s="618"/>
      <c r="J4" s="620"/>
      <c r="K4" s="620"/>
      <c r="L4" s="620"/>
      <c r="M4" s="613"/>
      <c r="N4" s="613"/>
      <c r="O4" s="574" t="s">
        <v>46</v>
      </c>
      <c r="P4" s="219"/>
      <c r="Q4" s="557"/>
    </row>
    <row r="5" spans="1:17" ht="30.1" customHeight="1" x14ac:dyDescent="0.25">
      <c r="A5" s="607">
        <v>3</v>
      </c>
      <c r="B5" s="612" t="s">
        <v>47</v>
      </c>
      <c r="C5" s="612" t="s">
        <v>48</v>
      </c>
      <c r="D5" s="612" t="s">
        <v>28</v>
      </c>
      <c r="E5" s="623">
        <v>50979661</v>
      </c>
      <c r="F5" s="612" t="s">
        <v>18</v>
      </c>
      <c r="G5" s="612" t="s">
        <v>145</v>
      </c>
      <c r="H5" s="612" t="s">
        <v>49</v>
      </c>
      <c r="I5" s="617">
        <v>3114228633</v>
      </c>
      <c r="J5" s="619">
        <v>43277</v>
      </c>
      <c r="K5" s="619">
        <v>43288</v>
      </c>
      <c r="L5" s="619">
        <v>43312</v>
      </c>
      <c r="M5" s="574">
        <v>20</v>
      </c>
      <c r="N5" s="574" t="s">
        <v>22</v>
      </c>
      <c r="O5" s="574" t="s">
        <v>691</v>
      </c>
      <c r="P5" s="219" t="s">
        <v>51</v>
      </c>
      <c r="Q5" s="557"/>
    </row>
    <row r="6" spans="1:17" ht="30.1" customHeight="1" x14ac:dyDescent="0.25">
      <c r="A6" s="608"/>
      <c r="B6" s="613"/>
      <c r="C6" s="613"/>
      <c r="D6" s="613"/>
      <c r="E6" s="624"/>
      <c r="F6" s="613"/>
      <c r="G6" s="613"/>
      <c r="H6" s="613"/>
      <c r="I6" s="618"/>
      <c r="J6" s="620"/>
      <c r="K6" s="613"/>
      <c r="L6" s="613"/>
      <c r="M6" s="574">
        <v>20</v>
      </c>
      <c r="N6" s="574" t="s">
        <v>50</v>
      </c>
      <c r="O6" s="578" t="s">
        <v>810</v>
      </c>
      <c r="P6" s="219" t="s">
        <v>51</v>
      </c>
      <c r="Q6" s="557" t="s">
        <v>811</v>
      </c>
    </row>
    <row r="7" spans="1:17" ht="30.1" customHeight="1" x14ac:dyDescent="0.25">
      <c r="A7" s="607">
        <v>4</v>
      </c>
      <c r="B7" s="612" t="s">
        <v>52</v>
      </c>
      <c r="C7" s="612" t="s">
        <v>53</v>
      </c>
      <c r="D7" s="612" t="s">
        <v>17</v>
      </c>
      <c r="E7" s="623">
        <v>1138074605</v>
      </c>
      <c r="F7" s="612" t="s">
        <v>18</v>
      </c>
      <c r="G7" s="612" t="s">
        <v>54</v>
      </c>
      <c r="H7" s="612" t="s">
        <v>54</v>
      </c>
      <c r="I7" s="617">
        <v>3145149549</v>
      </c>
      <c r="J7" s="619">
        <v>43277</v>
      </c>
      <c r="K7" s="619">
        <v>43284</v>
      </c>
      <c r="L7" s="619">
        <v>43312</v>
      </c>
      <c r="M7" s="574">
        <v>12</v>
      </c>
      <c r="N7" s="574" t="s">
        <v>22</v>
      </c>
      <c r="O7" s="574" t="s">
        <v>56</v>
      </c>
      <c r="P7" s="219" t="s">
        <v>55</v>
      </c>
      <c r="Q7" s="557"/>
    </row>
    <row r="8" spans="1:17" ht="30.1" customHeight="1" x14ac:dyDescent="0.25">
      <c r="A8" s="631"/>
      <c r="B8" s="614"/>
      <c r="C8" s="614"/>
      <c r="D8" s="614"/>
      <c r="E8" s="626"/>
      <c r="F8" s="614"/>
      <c r="G8" s="614"/>
      <c r="H8" s="614"/>
      <c r="I8" s="621"/>
      <c r="J8" s="622"/>
      <c r="K8" s="622"/>
      <c r="L8" s="622"/>
      <c r="M8" s="574">
        <v>12</v>
      </c>
      <c r="N8" s="574" t="s">
        <v>50</v>
      </c>
      <c r="O8" s="574" t="s">
        <v>57</v>
      </c>
      <c r="P8" s="219" t="s">
        <v>55</v>
      </c>
      <c r="Q8" s="557"/>
    </row>
    <row r="9" spans="1:17" ht="30.1" customHeight="1" x14ac:dyDescent="0.25">
      <c r="A9" s="608"/>
      <c r="B9" s="613"/>
      <c r="C9" s="613"/>
      <c r="D9" s="613"/>
      <c r="E9" s="624"/>
      <c r="F9" s="613"/>
      <c r="G9" s="613"/>
      <c r="H9" s="613"/>
      <c r="I9" s="618"/>
      <c r="J9" s="620"/>
      <c r="K9" s="620"/>
      <c r="L9" s="620"/>
      <c r="M9" s="574">
        <v>12</v>
      </c>
      <c r="N9" s="574" t="s">
        <v>24</v>
      </c>
      <c r="O9" s="574" t="s">
        <v>46</v>
      </c>
      <c r="P9" s="219" t="s">
        <v>55</v>
      </c>
      <c r="Q9" s="557"/>
    </row>
    <row r="10" spans="1:17" s="76" customFormat="1" ht="30.1" customHeight="1" x14ac:dyDescent="0.25">
      <c r="A10" s="573">
        <v>5</v>
      </c>
      <c r="B10" s="574" t="s">
        <v>58</v>
      </c>
      <c r="C10" s="574" t="s">
        <v>59</v>
      </c>
      <c r="D10" s="574" t="s">
        <v>28</v>
      </c>
      <c r="E10" s="575">
        <v>25955012</v>
      </c>
      <c r="F10" s="574" t="s">
        <v>18</v>
      </c>
      <c r="G10" s="574" t="s">
        <v>156</v>
      </c>
      <c r="H10" s="574" t="s">
        <v>523</v>
      </c>
      <c r="I10" s="576" t="s">
        <v>60</v>
      </c>
      <c r="J10" s="577">
        <v>43279</v>
      </c>
      <c r="K10" s="577">
        <v>43284</v>
      </c>
      <c r="L10" s="577">
        <v>43312</v>
      </c>
      <c r="M10" s="574">
        <v>12</v>
      </c>
      <c r="N10" s="574" t="s">
        <v>22</v>
      </c>
      <c r="O10" s="574" t="s">
        <v>690</v>
      </c>
      <c r="P10" s="219" t="s">
        <v>230</v>
      </c>
      <c r="Q10" s="550"/>
    </row>
    <row r="11" spans="1:17" ht="30.1" customHeight="1" x14ac:dyDescent="0.25">
      <c r="A11" s="573">
        <v>6</v>
      </c>
      <c r="B11" s="574" t="s">
        <v>686</v>
      </c>
      <c r="C11" s="574" t="s">
        <v>687</v>
      </c>
      <c r="D11" s="574" t="s">
        <v>28</v>
      </c>
      <c r="E11" s="575">
        <v>25948966</v>
      </c>
      <c r="F11" s="574" t="s">
        <v>100</v>
      </c>
      <c r="G11" s="574" t="s">
        <v>156</v>
      </c>
      <c r="H11" s="574" t="s">
        <v>688</v>
      </c>
      <c r="I11" s="576" t="s">
        <v>689</v>
      </c>
      <c r="J11" s="577">
        <v>43287</v>
      </c>
      <c r="K11" s="577">
        <v>43297</v>
      </c>
      <c r="L11" s="577">
        <v>43327</v>
      </c>
      <c r="M11" s="574">
        <v>20</v>
      </c>
      <c r="N11" s="574" t="s">
        <v>22</v>
      </c>
      <c r="O11" s="574" t="s">
        <v>690</v>
      </c>
      <c r="P11" s="219"/>
      <c r="Q11" s="557"/>
    </row>
    <row r="12" spans="1:17" ht="30.1" customHeight="1" x14ac:dyDescent="0.25">
      <c r="A12" s="573">
        <v>7</v>
      </c>
      <c r="B12" s="574" t="s">
        <v>692</v>
      </c>
      <c r="C12" s="574" t="s">
        <v>693</v>
      </c>
      <c r="D12" s="574" t="s">
        <v>17</v>
      </c>
      <c r="E12" s="575">
        <v>1063135305</v>
      </c>
      <c r="F12" s="574" t="s">
        <v>100</v>
      </c>
      <c r="G12" s="574" t="s">
        <v>992</v>
      </c>
      <c r="H12" s="574" t="s">
        <v>694</v>
      </c>
      <c r="I12" s="576">
        <v>3165436673</v>
      </c>
      <c r="J12" s="577">
        <v>43286</v>
      </c>
      <c r="K12" s="577">
        <v>43290</v>
      </c>
      <c r="L12" s="577">
        <v>43312</v>
      </c>
      <c r="M12" s="574">
        <v>20</v>
      </c>
      <c r="N12" s="574" t="s">
        <v>22</v>
      </c>
      <c r="O12" s="574" t="s">
        <v>695</v>
      </c>
      <c r="P12" s="219"/>
      <c r="Q12" s="557"/>
    </row>
    <row r="13" spans="1:17" ht="30.1" customHeight="1" x14ac:dyDescent="0.25">
      <c r="A13" s="607">
        <v>8</v>
      </c>
      <c r="B13" s="612" t="s">
        <v>696</v>
      </c>
      <c r="C13" s="612" t="s">
        <v>697</v>
      </c>
      <c r="D13" s="612" t="s">
        <v>17</v>
      </c>
      <c r="E13" s="623">
        <v>1062605273</v>
      </c>
      <c r="F13" s="612" t="s">
        <v>100</v>
      </c>
      <c r="G13" s="612" t="s">
        <v>54</v>
      </c>
      <c r="H13" s="612" t="s">
        <v>698</v>
      </c>
      <c r="I13" s="617">
        <v>3145290652</v>
      </c>
      <c r="J13" s="619">
        <v>43286</v>
      </c>
      <c r="K13" s="619">
        <v>43290</v>
      </c>
      <c r="L13" s="619">
        <v>43289</v>
      </c>
      <c r="M13" s="574">
        <v>30</v>
      </c>
      <c r="N13" s="574" t="s">
        <v>22</v>
      </c>
      <c r="O13" s="574" t="s">
        <v>45</v>
      </c>
      <c r="P13" s="590" t="s">
        <v>795</v>
      </c>
      <c r="Q13" s="609" t="s">
        <v>1041</v>
      </c>
    </row>
    <row r="14" spans="1:17" ht="30.1" customHeight="1" x14ac:dyDescent="0.25">
      <c r="A14" s="631"/>
      <c r="B14" s="614"/>
      <c r="C14" s="614"/>
      <c r="D14" s="614"/>
      <c r="E14" s="626"/>
      <c r="F14" s="614"/>
      <c r="G14" s="614"/>
      <c r="H14" s="614"/>
      <c r="I14" s="621"/>
      <c r="J14" s="622"/>
      <c r="K14" s="622"/>
      <c r="L14" s="614"/>
      <c r="M14" s="574">
        <v>30</v>
      </c>
      <c r="N14" s="574" t="s">
        <v>50</v>
      </c>
      <c r="O14" s="574" t="s">
        <v>57</v>
      </c>
      <c r="P14" s="591"/>
      <c r="Q14" s="611"/>
    </row>
    <row r="15" spans="1:17" ht="30.1" customHeight="1" x14ac:dyDescent="0.25">
      <c r="A15" s="631"/>
      <c r="B15" s="614"/>
      <c r="C15" s="614"/>
      <c r="D15" s="614"/>
      <c r="E15" s="626"/>
      <c r="F15" s="614"/>
      <c r="G15" s="614"/>
      <c r="H15" s="614"/>
      <c r="I15" s="621"/>
      <c r="J15" s="622"/>
      <c r="K15" s="622"/>
      <c r="L15" s="614"/>
      <c r="M15" s="574">
        <v>30</v>
      </c>
      <c r="N15" s="574" t="s">
        <v>24</v>
      </c>
      <c r="O15" s="574" t="s">
        <v>46</v>
      </c>
      <c r="P15" s="591"/>
      <c r="Q15" s="611"/>
    </row>
    <row r="16" spans="1:17" ht="30.1" customHeight="1" x14ac:dyDescent="0.25">
      <c r="A16" s="608"/>
      <c r="B16" s="613"/>
      <c r="C16" s="613"/>
      <c r="D16" s="613"/>
      <c r="E16" s="624"/>
      <c r="F16" s="613"/>
      <c r="G16" s="613"/>
      <c r="H16" s="613"/>
      <c r="I16" s="618"/>
      <c r="J16" s="620"/>
      <c r="K16" s="620"/>
      <c r="L16" s="613"/>
      <c r="M16" s="574">
        <v>30</v>
      </c>
      <c r="N16" s="574" t="s">
        <v>699</v>
      </c>
      <c r="O16" s="574" t="s">
        <v>700</v>
      </c>
      <c r="P16" s="592"/>
      <c r="Q16" s="610"/>
    </row>
    <row r="17" spans="1:18" ht="30.1" customHeight="1" x14ac:dyDescent="0.25">
      <c r="A17" s="573">
        <v>9</v>
      </c>
      <c r="B17" s="574" t="s">
        <v>701</v>
      </c>
      <c r="C17" s="574" t="s">
        <v>702</v>
      </c>
      <c r="D17" s="574" t="s">
        <v>28</v>
      </c>
      <c r="E17" s="575">
        <v>26005647</v>
      </c>
      <c r="F17" s="574" t="s">
        <v>18</v>
      </c>
      <c r="G17" s="574" t="s">
        <v>993</v>
      </c>
      <c r="H17" s="574" t="s">
        <v>703</v>
      </c>
      <c r="I17" s="576">
        <v>3205046626</v>
      </c>
      <c r="J17" s="577">
        <v>43286</v>
      </c>
      <c r="K17" s="577">
        <v>43290</v>
      </c>
      <c r="L17" s="574"/>
      <c r="M17" s="574"/>
      <c r="N17" s="574" t="s">
        <v>22</v>
      </c>
      <c r="O17" s="574" t="s">
        <v>125</v>
      </c>
      <c r="P17" s="119" t="s">
        <v>704</v>
      </c>
      <c r="Q17" s="216"/>
    </row>
    <row r="18" spans="1:18" ht="30.1" customHeight="1" x14ac:dyDescent="0.25">
      <c r="A18" s="607">
        <v>10</v>
      </c>
      <c r="B18" s="625" t="s">
        <v>705</v>
      </c>
      <c r="C18" s="625" t="s">
        <v>706</v>
      </c>
      <c r="D18" s="625" t="s">
        <v>28</v>
      </c>
      <c r="E18" s="628">
        <v>34970856</v>
      </c>
      <c r="F18" s="625" t="s">
        <v>43</v>
      </c>
      <c r="G18" s="612" t="s">
        <v>54</v>
      </c>
      <c r="H18" s="625" t="s">
        <v>707</v>
      </c>
      <c r="I18" s="629">
        <v>3226006856</v>
      </c>
      <c r="J18" s="627">
        <v>43290</v>
      </c>
      <c r="K18" s="627">
        <v>43291</v>
      </c>
      <c r="L18" s="627">
        <v>43312</v>
      </c>
      <c r="M18" s="574">
        <v>20</v>
      </c>
      <c r="N18" s="574" t="s">
        <v>22</v>
      </c>
      <c r="O18" s="574" t="s">
        <v>45</v>
      </c>
      <c r="P18" s="219"/>
      <c r="Q18" s="557"/>
    </row>
    <row r="19" spans="1:18" ht="30.1" customHeight="1" x14ac:dyDescent="0.25">
      <c r="A19" s="608"/>
      <c r="B19" s="625"/>
      <c r="C19" s="625"/>
      <c r="D19" s="625"/>
      <c r="E19" s="628"/>
      <c r="F19" s="625"/>
      <c r="G19" s="613"/>
      <c r="H19" s="625"/>
      <c r="I19" s="629"/>
      <c r="J19" s="627"/>
      <c r="K19" s="627"/>
      <c r="L19" s="627"/>
      <c r="M19" s="574">
        <v>20</v>
      </c>
      <c r="N19" s="574" t="s">
        <v>50</v>
      </c>
      <c r="O19" s="574" t="s">
        <v>57</v>
      </c>
      <c r="P19" s="219"/>
      <c r="Q19" s="557"/>
    </row>
    <row r="20" spans="1:18" ht="30.1" customHeight="1" x14ac:dyDescent="0.25">
      <c r="A20" s="607">
        <v>11</v>
      </c>
      <c r="B20" s="612" t="s">
        <v>710</v>
      </c>
      <c r="C20" s="612" t="s">
        <v>711</v>
      </c>
      <c r="D20" s="612" t="s">
        <v>28</v>
      </c>
      <c r="E20" s="623">
        <v>50955422</v>
      </c>
      <c r="F20" s="612" t="s">
        <v>29</v>
      </c>
      <c r="G20" s="612" t="s">
        <v>54</v>
      </c>
      <c r="H20" s="612" t="s">
        <v>712</v>
      </c>
      <c r="I20" s="617">
        <v>3124502273</v>
      </c>
      <c r="J20" s="619">
        <v>43287</v>
      </c>
      <c r="K20" s="619">
        <v>43288</v>
      </c>
      <c r="L20" s="619">
        <v>43312</v>
      </c>
      <c r="M20" s="574">
        <v>12</v>
      </c>
      <c r="N20" s="574" t="s">
        <v>24</v>
      </c>
      <c r="O20" s="574" t="s">
        <v>46</v>
      </c>
      <c r="P20" s="219"/>
      <c r="Q20" s="557"/>
    </row>
    <row r="21" spans="1:18" ht="30.1" customHeight="1" x14ac:dyDescent="0.25">
      <c r="A21" s="631"/>
      <c r="B21" s="614"/>
      <c r="C21" s="614"/>
      <c r="D21" s="614"/>
      <c r="E21" s="626"/>
      <c r="F21" s="614"/>
      <c r="G21" s="614"/>
      <c r="H21" s="614"/>
      <c r="I21" s="621"/>
      <c r="J21" s="622"/>
      <c r="K21" s="622"/>
      <c r="L21" s="622"/>
      <c r="M21" s="574">
        <v>12</v>
      </c>
      <c r="N21" s="574" t="s">
        <v>22</v>
      </c>
      <c r="O21" s="574" t="s">
        <v>45</v>
      </c>
      <c r="P21" s="219"/>
      <c r="Q21" s="557"/>
    </row>
    <row r="22" spans="1:18" ht="30.1" customHeight="1" x14ac:dyDescent="0.25">
      <c r="A22" s="608"/>
      <c r="B22" s="613"/>
      <c r="C22" s="613"/>
      <c r="D22" s="613"/>
      <c r="E22" s="624"/>
      <c r="F22" s="613"/>
      <c r="G22" s="613"/>
      <c r="H22" s="613"/>
      <c r="I22" s="618"/>
      <c r="J22" s="620"/>
      <c r="K22" s="620"/>
      <c r="L22" s="620"/>
      <c r="M22" s="574">
        <v>12</v>
      </c>
      <c r="N22" s="574" t="s">
        <v>50</v>
      </c>
      <c r="O22" s="574" t="s">
        <v>57</v>
      </c>
      <c r="P22" s="219"/>
      <c r="Q22" s="557"/>
    </row>
    <row r="23" spans="1:18" ht="30.1" customHeight="1" x14ac:dyDescent="0.25">
      <c r="A23" s="607">
        <v>12</v>
      </c>
      <c r="B23" s="625" t="s">
        <v>402</v>
      </c>
      <c r="C23" s="625" t="s">
        <v>214</v>
      </c>
      <c r="D23" s="625" t="s">
        <v>28</v>
      </c>
      <c r="E23" s="628">
        <v>78016110</v>
      </c>
      <c r="F23" s="625" t="s">
        <v>29</v>
      </c>
      <c r="G23" s="612" t="s">
        <v>54</v>
      </c>
      <c r="H23" s="625" t="s">
        <v>730</v>
      </c>
      <c r="I23" s="629">
        <v>3014529933</v>
      </c>
      <c r="J23" s="627">
        <v>43286</v>
      </c>
      <c r="K23" s="625" t="s">
        <v>731</v>
      </c>
      <c r="L23" s="627">
        <v>43312</v>
      </c>
      <c r="M23" s="574">
        <v>12</v>
      </c>
      <c r="N23" s="574" t="s">
        <v>22</v>
      </c>
      <c r="O23" s="574" t="s">
        <v>45</v>
      </c>
      <c r="P23" s="219"/>
      <c r="Q23" s="557"/>
    </row>
    <row r="24" spans="1:18" ht="30.1" customHeight="1" x14ac:dyDescent="0.25">
      <c r="A24" s="608"/>
      <c r="B24" s="625"/>
      <c r="C24" s="625"/>
      <c r="D24" s="625"/>
      <c r="E24" s="628"/>
      <c r="F24" s="625"/>
      <c r="G24" s="613"/>
      <c r="H24" s="625"/>
      <c r="I24" s="629"/>
      <c r="J24" s="627"/>
      <c r="K24" s="625"/>
      <c r="L24" s="627"/>
      <c r="M24" s="574">
        <v>20</v>
      </c>
      <c r="N24" s="574" t="s">
        <v>24</v>
      </c>
      <c r="O24" s="574" t="s">
        <v>46</v>
      </c>
      <c r="P24" s="219"/>
      <c r="Q24" s="557"/>
    </row>
    <row r="25" spans="1:18" ht="30.1" customHeight="1" x14ac:dyDescent="0.25">
      <c r="A25" s="573">
        <v>13</v>
      </c>
      <c r="B25" s="574" t="s">
        <v>732</v>
      </c>
      <c r="C25" s="574" t="s">
        <v>733</v>
      </c>
      <c r="D25" s="574" t="s">
        <v>28</v>
      </c>
      <c r="E25" s="575">
        <v>26137228</v>
      </c>
      <c r="F25" s="574" t="s">
        <v>100</v>
      </c>
      <c r="G25" s="574" t="s">
        <v>992</v>
      </c>
      <c r="H25" s="574" t="s">
        <v>734</v>
      </c>
      <c r="I25" s="576">
        <v>3113146378</v>
      </c>
      <c r="J25" s="577">
        <v>43284</v>
      </c>
      <c r="K25" s="577">
        <v>43284</v>
      </c>
      <c r="L25" s="577">
        <v>43312</v>
      </c>
      <c r="M25" s="574">
        <v>10</v>
      </c>
      <c r="N25" s="574" t="s">
        <v>22</v>
      </c>
      <c r="O25" s="574" t="s">
        <v>695</v>
      </c>
      <c r="P25" s="219"/>
      <c r="Q25" s="559" t="s">
        <v>1019</v>
      </c>
    </row>
    <row r="26" spans="1:18" ht="30.1" customHeight="1" x14ac:dyDescent="0.25">
      <c r="A26" s="573">
        <v>14</v>
      </c>
      <c r="B26" s="574" t="s">
        <v>739</v>
      </c>
      <c r="C26" s="574" t="s">
        <v>740</v>
      </c>
      <c r="D26" s="574" t="s">
        <v>28</v>
      </c>
      <c r="E26" s="575">
        <v>1065374210</v>
      </c>
      <c r="F26" s="574" t="s">
        <v>100</v>
      </c>
      <c r="G26" s="574" t="s">
        <v>128</v>
      </c>
      <c r="H26" s="574" t="s">
        <v>741</v>
      </c>
      <c r="I26" s="576">
        <v>3115238367</v>
      </c>
      <c r="J26" s="577">
        <v>43284</v>
      </c>
      <c r="K26" s="577">
        <v>43285</v>
      </c>
      <c r="L26" s="577">
        <v>43312</v>
      </c>
      <c r="M26" s="574">
        <v>36</v>
      </c>
      <c r="N26" s="574" t="s">
        <v>22</v>
      </c>
      <c r="O26" s="574" t="s">
        <v>125</v>
      </c>
      <c r="P26" s="219" t="s">
        <v>742</v>
      </c>
      <c r="Q26" s="557"/>
    </row>
    <row r="27" spans="1:18" ht="30.1" customHeight="1" x14ac:dyDescent="0.25">
      <c r="A27" s="607">
        <v>15</v>
      </c>
      <c r="B27" s="612" t="s">
        <v>748</v>
      </c>
      <c r="C27" s="612" t="s">
        <v>749</v>
      </c>
      <c r="D27" s="612" t="s">
        <v>28</v>
      </c>
      <c r="E27" s="623">
        <v>92027159</v>
      </c>
      <c r="F27" s="612" t="s">
        <v>18</v>
      </c>
      <c r="G27" s="612" t="s">
        <v>95</v>
      </c>
      <c r="H27" s="612" t="s">
        <v>750</v>
      </c>
      <c r="I27" s="617">
        <v>3117260897</v>
      </c>
      <c r="J27" s="619">
        <v>43291</v>
      </c>
      <c r="K27" s="577">
        <v>43291</v>
      </c>
      <c r="L27" s="577">
        <v>43373</v>
      </c>
      <c r="M27" s="574">
        <v>45</v>
      </c>
      <c r="N27" s="574" t="s">
        <v>22</v>
      </c>
      <c r="O27" s="574" t="s">
        <v>96</v>
      </c>
      <c r="P27" s="219" t="s">
        <v>751</v>
      </c>
      <c r="Q27" s="557"/>
    </row>
    <row r="28" spans="1:18" ht="30.1" customHeight="1" x14ac:dyDescent="0.25">
      <c r="A28" s="608"/>
      <c r="B28" s="613"/>
      <c r="C28" s="613"/>
      <c r="D28" s="613"/>
      <c r="E28" s="624"/>
      <c r="F28" s="613"/>
      <c r="G28" s="613"/>
      <c r="H28" s="613"/>
      <c r="I28" s="618"/>
      <c r="J28" s="620"/>
      <c r="K28" s="577">
        <v>43291</v>
      </c>
      <c r="L28" s="577">
        <v>43373</v>
      </c>
      <c r="M28" s="574">
        <v>45</v>
      </c>
      <c r="N28" s="574" t="s">
        <v>50</v>
      </c>
      <c r="O28" s="574" t="s">
        <v>752</v>
      </c>
      <c r="P28" s="219" t="s">
        <v>751</v>
      </c>
      <c r="Q28" s="557"/>
    </row>
    <row r="29" spans="1:18" ht="30.1" customHeight="1" x14ac:dyDescent="0.25">
      <c r="A29" s="607">
        <v>16</v>
      </c>
      <c r="B29" s="612" t="s">
        <v>753</v>
      </c>
      <c r="C29" s="612" t="s">
        <v>754</v>
      </c>
      <c r="D29" s="612" t="s">
        <v>28</v>
      </c>
      <c r="E29" s="623">
        <v>45425572</v>
      </c>
      <c r="F29" s="612" t="s">
        <v>29</v>
      </c>
      <c r="G29" s="612" t="s">
        <v>1006</v>
      </c>
      <c r="H29" s="612" t="s">
        <v>755</v>
      </c>
      <c r="I29" s="617">
        <v>3205178764</v>
      </c>
      <c r="J29" s="619">
        <v>43293</v>
      </c>
      <c r="K29" s="619">
        <v>43293</v>
      </c>
      <c r="L29" s="619">
        <v>43324</v>
      </c>
      <c r="M29" s="574">
        <v>12</v>
      </c>
      <c r="N29" s="574" t="s">
        <v>22</v>
      </c>
      <c r="O29" s="574" t="s">
        <v>915</v>
      </c>
      <c r="P29" s="219"/>
      <c r="Q29" s="615" t="s">
        <v>925</v>
      </c>
    </row>
    <row r="30" spans="1:18" ht="30.1" customHeight="1" x14ac:dyDescent="0.25">
      <c r="A30" s="608"/>
      <c r="B30" s="613"/>
      <c r="C30" s="613"/>
      <c r="D30" s="613"/>
      <c r="E30" s="624"/>
      <c r="F30" s="613"/>
      <c r="G30" s="613"/>
      <c r="H30" s="613"/>
      <c r="I30" s="618"/>
      <c r="J30" s="620"/>
      <c r="K30" s="620"/>
      <c r="L30" s="620"/>
      <c r="M30" s="574">
        <v>60</v>
      </c>
      <c r="N30" s="574" t="s">
        <v>25</v>
      </c>
      <c r="O30" s="574" t="s">
        <v>915</v>
      </c>
      <c r="P30" s="219" t="s">
        <v>756</v>
      </c>
      <c r="Q30" s="616"/>
      <c r="R30" s="560"/>
    </row>
    <row r="31" spans="1:18" ht="30.1" customHeight="1" x14ac:dyDescent="0.25">
      <c r="A31" s="607">
        <v>17</v>
      </c>
      <c r="B31" s="612" t="s">
        <v>766</v>
      </c>
      <c r="C31" s="612" t="s">
        <v>767</v>
      </c>
      <c r="D31" s="612" t="s">
        <v>28</v>
      </c>
      <c r="E31" s="623">
        <v>30571313</v>
      </c>
      <c r="F31" s="612" t="s">
        <v>29</v>
      </c>
      <c r="G31" s="612" t="s">
        <v>145</v>
      </c>
      <c r="H31" s="612" t="s">
        <v>878</v>
      </c>
      <c r="I31" s="617">
        <v>3003157807</v>
      </c>
      <c r="J31" s="577">
        <v>43293</v>
      </c>
      <c r="K31" s="577">
        <v>43294</v>
      </c>
      <c r="L31" s="577">
        <v>43312</v>
      </c>
      <c r="M31" s="574">
        <v>16</v>
      </c>
      <c r="N31" s="574" t="s">
        <v>22</v>
      </c>
      <c r="O31" s="574" t="s">
        <v>40</v>
      </c>
      <c r="P31" s="219"/>
      <c r="Q31" s="557"/>
      <c r="R31" s="560"/>
    </row>
    <row r="32" spans="1:18" ht="30.1" customHeight="1" x14ac:dyDescent="0.25">
      <c r="A32" s="608"/>
      <c r="B32" s="613"/>
      <c r="C32" s="613"/>
      <c r="D32" s="613"/>
      <c r="E32" s="624"/>
      <c r="F32" s="613"/>
      <c r="G32" s="613"/>
      <c r="H32" s="613"/>
      <c r="I32" s="618"/>
      <c r="J32" s="577">
        <v>43293</v>
      </c>
      <c r="K32" s="577">
        <v>43294</v>
      </c>
      <c r="L32" s="577">
        <v>43312</v>
      </c>
      <c r="M32" s="574">
        <v>16</v>
      </c>
      <c r="N32" s="574" t="s">
        <v>24</v>
      </c>
      <c r="O32" s="574" t="s">
        <v>691</v>
      </c>
      <c r="P32" s="219"/>
      <c r="Q32" s="557"/>
      <c r="R32" s="560"/>
    </row>
    <row r="33" spans="1:18" ht="30.1" customHeight="1" x14ac:dyDescent="0.25">
      <c r="A33" s="607">
        <v>18</v>
      </c>
      <c r="B33" s="612" t="s">
        <v>768</v>
      </c>
      <c r="C33" s="612" t="s">
        <v>769</v>
      </c>
      <c r="D33" s="612" t="s">
        <v>28</v>
      </c>
      <c r="E33" s="623">
        <v>78037181</v>
      </c>
      <c r="F33" s="612" t="s">
        <v>43</v>
      </c>
      <c r="G33" s="579"/>
      <c r="H33" s="612" t="s">
        <v>160</v>
      </c>
      <c r="I33" s="617">
        <v>3045339349</v>
      </c>
      <c r="J33" s="619">
        <v>43296</v>
      </c>
      <c r="K33" s="627">
        <v>43297</v>
      </c>
      <c r="L33" s="619">
        <v>43327</v>
      </c>
      <c r="M33" s="580">
        <v>30</v>
      </c>
      <c r="N33" s="574" t="s">
        <v>22</v>
      </c>
      <c r="O33" s="574" t="s">
        <v>163</v>
      </c>
      <c r="P33" s="219"/>
      <c r="Q33" s="630" t="s">
        <v>822</v>
      </c>
      <c r="R33" s="560"/>
    </row>
    <row r="34" spans="1:18" ht="30.1" customHeight="1" x14ac:dyDescent="0.25">
      <c r="A34" s="631"/>
      <c r="B34" s="614"/>
      <c r="C34" s="614"/>
      <c r="D34" s="614"/>
      <c r="E34" s="626"/>
      <c r="F34" s="614"/>
      <c r="G34" s="581" t="s">
        <v>160</v>
      </c>
      <c r="H34" s="614"/>
      <c r="I34" s="621"/>
      <c r="J34" s="614"/>
      <c r="K34" s="627"/>
      <c r="L34" s="622"/>
      <c r="M34" s="580">
        <v>60</v>
      </c>
      <c r="N34" s="574" t="s">
        <v>25</v>
      </c>
      <c r="O34" s="574" t="s">
        <v>163</v>
      </c>
      <c r="P34" s="219" t="s">
        <v>231</v>
      </c>
      <c r="Q34" s="630"/>
      <c r="R34" s="560"/>
    </row>
    <row r="35" spans="1:18" ht="30.1" customHeight="1" x14ac:dyDescent="0.25">
      <c r="A35" s="608"/>
      <c r="B35" s="613"/>
      <c r="C35" s="613"/>
      <c r="D35" s="613"/>
      <c r="E35" s="624"/>
      <c r="F35" s="613"/>
      <c r="G35" s="578"/>
      <c r="H35" s="613"/>
      <c r="I35" s="618"/>
      <c r="J35" s="613"/>
      <c r="K35" s="627"/>
      <c r="L35" s="620"/>
      <c r="M35" s="580">
        <v>16</v>
      </c>
      <c r="N35" s="574" t="s">
        <v>24</v>
      </c>
      <c r="O35" s="574" t="s">
        <v>298</v>
      </c>
      <c r="P35" s="219" t="s">
        <v>924</v>
      </c>
      <c r="Q35" s="557"/>
      <c r="R35" s="560"/>
    </row>
    <row r="36" spans="1:18" ht="30.1" customHeight="1" x14ac:dyDescent="0.25">
      <c r="A36" s="573">
        <v>19</v>
      </c>
      <c r="B36" s="574" t="s">
        <v>783</v>
      </c>
      <c r="C36" s="574" t="s">
        <v>784</v>
      </c>
      <c r="D36" s="574" t="s">
        <v>28</v>
      </c>
      <c r="E36" s="575">
        <v>10942467</v>
      </c>
      <c r="F36" s="574" t="s">
        <v>100</v>
      </c>
      <c r="G36" s="574" t="s">
        <v>992</v>
      </c>
      <c r="H36" s="574" t="s">
        <v>734</v>
      </c>
      <c r="I36" s="576">
        <v>3218916754</v>
      </c>
      <c r="J36" s="577">
        <v>43290</v>
      </c>
      <c r="K36" s="577">
        <v>43292</v>
      </c>
      <c r="L36" s="577">
        <v>43312</v>
      </c>
      <c r="M36" s="580">
        <v>10</v>
      </c>
      <c r="N36" s="574" t="s">
        <v>22</v>
      </c>
      <c r="O36" s="574" t="s">
        <v>695</v>
      </c>
      <c r="P36" s="219"/>
      <c r="Q36" s="557"/>
    </row>
    <row r="37" spans="1:18" ht="30.1" customHeight="1" x14ac:dyDescent="0.25">
      <c r="A37" s="607">
        <v>20</v>
      </c>
      <c r="B37" s="612" t="s">
        <v>797</v>
      </c>
      <c r="C37" s="612" t="s">
        <v>798</v>
      </c>
      <c r="D37" s="612" t="s">
        <v>28</v>
      </c>
      <c r="E37" s="623">
        <v>78027242</v>
      </c>
      <c r="F37" s="612" t="s">
        <v>29</v>
      </c>
      <c r="G37" s="612" t="s">
        <v>54</v>
      </c>
      <c r="H37" s="612" t="s">
        <v>799</v>
      </c>
      <c r="I37" s="617">
        <v>3113286434</v>
      </c>
      <c r="J37" s="619">
        <v>43294</v>
      </c>
      <c r="K37" s="619">
        <v>43297</v>
      </c>
      <c r="L37" s="619">
        <v>43327</v>
      </c>
      <c r="M37" s="580">
        <v>20</v>
      </c>
      <c r="N37" s="574" t="s">
        <v>22</v>
      </c>
      <c r="O37" s="574" t="s">
        <v>45</v>
      </c>
      <c r="P37" s="590"/>
      <c r="Q37" s="609" t="s">
        <v>1055</v>
      </c>
    </row>
    <row r="38" spans="1:18" ht="30.1" customHeight="1" x14ac:dyDescent="0.25">
      <c r="A38" s="631"/>
      <c r="B38" s="614"/>
      <c r="C38" s="614"/>
      <c r="D38" s="614"/>
      <c r="E38" s="626"/>
      <c r="F38" s="614"/>
      <c r="G38" s="614"/>
      <c r="H38" s="614"/>
      <c r="I38" s="621"/>
      <c r="J38" s="622"/>
      <c r="K38" s="622"/>
      <c r="L38" s="622"/>
      <c r="M38" s="580">
        <v>20</v>
      </c>
      <c r="N38" s="574" t="s">
        <v>25</v>
      </c>
      <c r="O38" s="574" t="s">
        <v>45</v>
      </c>
      <c r="P38" s="591"/>
      <c r="Q38" s="611"/>
    </row>
    <row r="39" spans="1:18" ht="30.1" customHeight="1" x14ac:dyDescent="0.25">
      <c r="A39" s="608"/>
      <c r="B39" s="613"/>
      <c r="C39" s="613"/>
      <c r="D39" s="613"/>
      <c r="E39" s="624"/>
      <c r="F39" s="613"/>
      <c r="G39" s="613"/>
      <c r="H39" s="613"/>
      <c r="I39" s="618"/>
      <c r="J39" s="620"/>
      <c r="K39" s="620"/>
      <c r="L39" s="620"/>
      <c r="M39" s="580">
        <v>20</v>
      </c>
      <c r="N39" s="574" t="s">
        <v>1054</v>
      </c>
      <c r="O39" s="574" t="s">
        <v>46</v>
      </c>
      <c r="P39" s="592"/>
      <c r="Q39" s="610"/>
    </row>
    <row r="40" spans="1:18" ht="30.1" customHeight="1" x14ac:dyDescent="0.25">
      <c r="A40" s="573">
        <v>21</v>
      </c>
      <c r="B40" s="574" t="s">
        <v>800</v>
      </c>
      <c r="C40" s="574" t="s">
        <v>801</v>
      </c>
      <c r="D40" s="574" t="s">
        <v>802</v>
      </c>
      <c r="E40" s="575">
        <v>1068739581</v>
      </c>
      <c r="F40" s="574" t="s">
        <v>100</v>
      </c>
      <c r="G40" s="574" t="s">
        <v>992</v>
      </c>
      <c r="H40" s="574" t="s">
        <v>803</v>
      </c>
      <c r="I40" s="576" t="s">
        <v>804</v>
      </c>
      <c r="J40" s="577">
        <v>43294</v>
      </c>
      <c r="K40" s="577">
        <v>43298</v>
      </c>
      <c r="L40" s="577">
        <v>43328</v>
      </c>
      <c r="M40" s="580">
        <v>24</v>
      </c>
      <c r="N40" s="574" t="s">
        <v>22</v>
      </c>
      <c r="O40" s="574" t="s">
        <v>695</v>
      </c>
      <c r="P40" s="219" t="s">
        <v>809</v>
      </c>
      <c r="Q40" s="557"/>
    </row>
    <row r="41" spans="1:18" s="553" customFormat="1" ht="30.1" customHeight="1" x14ac:dyDescent="0.25">
      <c r="A41" s="573">
        <v>22</v>
      </c>
      <c r="B41" s="574" t="s">
        <v>852</v>
      </c>
      <c r="C41" s="574" t="s">
        <v>853</v>
      </c>
      <c r="D41" s="574" t="s">
        <v>28</v>
      </c>
      <c r="E41" s="575">
        <v>1137975345</v>
      </c>
      <c r="F41" s="574" t="s">
        <v>29</v>
      </c>
      <c r="G41" s="574" t="s">
        <v>854</v>
      </c>
      <c r="H41" s="574" t="s">
        <v>854</v>
      </c>
      <c r="I41" s="574">
        <v>3218279582</v>
      </c>
      <c r="J41" s="577">
        <v>43297</v>
      </c>
      <c r="K41" s="577">
        <v>43292</v>
      </c>
      <c r="L41" s="577">
        <v>43291</v>
      </c>
      <c r="M41" s="574">
        <v>20</v>
      </c>
      <c r="N41" s="574" t="s">
        <v>22</v>
      </c>
      <c r="O41" s="574" t="s">
        <v>923</v>
      </c>
      <c r="P41" s="219" t="s">
        <v>863</v>
      </c>
      <c r="Q41" s="551"/>
      <c r="R41" s="552"/>
    </row>
    <row r="42" spans="1:18" ht="30.1" customHeight="1" x14ac:dyDescent="0.25">
      <c r="A42" s="573">
        <v>23</v>
      </c>
      <c r="B42" s="574" t="s">
        <v>864</v>
      </c>
      <c r="C42" s="574" t="s">
        <v>865</v>
      </c>
      <c r="D42" s="574" t="s">
        <v>28</v>
      </c>
      <c r="E42" s="575">
        <v>256049176</v>
      </c>
      <c r="F42" s="574" t="s">
        <v>100</v>
      </c>
      <c r="G42" s="574" t="s">
        <v>382</v>
      </c>
      <c r="H42" s="574" t="s">
        <v>382</v>
      </c>
      <c r="I42" s="576">
        <v>3016265042</v>
      </c>
      <c r="J42" s="577">
        <v>43297</v>
      </c>
      <c r="K42" s="577">
        <v>43297</v>
      </c>
      <c r="L42" s="577">
        <v>43327</v>
      </c>
      <c r="M42" s="574">
        <v>12</v>
      </c>
      <c r="N42" s="574" t="s">
        <v>22</v>
      </c>
      <c r="O42" s="574" t="s">
        <v>385</v>
      </c>
      <c r="P42" s="219" t="s">
        <v>863</v>
      </c>
      <c r="Q42" s="554">
        <v>15000</v>
      </c>
    </row>
    <row r="43" spans="1:18" s="76" customFormat="1" ht="30.1" customHeight="1" x14ac:dyDescent="0.25">
      <c r="A43" s="607">
        <v>24</v>
      </c>
      <c r="B43" s="612" t="s">
        <v>869</v>
      </c>
      <c r="C43" s="612" t="s">
        <v>870</v>
      </c>
      <c r="D43" s="612" t="s">
        <v>28</v>
      </c>
      <c r="E43" s="623">
        <v>15302849</v>
      </c>
      <c r="F43" s="612" t="s">
        <v>29</v>
      </c>
      <c r="G43" s="612" t="s">
        <v>145</v>
      </c>
      <c r="H43" s="612" t="s">
        <v>871</v>
      </c>
      <c r="I43" s="617">
        <v>3145171025</v>
      </c>
      <c r="J43" s="619">
        <v>43297</v>
      </c>
      <c r="K43" s="619">
        <v>43298</v>
      </c>
      <c r="L43" s="619">
        <v>43328</v>
      </c>
      <c r="M43" s="574">
        <v>12</v>
      </c>
      <c r="N43" s="574" t="s">
        <v>22</v>
      </c>
      <c r="O43" s="574" t="s">
        <v>40</v>
      </c>
      <c r="P43" s="590" t="s">
        <v>863</v>
      </c>
      <c r="Q43" s="550">
        <v>15000</v>
      </c>
    </row>
    <row r="44" spans="1:18" s="76" customFormat="1" ht="30.1" customHeight="1" x14ac:dyDescent="0.25">
      <c r="A44" s="608"/>
      <c r="B44" s="613"/>
      <c r="C44" s="613"/>
      <c r="D44" s="613"/>
      <c r="E44" s="624"/>
      <c r="F44" s="613"/>
      <c r="G44" s="613"/>
      <c r="H44" s="613"/>
      <c r="I44" s="618"/>
      <c r="J44" s="620"/>
      <c r="K44" s="620"/>
      <c r="L44" s="620"/>
      <c r="M44" s="574">
        <v>12</v>
      </c>
      <c r="N44" s="574" t="s">
        <v>24</v>
      </c>
      <c r="O44" s="574" t="s">
        <v>406</v>
      </c>
      <c r="P44" s="592"/>
      <c r="Q44" s="550">
        <v>15000</v>
      </c>
    </row>
    <row r="45" spans="1:18" ht="30.1" customHeight="1" x14ac:dyDescent="0.25">
      <c r="A45" s="573">
        <v>25</v>
      </c>
      <c r="B45" s="574" t="s">
        <v>918</v>
      </c>
      <c r="C45" s="574" t="s">
        <v>919</v>
      </c>
      <c r="D45" s="574" t="s">
        <v>28</v>
      </c>
      <c r="E45" s="575">
        <v>10890249</v>
      </c>
      <c r="F45" s="574" t="s">
        <v>100</v>
      </c>
      <c r="G45" s="574" t="s">
        <v>382</v>
      </c>
      <c r="H45" s="574" t="s">
        <v>920</v>
      </c>
      <c r="I45" s="576">
        <v>3106551404</v>
      </c>
      <c r="J45" s="577">
        <v>43297</v>
      </c>
      <c r="K45" s="577">
        <v>43299</v>
      </c>
      <c r="L45" s="577">
        <v>43390</v>
      </c>
      <c r="M45" s="574">
        <v>60</v>
      </c>
      <c r="N45" s="574" t="s">
        <v>22</v>
      </c>
      <c r="O45" s="574" t="s">
        <v>385</v>
      </c>
      <c r="P45" s="219" t="s">
        <v>863</v>
      </c>
      <c r="Q45" s="557"/>
    </row>
    <row r="46" spans="1:18" ht="47.25" customHeight="1" x14ac:dyDescent="0.25">
      <c r="A46" s="573">
        <v>26</v>
      </c>
      <c r="B46" s="574" t="s">
        <v>926</v>
      </c>
      <c r="C46" s="574" t="s">
        <v>927</v>
      </c>
      <c r="D46" s="574" t="s">
        <v>28</v>
      </c>
      <c r="E46" s="575">
        <v>15017976</v>
      </c>
      <c r="F46" s="574" t="s">
        <v>100</v>
      </c>
      <c r="G46" s="574" t="s">
        <v>1007</v>
      </c>
      <c r="H46" s="574" t="s">
        <v>937</v>
      </c>
      <c r="I46" s="576" t="s">
        <v>928</v>
      </c>
      <c r="J46" s="577">
        <v>43299</v>
      </c>
      <c r="K46" s="577">
        <v>43300</v>
      </c>
      <c r="L46" s="577">
        <v>43330</v>
      </c>
      <c r="M46" s="574">
        <v>30</v>
      </c>
      <c r="N46" s="574" t="s">
        <v>22</v>
      </c>
      <c r="O46" s="574" t="s">
        <v>56</v>
      </c>
      <c r="P46" s="219" t="s">
        <v>935</v>
      </c>
      <c r="Q46" s="74" t="s">
        <v>936</v>
      </c>
    </row>
    <row r="47" spans="1:18" ht="30.1" customHeight="1" x14ac:dyDescent="0.25">
      <c r="A47" s="573">
        <v>27</v>
      </c>
      <c r="B47" s="574" t="s">
        <v>931</v>
      </c>
      <c r="C47" s="574" t="s">
        <v>932</v>
      </c>
      <c r="D47" s="574" t="s">
        <v>28</v>
      </c>
      <c r="E47" s="575">
        <v>30646396</v>
      </c>
      <c r="F47" s="574" t="s">
        <v>100</v>
      </c>
      <c r="G47" s="574" t="s">
        <v>156</v>
      </c>
      <c r="H47" s="574" t="s">
        <v>933</v>
      </c>
      <c r="I47" s="576">
        <v>3115271127</v>
      </c>
      <c r="J47" s="577">
        <v>43299</v>
      </c>
      <c r="K47" s="577">
        <v>43300</v>
      </c>
      <c r="L47" s="577">
        <v>43314</v>
      </c>
      <c r="M47" s="574">
        <v>10</v>
      </c>
      <c r="N47" s="574" t="s">
        <v>22</v>
      </c>
      <c r="O47" s="574" t="s">
        <v>157</v>
      </c>
      <c r="P47" s="219" t="s">
        <v>934</v>
      </c>
      <c r="Q47" s="557"/>
    </row>
    <row r="48" spans="1:18" ht="30.1" customHeight="1" x14ac:dyDescent="0.25">
      <c r="A48" s="607">
        <v>28</v>
      </c>
      <c r="B48" s="612" t="s">
        <v>944</v>
      </c>
      <c r="C48" s="612" t="s">
        <v>945</v>
      </c>
      <c r="D48" s="612" t="s">
        <v>28</v>
      </c>
      <c r="E48" s="623">
        <v>10905262</v>
      </c>
      <c r="F48" s="612" t="s">
        <v>100</v>
      </c>
      <c r="G48" s="612" t="s">
        <v>145</v>
      </c>
      <c r="H48" s="612" t="s">
        <v>946</v>
      </c>
      <c r="I48" s="617" t="s">
        <v>947</v>
      </c>
      <c r="J48" s="619">
        <v>43299</v>
      </c>
      <c r="K48" s="619">
        <v>43300</v>
      </c>
      <c r="L48" s="619">
        <v>43330</v>
      </c>
      <c r="M48" s="574">
        <v>12</v>
      </c>
      <c r="N48" s="574" t="s">
        <v>22</v>
      </c>
      <c r="O48" s="574" t="s">
        <v>915</v>
      </c>
      <c r="P48" s="219" t="s">
        <v>935</v>
      </c>
      <c r="Q48" s="557"/>
    </row>
    <row r="49" spans="1:17" ht="30.1" customHeight="1" x14ac:dyDescent="0.25">
      <c r="A49" s="631"/>
      <c r="B49" s="614"/>
      <c r="C49" s="614"/>
      <c r="D49" s="614"/>
      <c r="E49" s="626"/>
      <c r="F49" s="614"/>
      <c r="G49" s="614"/>
      <c r="H49" s="614"/>
      <c r="I49" s="621"/>
      <c r="J49" s="622"/>
      <c r="K49" s="622"/>
      <c r="L49" s="622"/>
      <c r="M49" s="574">
        <v>12</v>
      </c>
      <c r="N49" s="574" t="s">
        <v>24</v>
      </c>
      <c r="O49" s="574" t="s">
        <v>915</v>
      </c>
      <c r="P49" s="92" t="s">
        <v>935</v>
      </c>
      <c r="Q49" s="557" t="s">
        <v>948</v>
      </c>
    </row>
    <row r="50" spans="1:17" ht="30.1" customHeight="1" x14ac:dyDescent="0.25">
      <c r="A50" s="608"/>
      <c r="B50" s="613"/>
      <c r="C50" s="613"/>
      <c r="D50" s="613"/>
      <c r="E50" s="624"/>
      <c r="F50" s="613"/>
      <c r="G50" s="613"/>
      <c r="H50" s="613"/>
      <c r="I50" s="618"/>
      <c r="J50" s="620"/>
      <c r="K50" s="620"/>
      <c r="L50" s="620"/>
      <c r="M50" s="574">
        <v>12</v>
      </c>
      <c r="N50" s="574" t="s">
        <v>50</v>
      </c>
      <c r="O50" s="574" t="s">
        <v>1035</v>
      </c>
      <c r="P50" s="219" t="s">
        <v>935</v>
      </c>
      <c r="Q50" s="557"/>
    </row>
    <row r="51" spans="1:17" ht="30.1" customHeight="1" x14ac:dyDescent="0.25">
      <c r="A51" s="607">
        <v>29</v>
      </c>
      <c r="B51" s="612" t="s">
        <v>952</v>
      </c>
      <c r="C51" s="612" t="s">
        <v>953</v>
      </c>
      <c r="D51" s="612" t="s">
        <v>28</v>
      </c>
      <c r="E51" s="623">
        <v>37804151</v>
      </c>
      <c r="F51" s="612" t="s">
        <v>29</v>
      </c>
      <c r="G51" s="579"/>
      <c r="H51" s="612" t="s">
        <v>954</v>
      </c>
      <c r="I51" s="617">
        <v>3008380999</v>
      </c>
      <c r="J51" s="619">
        <v>43300</v>
      </c>
      <c r="K51" s="619">
        <v>43301</v>
      </c>
      <c r="L51" s="619">
        <v>43331</v>
      </c>
      <c r="M51" s="574">
        <v>12</v>
      </c>
      <c r="N51" s="574" t="s">
        <v>336</v>
      </c>
      <c r="O51" s="612" t="s">
        <v>45</v>
      </c>
      <c r="P51" s="219" t="s">
        <v>935</v>
      </c>
      <c r="Q51" s="609" t="s">
        <v>1018</v>
      </c>
    </row>
    <row r="52" spans="1:17" ht="30.1" customHeight="1" x14ac:dyDescent="0.25">
      <c r="A52" s="631"/>
      <c r="B52" s="614"/>
      <c r="C52" s="614"/>
      <c r="D52" s="614"/>
      <c r="E52" s="626"/>
      <c r="F52" s="614"/>
      <c r="G52" s="581" t="s">
        <v>54</v>
      </c>
      <c r="H52" s="614"/>
      <c r="I52" s="621"/>
      <c r="J52" s="622"/>
      <c r="K52" s="614"/>
      <c r="L52" s="614"/>
      <c r="M52" s="574">
        <v>60</v>
      </c>
      <c r="N52" s="574" t="s">
        <v>25</v>
      </c>
      <c r="O52" s="613"/>
      <c r="P52" s="219" t="s">
        <v>935</v>
      </c>
      <c r="Q52" s="610"/>
    </row>
    <row r="53" spans="1:17" ht="30.1" customHeight="1" x14ac:dyDescent="0.25">
      <c r="A53" s="608"/>
      <c r="B53" s="613"/>
      <c r="C53" s="613"/>
      <c r="D53" s="613"/>
      <c r="E53" s="624"/>
      <c r="F53" s="613"/>
      <c r="G53" s="578"/>
      <c r="H53" s="613"/>
      <c r="I53" s="618"/>
      <c r="J53" s="613"/>
      <c r="K53" s="613"/>
      <c r="L53" s="613"/>
      <c r="M53" s="574">
        <v>12</v>
      </c>
      <c r="N53" s="574" t="s">
        <v>24</v>
      </c>
      <c r="O53" s="574" t="s">
        <v>955</v>
      </c>
      <c r="P53" s="219" t="s">
        <v>935</v>
      </c>
      <c r="Q53" s="561" t="s">
        <v>1023</v>
      </c>
    </row>
    <row r="54" spans="1:17" ht="30.75" customHeight="1" x14ac:dyDescent="0.25">
      <c r="A54" s="573">
        <v>30</v>
      </c>
      <c r="B54" s="574" t="s">
        <v>989</v>
      </c>
      <c r="C54" s="574" t="s">
        <v>990</v>
      </c>
      <c r="D54" s="574" t="s">
        <v>28</v>
      </c>
      <c r="E54" s="575">
        <v>26050493</v>
      </c>
      <c r="F54" s="574" t="s">
        <v>29</v>
      </c>
      <c r="G54" s="574" t="s">
        <v>145</v>
      </c>
      <c r="H54" s="574" t="s">
        <v>991</v>
      </c>
      <c r="I54" s="576">
        <v>3126441916</v>
      </c>
      <c r="J54" s="577">
        <v>43300</v>
      </c>
      <c r="K54" s="577">
        <v>43304</v>
      </c>
      <c r="L54" s="577">
        <v>43334</v>
      </c>
      <c r="M54" s="574">
        <v>20</v>
      </c>
      <c r="N54" s="582" t="s">
        <v>22</v>
      </c>
      <c r="O54" s="574" t="s">
        <v>915</v>
      </c>
      <c r="P54" s="219" t="s">
        <v>935</v>
      </c>
      <c r="Q54" s="557"/>
    </row>
    <row r="55" spans="1:17" ht="49.6" customHeight="1" x14ac:dyDescent="0.25">
      <c r="A55" s="573">
        <v>31</v>
      </c>
      <c r="B55" s="574" t="s">
        <v>245</v>
      </c>
      <c r="C55" s="574" t="s">
        <v>99</v>
      </c>
      <c r="D55" s="574" t="s">
        <v>28</v>
      </c>
      <c r="E55" s="574">
        <v>10942554</v>
      </c>
      <c r="F55" s="574" t="s">
        <v>981</v>
      </c>
      <c r="G55" s="574" t="s">
        <v>992</v>
      </c>
      <c r="H55" s="574" t="s">
        <v>983</v>
      </c>
      <c r="I55" s="574">
        <v>3205169422</v>
      </c>
      <c r="J55" s="583">
        <v>43265</v>
      </c>
      <c r="K55" s="577">
        <v>43282</v>
      </c>
      <c r="L55" s="577">
        <v>43373</v>
      </c>
      <c r="M55" s="577" t="s">
        <v>984</v>
      </c>
      <c r="N55" s="577" t="s">
        <v>22</v>
      </c>
      <c r="O55" s="574" t="s">
        <v>102</v>
      </c>
      <c r="P55" s="219" t="s">
        <v>935</v>
      </c>
      <c r="Q55" s="92" t="s">
        <v>1020</v>
      </c>
    </row>
    <row r="56" spans="1:17" ht="30.1" customHeight="1" x14ac:dyDescent="0.25">
      <c r="A56" s="573">
        <v>32</v>
      </c>
      <c r="B56" s="574" t="s">
        <v>1008</v>
      </c>
      <c r="C56" s="574" t="s">
        <v>1009</v>
      </c>
      <c r="D56" s="574" t="s">
        <v>28</v>
      </c>
      <c r="E56" s="575">
        <v>50760401</v>
      </c>
      <c r="F56" s="574" t="s">
        <v>18</v>
      </c>
      <c r="G56" s="574" t="s">
        <v>54</v>
      </c>
      <c r="H56" s="574" t="s">
        <v>1010</v>
      </c>
      <c r="I56" s="576">
        <v>3145223992</v>
      </c>
      <c r="J56" s="577">
        <v>43304</v>
      </c>
      <c r="K56" s="577">
        <v>43305</v>
      </c>
      <c r="L56" s="577">
        <v>43319</v>
      </c>
      <c r="M56" s="574" t="s">
        <v>1012</v>
      </c>
      <c r="N56" s="574" t="s">
        <v>25</v>
      </c>
      <c r="O56" s="574" t="s">
        <v>45</v>
      </c>
      <c r="P56" s="219" t="s">
        <v>935</v>
      </c>
      <c r="Q56" s="557" t="s">
        <v>1011</v>
      </c>
    </row>
    <row r="57" spans="1:17" ht="30.1" customHeight="1" x14ac:dyDescent="0.25">
      <c r="A57" s="573">
        <v>33</v>
      </c>
      <c r="B57" s="574" t="s">
        <v>1026</v>
      </c>
      <c r="C57" s="574" t="s">
        <v>1027</v>
      </c>
      <c r="D57" s="574" t="s">
        <v>28</v>
      </c>
      <c r="E57" s="575">
        <v>78034230</v>
      </c>
      <c r="F57" s="574" t="s">
        <v>1028</v>
      </c>
      <c r="G57" s="574" t="s">
        <v>54</v>
      </c>
      <c r="H57" s="574" t="s">
        <v>1029</v>
      </c>
      <c r="I57" s="576">
        <v>3215076400</v>
      </c>
      <c r="J57" s="577">
        <v>43306</v>
      </c>
      <c r="K57" s="577">
        <v>43307</v>
      </c>
      <c r="L57" s="577">
        <v>43336</v>
      </c>
      <c r="M57" s="574">
        <v>8</v>
      </c>
      <c r="N57" s="574" t="s">
        <v>24</v>
      </c>
      <c r="O57" s="574" t="s">
        <v>955</v>
      </c>
      <c r="P57" s="219" t="s">
        <v>935</v>
      </c>
      <c r="Q57" s="557"/>
    </row>
    <row r="58" spans="1:17" ht="30.1" customHeight="1" x14ac:dyDescent="0.25">
      <c r="A58" s="573">
        <v>34</v>
      </c>
      <c r="B58" s="574" t="s">
        <v>1062</v>
      </c>
      <c r="C58" s="574" t="s">
        <v>1063</v>
      </c>
      <c r="D58" s="574" t="s">
        <v>28</v>
      </c>
      <c r="E58" s="574">
        <v>7559877</v>
      </c>
      <c r="F58" s="574" t="s">
        <v>29</v>
      </c>
      <c r="G58" s="574" t="s">
        <v>54</v>
      </c>
      <c r="H58" s="574" t="s">
        <v>1064</v>
      </c>
      <c r="I58" s="574" t="s">
        <v>1065</v>
      </c>
      <c r="J58" s="577">
        <v>43308</v>
      </c>
      <c r="K58" s="577">
        <v>43311</v>
      </c>
      <c r="L58" s="577">
        <v>43341</v>
      </c>
      <c r="M58" s="574">
        <v>12</v>
      </c>
      <c r="N58" s="574" t="s">
        <v>50</v>
      </c>
      <c r="O58" s="574" t="s">
        <v>57</v>
      </c>
      <c r="P58" s="219" t="s">
        <v>935</v>
      </c>
      <c r="Q58" s="557"/>
    </row>
    <row r="59" spans="1:17" ht="30.1" customHeight="1" x14ac:dyDescent="0.25">
      <c r="A59" s="573">
        <v>35</v>
      </c>
      <c r="B59" s="574" t="s">
        <v>1072</v>
      </c>
      <c r="C59" s="574" t="s">
        <v>1073</v>
      </c>
      <c r="D59" s="574" t="s">
        <v>28</v>
      </c>
      <c r="E59" s="574">
        <v>25840265</v>
      </c>
      <c r="F59" s="574" t="s">
        <v>29</v>
      </c>
      <c r="G59" s="574" t="s">
        <v>54</v>
      </c>
      <c r="H59" s="574" t="s">
        <v>1074</v>
      </c>
      <c r="I59" s="574" t="s">
        <v>1075</v>
      </c>
      <c r="J59" s="577">
        <v>43308</v>
      </c>
      <c r="K59" s="577">
        <v>43311</v>
      </c>
      <c r="L59" s="577">
        <v>43344</v>
      </c>
      <c r="M59" s="574">
        <v>30</v>
      </c>
      <c r="N59" s="574" t="s">
        <v>22</v>
      </c>
      <c r="O59" s="574" t="s">
        <v>45</v>
      </c>
      <c r="P59" s="219" t="s">
        <v>935</v>
      </c>
      <c r="Q59" s="557" t="s">
        <v>1076</v>
      </c>
    </row>
    <row r="60" spans="1:17" ht="30.1" customHeight="1" x14ac:dyDescent="0.25">
      <c r="A60" s="573">
        <v>36</v>
      </c>
      <c r="B60" s="574" t="s">
        <v>761</v>
      </c>
      <c r="C60" s="574" t="s">
        <v>762</v>
      </c>
      <c r="D60" s="574" t="s">
        <v>28</v>
      </c>
      <c r="E60" s="575">
        <v>30664122</v>
      </c>
      <c r="F60" s="574" t="s">
        <v>763</v>
      </c>
      <c r="G60" s="574" t="s">
        <v>992</v>
      </c>
      <c r="H60" s="574" t="s">
        <v>1081</v>
      </c>
      <c r="I60" s="576" t="s">
        <v>764</v>
      </c>
      <c r="J60" s="577">
        <v>43309</v>
      </c>
      <c r="K60" s="577">
        <v>43311</v>
      </c>
      <c r="L60" s="577">
        <v>43343</v>
      </c>
      <c r="M60" s="574">
        <v>20</v>
      </c>
      <c r="N60" s="574" t="s">
        <v>22</v>
      </c>
      <c r="O60" s="574" t="s">
        <v>695</v>
      </c>
      <c r="P60" s="219" t="s">
        <v>935</v>
      </c>
      <c r="Q60" s="557"/>
    </row>
    <row r="61" spans="1:17" ht="30.1" customHeight="1" x14ac:dyDescent="0.25">
      <c r="A61" s="607">
        <v>37</v>
      </c>
      <c r="B61" s="599" t="s">
        <v>1085</v>
      </c>
      <c r="C61" s="601" t="s">
        <v>1086</v>
      </c>
      <c r="D61" s="603" t="s">
        <v>28</v>
      </c>
      <c r="E61" s="599">
        <v>8201471</v>
      </c>
      <c r="F61" s="599" t="s">
        <v>100</v>
      </c>
      <c r="G61" s="605" t="s">
        <v>1091</v>
      </c>
      <c r="H61" s="605" t="s">
        <v>1087</v>
      </c>
      <c r="I61" s="599">
        <v>3118977297</v>
      </c>
      <c r="J61" s="584">
        <v>43272</v>
      </c>
      <c r="K61" s="584">
        <v>43276</v>
      </c>
      <c r="L61" s="584">
        <v>43305</v>
      </c>
      <c r="M61" s="585">
        <v>20</v>
      </c>
      <c r="N61" s="585" t="s">
        <v>22</v>
      </c>
      <c r="O61" s="586" t="s">
        <v>1088</v>
      </c>
      <c r="P61" s="164" t="s">
        <v>1090</v>
      </c>
      <c r="Q61" s="164"/>
    </row>
    <row r="62" spans="1:17" ht="30.1" customHeight="1" x14ac:dyDescent="0.25">
      <c r="A62" s="608"/>
      <c r="B62" s="600"/>
      <c r="C62" s="602"/>
      <c r="D62" s="604"/>
      <c r="E62" s="600"/>
      <c r="F62" s="600"/>
      <c r="G62" s="606"/>
      <c r="H62" s="606"/>
      <c r="I62" s="600"/>
      <c r="J62" s="584">
        <v>43273</v>
      </c>
      <c r="K62" s="584">
        <v>43276</v>
      </c>
      <c r="L62" s="584">
        <v>43305</v>
      </c>
      <c r="M62" s="585">
        <v>20</v>
      </c>
      <c r="N62" s="585" t="s">
        <v>24</v>
      </c>
      <c r="O62" s="586" t="s">
        <v>1089</v>
      </c>
      <c r="P62" s="164" t="s">
        <v>1090</v>
      </c>
      <c r="Q62" s="164"/>
    </row>
    <row r="63" spans="1:17" ht="30.1" customHeight="1" x14ac:dyDescent="0.25">
      <c r="A63" s="573">
        <v>38</v>
      </c>
      <c r="B63" s="574" t="s">
        <v>85</v>
      </c>
      <c r="C63" s="574" t="s">
        <v>1092</v>
      </c>
      <c r="D63" s="574" t="s">
        <v>28</v>
      </c>
      <c r="E63" s="575">
        <v>1063</v>
      </c>
      <c r="F63" s="574"/>
      <c r="G63" s="574"/>
      <c r="H63" s="574"/>
      <c r="I63" s="576"/>
      <c r="J63" s="574"/>
      <c r="K63" s="574"/>
      <c r="L63" s="574"/>
      <c r="M63" s="574"/>
      <c r="N63" s="574"/>
      <c r="O63" s="574"/>
      <c r="P63" s="219"/>
      <c r="Q63" s="557"/>
    </row>
    <row r="64" spans="1:17" ht="30.1" customHeight="1" x14ac:dyDescent="0.25">
      <c r="A64" s="573">
        <v>39</v>
      </c>
      <c r="B64" s="574"/>
      <c r="C64" s="574"/>
      <c r="D64" s="574"/>
      <c r="E64" s="575"/>
      <c r="F64" s="574"/>
      <c r="G64" s="574"/>
      <c r="H64" s="574"/>
      <c r="I64" s="576"/>
      <c r="J64" s="574"/>
      <c r="K64" s="574"/>
      <c r="L64" s="574"/>
      <c r="M64" s="574"/>
      <c r="N64" s="574"/>
      <c r="O64" s="574"/>
      <c r="P64" s="219"/>
      <c r="Q64" s="557"/>
    </row>
    <row r="65" spans="1:17" ht="30.1" customHeight="1" x14ac:dyDescent="0.25">
      <c r="A65" s="573">
        <v>40</v>
      </c>
      <c r="B65" s="574"/>
      <c r="C65" s="574"/>
      <c r="D65" s="574"/>
      <c r="E65" s="575"/>
      <c r="F65" s="574"/>
      <c r="G65" s="574"/>
      <c r="H65" s="574"/>
      <c r="I65" s="576"/>
      <c r="J65" s="574"/>
      <c r="K65" s="574"/>
      <c r="L65" s="574"/>
      <c r="M65" s="574"/>
      <c r="N65" s="574"/>
      <c r="O65" s="574"/>
      <c r="P65" s="219"/>
      <c r="Q65" s="557"/>
    </row>
    <row r="66" spans="1:17" ht="30.1" customHeight="1" x14ac:dyDescent="0.25">
      <c r="A66" s="573">
        <v>41</v>
      </c>
      <c r="B66" s="574"/>
      <c r="C66" s="574"/>
      <c r="D66" s="574"/>
      <c r="E66" s="575"/>
      <c r="F66" s="574"/>
      <c r="G66" s="574"/>
      <c r="H66" s="574"/>
      <c r="I66" s="576"/>
      <c r="J66" s="574"/>
      <c r="K66" s="574"/>
      <c r="L66" s="574"/>
      <c r="M66" s="574"/>
      <c r="N66" s="574"/>
      <c r="O66" s="574"/>
      <c r="P66" s="219"/>
      <c r="Q66" s="557"/>
    </row>
  </sheetData>
  <autoFilter ref="B1:R66"/>
  <mergeCells count="193">
    <mergeCell ref="Q13:Q16"/>
    <mergeCell ref="P13:P16"/>
    <mergeCell ref="G37:G39"/>
    <mergeCell ref="O51:O52"/>
    <mergeCell ref="A3:A4"/>
    <mergeCell ref="A5:A6"/>
    <mergeCell ref="A7:A9"/>
    <mergeCell ref="A13:A16"/>
    <mergeCell ref="A18:A19"/>
    <mergeCell ref="A20:A22"/>
    <mergeCell ref="A23:A24"/>
    <mergeCell ref="A27:A28"/>
    <mergeCell ref="A29:A30"/>
    <mergeCell ref="A31:A32"/>
    <mergeCell ref="A33:A35"/>
    <mergeCell ref="A37:A39"/>
    <mergeCell ref="A43:A44"/>
    <mergeCell ref="A48:A50"/>
    <mergeCell ref="A51:A53"/>
    <mergeCell ref="B51:B53"/>
    <mergeCell ref="C51:C53"/>
    <mergeCell ref="D51:D53"/>
    <mergeCell ref="E51:E53"/>
    <mergeCell ref="F51:F53"/>
    <mergeCell ref="H51:H53"/>
    <mergeCell ref="I51:I53"/>
    <mergeCell ref="J51:J53"/>
    <mergeCell ref="K51:K53"/>
    <mergeCell ref="L48:L50"/>
    <mergeCell ref="B48:B50"/>
    <mergeCell ref="C48:C50"/>
    <mergeCell ref="D48:D50"/>
    <mergeCell ref="E48:E50"/>
    <mergeCell ref="F48:F50"/>
    <mergeCell ref="H48:H50"/>
    <mergeCell ref="I48:I50"/>
    <mergeCell ref="J48:J50"/>
    <mergeCell ref="K48:K50"/>
    <mergeCell ref="L51:L53"/>
    <mergeCell ref="G48:G50"/>
    <mergeCell ref="Q33:Q34"/>
    <mergeCell ref="P37:P39"/>
    <mergeCell ref="B37:B39"/>
    <mergeCell ref="C37:C39"/>
    <mergeCell ref="D37:D39"/>
    <mergeCell ref="E37:E39"/>
    <mergeCell ref="F37:F39"/>
    <mergeCell ref="H37:H39"/>
    <mergeCell ref="I37:I39"/>
    <mergeCell ref="J37:J39"/>
    <mergeCell ref="K37:K39"/>
    <mergeCell ref="L37:L39"/>
    <mergeCell ref="E33:E35"/>
    <mergeCell ref="F33:F35"/>
    <mergeCell ref="H33:H35"/>
    <mergeCell ref="I33:I35"/>
    <mergeCell ref="J33:J35"/>
    <mergeCell ref="K33:K35"/>
    <mergeCell ref="L33:L35"/>
    <mergeCell ref="B33:B35"/>
    <mergeCell ref="C33:C35"/>
    <mergeCell ref="D33:D35"/>
    <mergeCell ref="I23:I24"/>
    <mergeCell ref="J23:J24"/>
    <mergeCell ref="K23:K24"/>
    <mergeCell ref="L23:L24"/>
    <mergeCell ref="B23:B24"/>
    <mergeCell ref="C23:C24"/>
    <mergeCell ref="D23:D24"/>
    <mergeCell ref="E23:E24"/>
    <mergeCell ref="F23:F24"/>
    <mergeCell ref="L18:L19"/>
    <mergeCell ref="L20:L22"/>
    <mergeCell ref="B18:B19"/>
    <mergeCell ref="C18:C19"/>
    <mergeCell ref="D18:D19"/>
    <mergeCell ref="E18:E19"/>
    <mergeCell ref="F18:F19"/>
    <mergeCell ref="H18:H19"/>
    <mergeCell ref="I18:I19"/>
    <mergeCell ref="J18:J19"/>
    <mergeCell ref="K18:K19"/>
    <mergeCell ref="B20:B22"/>
    <mergeCell ref="C20:C22"/>
    <mergeCell ref="D20:D22"/>
    <mergeCell ref="E20:E22"/>
    <mergeCell ref="F20:F22"/>
    <mergeCell ref="H20:H22"/>
    <mergeCell ref="I20:I22"/>
    <mergeCell ref="J20:J22"/>
    <mergeCell ref="K20:K22"/>
    <mergeCell ref="L13:L16"/>
    <mergeCell ref="B7:B9"/>
    <mergeCell ref="C7:C9"/>
    <mergeCell ref="D7:D9"/>
    <mergeCell ref="E7:E9"/>
    <mergeCell ref="F7:F9"/>
    <mergeCell ref="H5:H6"/>
    <mergeCell ref="H3:H4"/>
    <mergeCell ref="F3:F4"/>
    <mergeCell ref="B13:B16"/>
    <mergeCell ref="C13:C16"/>
    <mergeCell ref="D13:D16"/>
    <mergeCell ref="E13:E16"/>
    <mergeCell ref="F13:F16"/>
    <mergeCell ref="H13:H16"/>
    <mergeCell ref="I13:I16"/>
    <mergeCell ref="J13:J16"/>
    <mergeCell ref="K13:K16"/>
    <mergeCell ref="B3:B4"/>
    <mergeCell ref="C3:C4"/>
    <mergeCell ref="D3:D4"/>
    <mergeCell ref="E3:E4"/>
    <mergeCell ref="B5:B6"/>
    <mergeCell ref="C5:C6"/>
    <mergeCell ref="D5:D6"/>
    <mergeCell ref="E5:E6"/>
    <mergeCell ref="F5:F6"/>
    <mergeCell ref="F29:F30"/>
    <mergeCell ref="E29:E30"/>
    <mergeCell ref="D29:D30"/>
    <mergeCell ref="C29:C30"/>
    <mergeCell ref="B29:B30"/>
    <mergeCell ref="H27:H28"/>
    <mergeCell ref="H23:H24"/>
    <mergeCell ref="B31:B32"/>
    <mergeCell ref="C31:C32"/>
    <mergeCell ref="D31:D32"/>
    <mergeCell ref="E31:E32"/>
    <mergeCell ref="F31:F32"/>
    <mergeCell ref="N3:N4"/>
    <mergeCell ref="M3:M4"/>
    <mergeCell ref="L3:L4"/>
    <mergeCell ref="K3:K4"/>
    <mergeCell ref="J3:J4"/>
    <mergeCell ref="H31:H32"/>
    <mergeCell ref="I31:I32"/>
    <mergeCell ref="I27:I28"/>
    <mergeCell ref="J27:J28"/>
    <mergeCell ref="L29:L30"/>
    <mergeCell ref="K29:K30"/>
    <mergeCell ref="J29:J30"/>
    <mergeCell ref="I29:I30"/>
    <mergeCell ref="H29:H30"/>
    <mergeCell ref="B27:B28"/>
    <mergeCell ref="C27:C28"/>
    <mergeCell ref="D27:D28"/>
    <mergeCell ref="E27:E28"/>
    <mergeCell ref="F27:F28"/>
    <mergeCell ref="L43:L44"/>
    <mergeCell ref="P43:P44"/>
    <mergeCell ref="B43:B44"/>
    <mergeCell ref="C43:C44"/>
    <mergeCell ref="D43:D44"/>
    <mergeCell ref="E43:E44"/>
    <mergeCell ref="F43:F44"/>
    <mergeCell ref="H43:H44"/>
    <mergeCell ref="I43:I44"/>
    <mergeCell ref="J43:J44"/>
    <mergeCell ref="K43:K44"/>
    <mergeCell ref="Q51:Q52"/>
    <mergeCell ref="Q37:Q39"/>
    <mergeCell ref="G29:G30"/>
    <mergeCell ref="G31:G32"/>
    <mergeCell ref="G43:G44"/>
    <mergeCell ref="G3:G4"/>
    <mergeCell ref="G5:G6"/>
    <mergeCell ref="G7:G9"/>
    <mergeCell ref="G13:G16"/>
    <mergeCell ref="G18:G19"/>
    <mergeCell ref="G20:G22"/>
    <mergeCell ref="G23:G24"/>
    <mergeCell ref="G27:G28"/>
    <mergeCell ref="Q29:Q30"/>
    <mergeCell ref="I5:I6"/>
    <mergeCell ref="J5:J6"/>
    <mergeCell ref="K5:K6"/>
    <mergeCell ref="L5:L6"/>
    <mergeCell ref="H7:H9"/>
    <mergeCell ref="I7:I9"/>
    <mergeCell ref="J7:J9"/>
    <mergeCell ref="K7:K9"/>
    <mergeCell ref="L7:L9"/>
    <mergeCell ref="I3:I4"/>
    <mergeCell ref="B61:B62"/>
    <mergeCell ref="C61:C62"/>
    <mergeCell ref="D61:D62"/>
    <mergeCell ref="E61:E62"/>
    <mergeCell ref="F61:F62"/>
    <mergeCell ref="G61:G62"/>
    <mergeCell ref="H61:H62"/>
    <mergeCell ref="I61:I62"/>
    <mergeCell ref="A61:A62"/>
  </mergeCells>
  <pageMargins left="0.7" right="0.7" top="0.75" bottom="0.75" header="0.3" footer="0.3"/>
  <pageSetup scale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topLeftCell="A45" workbookViewId="0">
      <selection activeCell="C66" sqref="C66"/>
    </sheetView>
  </sheetViews>
  <sheetFormatPr baseColWidth="10" defaultRowHeight="14.3" x14ac:dyDescent="0.25"/>
  <cols>
    <col min="1" max="1" width="14" customWidth="1"/>
    <col min="2" max="2" width="23.25" customWidth="1"/>
    <col min="3" max="4" width="22.125" customWidth="1"/>
    <col min="5" max="5" width="14.375" customWidth="1"/>
  </cols>
  <sheetData>
    <row r="1" spans="1:6" s="10" customFormat="1" ht="14.95" x14ac:dyDescent="0.25">
      <c r="A1" s="69" t="s">
        <v>63</v>
      </c>
      <c r="B1" s="70" t="s">
        <v>249</v>
      </c>
      <c r="C1" s="71" t="s">
        <v>62</v>
      </c>
      <c r="D1" s="71" t="s">
        <v>6</v>
      </c>
      <c r="E1" s="71" t="s">
        <v>250</v>
      </c>
      <c r="F1" s="72" t="s">
        <v>64</v>
      </c>
    </row>
    <row r="2" spans="1:6" ht="14.95" customHeight="1" x14ac:dyDescent="0.25">
      <c r="A2" s="632" t="s">
        <v>73</v>
      </c>
      <c r="B2" s="5" t="s">
        <v>411</v>
      </c>
      <c r="C2" s="5" t="s">
        <v>412</v>
      </c>
      <c r="D2" s="5"/>
      <c r="E2" s="3" t="s">
        <v>255</v>
      </c>
      <c r="F2" s="4">
        <v>12</v>
      </c>
    </row>
    <row r="3" spans="1:6" ht="14.95" customHeight="1" x14ac:dyDescent="0.25">
      <c r="A3" s="633"/>
      <c r="B3" s="67" t="s">
        <v>413</v>
      </c>
      <c r="C3" s="67" t="s">
        <v>414</v>
      </c>
      <c r="D3" s="67"/>
      <c r="E3" s="3" t="s">
        <v>415</v>
      </c>
      <c r="F3" s="4">
        <v>20</v>
      </c>
    </row>
    <row r="4" spans="1:6" x14ac:dyDescent="0.25">
      <c r="A4" s="633"/>
      <c r="B4" s="3"/>
      <c r="C4" s="3"/>
      <c r="D4" s="3"/>
      <c r="E4" s="3" t="s">
        <v>255</v>
      </c>
      <c r="F4" s="3">
        <v>12</v>
      </c>
    </row>
    <row r="5" spans="1:6" x14ac:dyDescent="0.25">
      <c r="A5" s="633"/>
      <c r="B5" s="636" t="s">
        <v>123</v>
      </c>
      <c r="C5" s="636" t="s">
        <v>416</v>
      </c>
      <c r="D5" s="126"/>
      <c r="E5" s="3" t="s">
        <v>415</v>
      </c>
      <c r="F5" s="4">
        <v>8</v>
      </c>
    </row>
    <row r="6" spans="1:6" x14ac:dyDescent="0.25">
      <c r="A6" s="633"/>
      <c r="B6" s="636"/>
      <c r="C6" s="636"/>
      <c r="D6" s="126"/>
      <c r="E6" s="3" t="s">
        <v>24</v>
      </c>
      <c r="F6" s="4">
        <v>8</v>
      </c>
    </row>
    <row r="7" spans="1:6" x14ac:dyDescent="0.25">
      <c r="A7" s="633"/>
      <c r="B7" s="636"/>
      <c r="C7" s="636"/>
      <c r="D7" s="126"/>
      <c r="E7" s="3" t="s">
        <v>255</v>
      </c>
      <c r="F7" s="3">
        <v>12</v>
      </c>
    </row>
    <row r="8" spans="1:6" x14ac:dyDescent="0.25">
      <c r="A8" s="633"/>
      <c r="B8" s="5" t="s">
        <v>417</v>
      </c>
      <c r="C8" s="5" t="s">
        <v>418</v>
      </c>
      <c r="D8" s="5"/>
      <c r="E8" s="3" t="s">
        <v>255</v>
      </c>
      <c r="F8" s="4">
        <v>12</v>
      </c>
    </row>
    <row r="9" spans="1:6" x14ac:dyDescent="0.25">
      <c r="A9" s="633"/>
      <c r="B9" s="636" t="s">
        <v>419</v>
      </c>
      <c r="C9" s="636" t="s">
        <v>420</v>
      </c>
      <c r="D9" s="126"/>
      <c r="E9" s="3" t="s">
        <v>255</v>
      </c>
      <c r="F9" s="4">
        <v>12</v>
      </c>
    </row>
    <row r="10" spans="1:6" x14ac:dyDescent="0.25">
      <c r="A10" s="633"/>
      <c r="B10" s="636"/>
      <c r="C10" s="636"/>
      <c r="D10" s="126"/>
      <c r="E10" s="3" t="s">
        <v>336</v>
      </c>
      <c r="F10" s="4">
        <v>8</v>
      </c>
    </row>
    <row r="11" spans="1:6" x14ac:dyDescent="0.25">
      <c r="A11" s="633"/>
      <c r="B11" s="5" t="s">
        <v>422</v>
      </c>
      <c r="C11" s="5" t="s">
        <v>423</v>
      </c>
      <c r="D11" s="5"/>
      <c r="E11" s="3" t="s">
        <v>255</v>
      </c>
      <c r="F11" s="4">
        <v>12</v>
      </c>
    </row>
    <row r="12" spans="1:6" x14ac:dyDescent="0.25">
      <c r="A12" s="633"/>
      <c r="B12" s="5" t="s">
        <v>424</v>
      </c>
      <c r="C12" s="5" t="s">
        <v>425</v>
      </c>
      <c r="D12" s="5"/>
      <c r="E12" s="3" t="s">
        <v>255</v>
      </c>
      <c r="F12" s="4">
        <v>12</v>
      </c>
    </row>
    <row r="13" spans="1:6" x14ac:dyDescent="0.25">
      <c r="A13" s="633"/>
      <c r="B13" s="5" t="s">
        <v>426</v>
      </c>
      <c r="C13" s="5" t="s">
        <v>427</v>
      </c>
      <c r="D13" s="5"/>
      <c r="E13" s="3" t="s">
        <v>255</v>
      </c>
      <c r="F13" s="4">
        <v>12</v>
      </c>
    </row>
    <row r="14" spans="1:6" x14ac:dyDescent="0.25">
      <c r="A14" s="633"/>
      <c r="B14" s="636" t="s">
        <v>428</v>
      </c>
      <c r="C14" s="636" t="s">
        <v>429</v>
      </c>
      <c r="D14" s="126"/>
      <c r="E14" s="3" t="s">
        <v>421</v>
      </c>
      <c r="F14" s="4">
        <v>20</v>
      </c>
    </row>
    <row r="15" spans="1:6" x14ac:dyDescent="0.25">
      <c r="A15" s="633"/>
      <c r="B15" s="636"/>
      <c r="C15" s="636"/>
      <c r="D15" s="126"/>
      <c r="E15" s="3" t="s">
        <v>255</v>
      </c>
      <c r="F15" s="4">
        <v>12</v>
      </c>
    </row>
    <row r="16" spans="1:6" x14ac:dyDescent="0.25">
      <c r="A16" s="633"/>
      <c r="B16" s="5" t="s">
        <v>430</v>
      </c>
      <c r="C16" s="5" t="s">
        <v>431</v>
      </c>
      <c r="D16" s="5"/>
      <c r="E16" s="3" t="s">
        <v>255</v>
      </c>
      <c r="F16" s="4">
        <v>12</v>
      </c>
    </row>
    <row r="17" spans="1:6" x14ac:dyDescent="0.25">
      <c r="A17" s="633"/>
      <c r="B17" s="5" t="s">
        <v>432</v>
      </c>
      <c r="C17" s="5" t="s">
        <v>433</v>
      </c>
      <c r="D17" s="5"/>
      <c r="E17" s="3" t="s">
        <v>255</v>
      </c>
      <c r="F17" s="4">
        <v>12</v>
      </c>
    </row>
    <row r="18" spans="1:6" x14ac:dyDescent="0.25">
      <c r="A18" s="633"/>
      <c r="B18" s="5" t="s">
        <v>434</v>
      </c>
      <c r="C18" s="5" t="s">
        <v>435</v>
      </c>
      <c r="D18" s="5"/>
      <c r="E18" s="3" t="s">
        <v>255</v>
      </c>
      <c r="F18" s="4">
        <v>12</v>
      </c>
    </row>
    <row r="19" spans="1:6" x14ac:dyDescent="0.25">
      <c r="A19" s="633"/>
      <c r="B19" s="5" t="s">
        <v>436</v>
      </c>
      <c r="C19" s="5" t="s">
        <v>437</v>
      </c>
      <c r="D19" s="5"/>
      <c r="E19" s="3" t="s">
        <v>255</v>
      </c>
      <c r="F19" s="4">
        <v>12</v>
      </c>
    </row>
    <row r="20" spans="1:6" x14ac:dyDescent="0.25">
      <c r="A20" s="633"/>
      <c r="B20" s="5" t="s">
        <v>438</v>
      </c>
      <c r="C20" s="5" t="s">
        <v>439</v>
      </c>
      <c r="D20" s="5"/>
      <c r="E20" s="3" t="s">
        <v>255</v>
      </c>
      <c r="F20" s="4">
        <v>12</v>
      </c>
    </row>
    <row r="21" spans="1:6" x14ac:dyDescent="0.25">
      <c r="A21" s="633"/>
      <c r="B21" s="60" t="s">
        <v>440</v>
      </c>
      <c r="C21" s="60" t="s">
        <v>441</v>
      </c>
      <c r="D21" s="60"/>
      <c r="E21" s="3" t="s">
        <v>255</v>
      </c>
      <c r="F21" s="4">
        <v>12</v>
      </c>
    </row>
    <row r="22" spans="1:6" x14ac:dyDescent="0.25">
      <c r="A22" s="633"/>
      <c r="B22" s="5" t="s">
        <v>442</v>
      </c>
      <c r="C22" s="5" t="s">
        <v>443</v>
      </c>
      <c r="D22" s="5"/>
      <c r="E22" s="3" t="s">
        <v>255</v>
      </c>
      <c r="F22" s="4">
        <v>12</v>
      </c>
    </row>
    <row r="23" spans="1:6" x14ac:dyDescent="0.25">
      <c r="A23" s="633"/>
      <c r="B23" s="5" t="s">
        <v>444</v>
      </c>
      <c r="C23" s="5" t="s">
        <v>445</v>
      </c>
      <c r="D23" s="5"/>
      <c r="E23" s="3" t="s">
        <v>255</v>
      </c>
      <c r="F23" s="4">
        <v>12</v>
      </c>
    </row>
    <row r="24" spans="1:6" x14ac:dyDescent="0.25">
      <c r="A24" s="633"/>
      <c r="B24" s="5" t="s">
        <v>446</v>
      </c>
      <c r="C24" s="5" t="s">
        <v>447</v>
      </c>
      <c r="D24" s="5"/>
      <c r="E24" s="3" t="s">
        <v>255</v>
      </c>
      <c r="F24" s="4">
        <v>12</v>
      </c>
    </row>
    <row r="25" spans="1:6" x14ac:dyDescent="0.25">
      <c r="A25" s="633"/>
      <c r="B25" s="5" t="s">
        <v>448</v>
      </c>
      <c r="C25" s="5" t="s">
        <v>449</v>
      </c>
      <c r="D25" s="5"/>
      <c r="E25" s="3" t="s">
        <v>255</v>
      </c>
      <c r="F25" s="4">
        <v>12</v>
      </c>
    </row>
    <row r="26" spans="1:6" x14ac:dyDescent="0.25">
      <c r="A26" s="633"/>
      <c r="B26" s="5" t="s">
        <v>450</v>
      </c>
      <c r="C26" s="5" t="s">
        <v>451</v>
      </c>
      <c r="D26" s="5"/>
      <c r="E26" s="3" t="s">
        <v>255</v>
      </c>
      <c r="F26" s="4">
        <v>12</v>
      </c>
    </row>
    <row r="27" spans="1:6" x14ac:dyDescent="0.25">
      <c r="A27" s="633"/>
      <c r="B27" s="67" t="s">
        <v>452</v>
      </c>
      <c r="C27" s="67" t="s">
        <v>453</v>
      </c>
      <c r="D27" s="67"/>
      <c r="E27" s="67" t="s">
        <v>312</v>
      </c>
      <c r="F27" s="66">
        <v>60</v>
      </c>
    </row>
    <row r="28" spans="1:6" x14ac:dyDescent="0.25">
      <c r="A28" s="633"/>
      <c r="B28" s="636" t="s">
        <v>454</v>
      </c>
      <c r="C28" s="636" t="s">
        <v>455</v>
      </c>
      <c r="D28" s="126"/>
      <c r="E28" s="65" t="s">
        <v>421</v>
      </c>
      <c r="F28" s="66">
        <v>20</v>
      </c>
    </row>
    <row r="29" spans="1:6" x14ac:dyDescent="0.25">
      <c r="A29" s="633"/>
      <c r="B29" s="636"/>
      <c r="C29" s="636"/>
      <c r="D29" s="126"/>
      <c r="E29" s="65" t="s">
        <v>415</v>
      </c>
      <c r="F29" s="66">
        <v>20</v>
      </c>
    </row>
    <row r="30" spans="1:6" x14ac:dyDescent="0.25">
      <c r="A30" s="633"/>
      <c r="B30" s="636"/>
      <c r="C30" s="636"/>
      <c r="D30" s="126"/>
      <c r="E30" s="65" t="s">
        <v>255</v>
      </c>
      <c r="F30" s="66">
        <v>12</v>
      </c>
    </row>
    <row r="31" spans="1:6" x14ac:dyDescent="0.25">
      <c r="A31" s="633"/>
      <c r="B31" s="636" t="s">
        <v>456</v>
      </c>
      <c r="C31" s="636" t="s">
        <v>457</v>
      </c>
      <c r="D31" s="126"/>
      <c r="E31" s="61" t="s">
        <v>415</v>
      </c>
      <c r="F31" s="4">
        <v>8</v>
      </c>
    </row>
    <row r="32" spans="1:6" x14ac:dyDescent="0.25">
      <c r="A32" s="633"/>
      <c r="B32" s="636"/>
      <c r="C32" s="636"/>
      <c r="D32" s="126"/>
      <c r="E32" s="61" t="s">
        <v>421</v>
      </c>
      <c r="F32" s="4">
        <v>20</v>
      </c>
    </row>
    <row r="33" spans="1:6" x14ac:dyDescent="0.25">
      <c r="A33" s="633"/>
      <c r="B33" s="636"/>
      <c r="C33" s="636"/>
      <c r="D33" s="126"/>
      <c r="E33" s="3" t="s">
        <v>255</v>
      </c>
      <c r="F33" s="4">
        <v>12</v>
      </c>
    </row>
    <row r="34" spans="1:6" x14ac:dyDescent="0.25">
      <c r="A34" s="633"/>
      <c r="B34" s="5" t="s">
        <v>458</v>
      </c>
      <c r="C34" s="5" t="s">
        <v>459</v>
      </c>
      <c r="D34" s="5"/>
      <c r="E34" s="3" t="s">
        <v>255</v>
      </c>
      <c r="F34" s="4">
        <v>12</v>
      </c>
    </row>
    <row r="35" spans="1:6" x14ac:dyDescent="0.25">
      <c r="A35" s="633"/>
      <c r="B35" s="636" t="s">
        <v>460</v>
      </c>
      <c r="C35" s="636" t="s">
        <v>461</v>
      </c>
      <c r="D35" s="126"/>
      <c r="E35" s="61" t="s">
        <v>415</v>
      </c>
      <c r="F35" s="4">
        <v>8</v>
      </c>
    </row>
    <row r="36" spans="1:6" x14ac:dyDescent="0.25">
      <c r="A36" s="633"/>
      <c r="B36" s="636"/>
      <c r="C36" s="636"/>
      <c r="D36" s="126"/>
      <c r="E36" s="3" t="s">
        <v>255</v>
      </c>
      <c r="F36" s="4">
        <v>12</v>
      </c>
    </row>
    <row r="37" spans="1:6" x14ac:dyDescent="0.25">
      <c r="A37" s="633"/>
      <c r="B37" s="636"/>
      <c r="C37" s="636"/>
      <c r="D37" s="126"/>
      <c r="E37" s="3" t="s">
        <v>421</v>
      </c>
      <c r="F37" s="4">
        <v>20</v>
      </c>
    </row>
    <row r="38" spans="1:6" x14ac:dyDescent="0.25">
      <c r="A38" s="633"/>
      <c r="B38" s="636" t="s">
        <v>462</v>
      </c>
      <c r="C38" s="636" t="s">
        <v>463</v>
      </c>
      <c r="D38" s="126"/>
      <c r="E38" s="638" t="s">
        <v>312</v>
      </c>
      <c r="F38" s="635">
        <v>60</v>
      </c>
    </row>
    <row r="39" spans="1:6" x14ac:dyDescent="0.25">
      <c r="A39" s="633"/>
      <c r="B39" s="636"/>
      <c r="C39" s="636"/>
      <c r="D39" s="126"/>
      <c r="E39" s="638"/>
      <c r="F39" s="635"/>
    </row>
    <row r="40" spans="1:6" x14ac:dyDescent="0.25">
      <c r="A40" s="633"/>
      <c r="B40" s="5" t="s">
        <v>464</v>
      </c>
      <c r="C40" s="5" t="s">
        <v>465</v>
      </c>
      <c r="D40" s="5"/>
      <c r="E40" s="3" t="s">
        <v>255</v>
      </c>
      <c r="F40" s="4">
        <v>12</v>
      </c>
    </row>
    <row r="41" spans="1:6" x14ac:dyDescent="0.25">
      <c r="A41" s="633"/>
      <c r="B41" s="5" t="s">
        <v>466</v>
      </c>
      <c r="C41" s="5" t="s">
        <v>467</v>
      </c>
      <c r="D41" s="5"/>
      <c r="E41" s="3" t="s">
        <v>255</v>
      </c>
      <c r="F41" s="4">
        <v>12</v>
      </c>
    </row>
    <row r="42" spans="1:6" x14ac:dyDescent="0.25">
      <c r="A42" s="633"/>
      <c r="B42" s="5" t="s">
        <v>468</v>
      </c>
      <c r="C42" s="5" t="s">
        <v>469</v>
      </c>
      <c r="D42" s="5"/>
      <c r="E42" s="3" t="s">
        <v>255</v>
      </c>
      <c r="F42" s="4">
        <v>12</v>
      </c>
    </row>
    <row r="43" spans="1:6" x14ac:dyDescent="0.25">
      <c r="A43" s="633"/>
      <c r="B43" s="636" t="s">
        <v>470</v>
      </c>
      <c r="C43" s="636" t="s">
        <v>441</v>
      </c>
      <c r="D43" s="126"/>
      <c r="E43" s="3" t="s">
        <v>415</v>
      </c>
      <c r="F43" s="4">
        <v>12</v>
      </c>
    </row>
    <row r="44" spans="1:6" x14ac:dyDescent="0.25">
      <c r="A44" s="633"/>
      <c r="B44" s="636"/>
      <c r="C44" s="636"/>
      <c r="D44" s="126"/>
      <c r="E44" s="3" t="s">
        <v>421</v>
      </c>
      <c r="F44" s="4">
        <v>20</v>
      </c>
    </row>
    <row r="45" spans="1:6" x14ac:dyDescent="0.25">
      <c r="A45" s="633"/>
      <c r="B45" s="636"/>
      <c r="C45" s="636"/>
      <c r="D45" s="126"/>
      <c r="E45" s="3" t="s">
        <v>255</v>
      </c>
      <c r="F45" s="4">
        <v>12</v>
      </c>
    </row>
    <row r="46" spans="1:6" x14ac:dyDescent="0.25">
      <c r="A46" s="633"/>
      <c r="B46" s="5" t="s">
        <v>471</v>
      </c>
      <c r="C46" s="5" t="s">
        <v>472</v>
      </c>
      <c r="D46" s="5"/>
      <c r="E46" s="3" t="s">
        <v>255</v>
      </c>
      <c r="F46" s="4">
        <v>12</v>
      </c>
    </row>
    <row r="47" spans="1:6" x14ac:dyDescent="0.25">
      <c r="A47" s="633"/>
      <c r="B47" s="636" t="s">
        <v>473</v>
      </c>
      <c r="C47" s="637" t="s">
        <v>474</v>
      </c>
      <c r="D47" s="127"/>
      <c r="E47" s="3" t="s">
        <v>255</v>
      </c>
      <c r="F47" s="4">
        <v>12</v>
      </c>
    </row>
    <row r="48" spans="1:6" x14ac:dyDescent="0.25">
      <c r="A48" s="633"/>
      <c r="B48" s="636"/>
      <c r="C48" s="637"/>
      <c r="D48" s="127"/>
      <c r="E48" s="3" t="s">
        <v>421</v>
      </c>
      <c r="F48" s="4">
        <v>12</v>
      </c>
    </row>
    <row r="49" spans="1:6" x14ac:dyDescent="0.25">
      <c r="A49" s="633"/>
      <c r="B49" s="5" t="s">
        <v>475</v>
      </c>
      <c r="C49" s="5" t="s">
        <v>476</v>
      </c>
      <c r="D49" s="5"/>
      <c r="E49" s="3" t="s">
        <v>477</v>
      </c>
      <c r="F49" s="4">
        <v>40</v>
      </c>
    </row>
    <row r="50" spans="1:6" x14ac:dyDescent="0.25">
      <c r="A50" s="633"/>
      <c r="B50" s="5" t="s">
        <v>478</v>
      </c>
      <c r="C50" s="5" t="s">
        <v>479</v>
      </c>
      <c r="D50" s="5"/>
      <c r="E50" s="3" t="s">
        <v>255</v>
      </c>
      <c r="F50" s="4">
        <v>12</v>
      </c>
    </row>
    <row r="51" spans="1:6" x14ac:dyDescent="0.25">
      <c r="A51" s="633"/>
      <c r="B51" s="5" t="s">
        <v>480</v>
      </c>
      <c r="C51" s="5" t="s">
        <v>481</v>
      </c>
      <c r="D51" s="5"/>
      <c r="E51" s="3" t="s">
        <v>255</v>
      </c>
      <c r="F51" s="4">
        <v>12</v>
      </c>
    </row>
    <row r="52" spans="1:6" x14ac:dyDescent="0.25">
      <c r="A52" s="633"/>
      <c r="B52" s="5" t="s">
        <v>482</v>
      </c>
      <c r="C52" s="5" t="s">
        <v>483</v>
      </c>
      <c r="D52" s="5"/>
      <c r="E52" s="3" t="s">
        <v>255</v>
      </c>
      <c r="F52" s="4">
        <v>12</v>
      </c>
    </row>
    <row r="53" spans="1:6" x14ac:dyDescent="0.25">
      <c r="A53" s="633"/>
      <c r="B53" s="5" t="s">
        <v>484</v>
      </c>
      <c r="C53" s="5" t="s">
        <v>485</v>
      </c>
      <c r="D53" s="5"/>
      <c r="E53" s="3" t="s">
        <v>255</v>
      </c>
      <c r="F53" s="4">
        <v>12</v>
      </c>
    </row>
    <row r="54" spans="1:6" x14ac:dyDescent="0.25">
      <c r="A54" s="633"/>
      <c r="B54" s="5" t="s">
        <v>486</v>
      </c>
      <c r="C54" s="5" t="s">
        <v>487</v>
      </c>
      <c r="D54" s="5"/>
      <c r="E54" s="3" t="s">
        <v>255</v>
      </c>
      <c r="F54" s="4">
        <v>12</v>
      </c>
    </row>
    <row r="55" spans="1:6" x14ac:dyDescent="0.25">
      <c r="A55" s="633"/>
      <c r="B55" s="636" t="s">
        <v>488</v>
      </c>
      <c r="C55" s="636" t="s">
        <v>489</v>
      </c>
      <c r="D55" s="126"/>
      <c r="E55" s="62" t="s">
        <v>255</v>
      </c>
      <c r="F55" s="73">
        <v>12</v>
      </c>
    </row>
    <row r="56" spans="1:6" x14ac:dyDescent="0.25">
      <c r="A56" s="633"/>
      <c r="B56" s="636"/>
      <c r="C56" s="636"/>
      <c r="D56" s="126"/>
      <c r="E56" s="62" t="s">
        <v>421</v>
      </c>
      <c r="F56" s="73">
        <v>12</v>
      </c>
    </row>
    <row r="57" spans="1:6" x14ac:dyDescent="0.25">
      <c r="A57" s="633"/>
      <c r="B57" s="5" t="s">
        <v>490</v>
      </c>
      <c r="C57" s="5" t="s">
        <v>491</v>
      </c>
      <c r="D57" s="5"/>
      <c r="E57" s="3" t="s">
        <v>255</v>
      </c>
      <c r="F57" s="4">
        <v>12</v>
      </c>
    </row>
    <row r="58" spans="1:6" x14ac:dyDescent="0.25">
      <c r="A58" s="633"/>
      <c r="B58" s="5" t="s">
        <v>492</v>
      </c>
      <c r="C58" s="5" t="s">
        <v>493</v>
      </c>
      <c r="D58" s="5"/>
      <c r="E58" s="3" t="s">
        <v>255</v>
      </c>
      <c r="F58" s="4">
        <v>12</v>
      </c>
    </row>
    <row r="59" spans="1:6" x14ac:dyDescent="0.25">
      <c r="A59" s="633"/>
      <c r="B59" s="5" t="s">
        <v>494</v>
      </c>
      <c r="C59" s="5" t="s">
        <v>495</v>
      </c>
      <c r="D59" s="5"/>
      <c r="E59" s="3" t="s">
        <v>255</v>
      </c>
      <c r="F59" s="197">
        <v>12</v>
      </c>
    </row>
    <row r="60" spans="1:6" x14ac:dyDescent="0.25">
      <c r="A60" s="633"/>
      <c r="B60" s="3" t="s">
        <v>496</v>
      </c>
      <c r="C60" s="3" t="s">
        <v>497</v>
      </c>
      <c r="D60" s="3"/>
      <c r="E60" s="3" t="s">
        <v>255</v>
      </c>
      <c r="F60" s="4">
        <v>12</v>
      </c>
    </row>
    <row r="61" spans="1:6" x14ac:dyDescent="0.25">
      <c r="A61" s="633"/>
      <c r="B61" s="3" t="s">
        <v>498</v>
      </c>
      <c r="C61" s="3" t="s">
        <v>499</v>
      </c>
      <c r="D61" s="3"/>
      <c r="E61" s="3" t="s">
        <v>255</v>
      </c>
      <c r="F61" s="4">
        <v>12</v>
      </c>
    </row>
    <row r="62" spans="1:6" x14ac:dyDescent="0.25">
      <c r="A62" s="633"/>
      <c r="B62" s="3" t="s">
        <v>294</v>
      </c>
      <c r="C62" s="3" t="s">
        <v>295</v>
      </c>
      <c r="D62" s="3"/>
      <c r="E62" s="3" t="s">
        <v>255</v>
      </c>
      <c r="F62" s="4">
        <v>12</v>
      </c>
    </row>
    <row r="63" spans="1:6" x14ac:dyDescent="0.25">
      <c r="A63" s="633"/>
      <c r="B63" s="3" t="s">
        <v>816</v>
      </c>
      <c r="C63" s="3" t="s">
        <v>817</v>
      </c>
      <c r="D63" s="3"/>
      <c r="E63" s="3" t="s">
        <v>255</v>
      </c>
      <c r="F63" s="4">
        <v>12</v>
      </c>
    </row>
    <row r="64" spans="1:6" x14ac:dyDescent="0.25">
      <c r="A64" s="633"/>
      <c r="B64" s="3" t="s">
        <v>913</v>
      </c>
      <c r="C64" s="3" t="s">
        <v>914</v>
      </c>
      <c r="D64" s="3"/>
      <c r="E64" s="3" t="s">
        <v>255</v>
      </c>
      <c r="F64" s="95">
        <v>12</v>
      </c>
    </row>
    <row r="65" spans="1:6" x14ac:dyDescent="0.25">
      <c r="A65" s="634"/>
      <c r="B65" s="3" t="s">
        <v>818</v>
      </c>
      <c r="C65" s="3" t="s">
        <v>819</v>
      </c>
      <c r="D65" s="3"/>
      <c r="E65" s="3" t="s">
        <v>415</v>
      </c>
      <c r="F65" s="4">
        <v>20</v>
      </c>
    </row>
  </sheetData>
  <autoFilter ref="A1:F1"/>
  <mergeCells count="23">
    <mergeCell ref="C28:C30"/>
    <mergeCell ref="B31:B33"/>
    <mergeCell ref="B14:B15"/>
    <mergeCell ref="C14:C15"/>
    <mergeCell ref="B5:B7"/>
    <mergeCell ref="C5:C7"/>
    <mergeCell ref="C31:C33"/>
    <mergeCell ref="A2:A65"/>
    <mergeCell ref="F38:F39"/>
    <mergeCell ref="B47:B48"/>
    <mergeCell ref="C47:C48"/>
    <mergeCell ref="B55:B56"/>
    <mergeCell ref="C55:C56"/>
    <mergeCell ref="C43:C45"/>
    <mergeCell ref="B43:B45"/>
    <mergeCell ref="B38:B39"/>
    <mergeCell ref="C38:C39"/>
    <mergeCell ref="E38:E39"/>
    <mergeCell ref="B35:B37"/>
    <mergeCell ref="C35:C37"/>
    <mergeCell ref="B9:B10"/>
    <mergeCell ref="C9:C10"/>
    <mergeCell ref="B28:B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opLeftCell="A75" workbookViewId="0">
      <selection activeCell="B92" sqref="B92:B94"/>
    </sheetView>
  </sheetViews>
  <sheetFormatPr baseColWidth="10" defaultColWidth="11.375" defaultRowHeight="14.3" x14ac:dyDescent="0.25"/>
  <cols>
    <col min="1" max="1" width="19.125" style="545" customWidth="1"/>
    <col min="2" max="2" width="30.875" style="546" customWidth="1"/>
    <col min="3" max="3" width="20.75" style="132" customWidth="1"/>
    <col min="4" max="5" width="12" style="132" customWidth="1"/>
    <col min="6" max="6" width="13.75" style="132" customWidth="1"/>
    <col min="7" max="7" width="14.25" style="545" customWidth="1"/>
    <col min="8" max="8" width="20" style="545" customWidth="1"/>
    <col min="9" max="9" width="12" style="76" customWidth="1"/>
    <col min="10" max="10" width="20" style="545" customWidth="1"/>
    <col min="11" max="11" width="24" style="132" customWidth="1"/>
    <col min="12" max="12" width="40.375" style="132" customWidth="1"/>
    <col min="13" max="16384" width="11.375" style="132"/>
  </cols>
  <sheetData>
    <row r="1" spans="1:12" ht="26.35" customHeight="1" thickBot="1" x14ac:dyDescent="0.3">
      <c r="A1" s="220" t="s">
        <v>63</v>
      </c>
      <c r="B1" s="221" t="s">
        <v>249</v>
      </c>
      <c r="C1" s="222" t="s">
        <v>62</v>
      </c>
      <c r="D1" s="223" t="s">
        <v>9</v>
      </c>
      <c r="E1" s="223" t="s">
        <v>10</v>
      </c>
      <c r="F1" s="224" t="s">
        <v>250</v>
      </c>
      <c r="G1" s="224" t="s">
        <v>64</v>
      </c>
      <c r="H1" s="225" t="s">
        <v>252</v>
      </c>
      <c r="I1" s="226" t="s">
        <v>6</v>
      </c>
      <c r="J1" s="227" t="s">
        <v>1060</v>
      </c>
      <c r="K1" s="228" t="s">
        <v>251</v>
      </c>
      <c r="L1" s="229"/>
    </row>
    <row r="2" spans="1:12" s="237" customFormat="1" x14ac:dyDescent="0.25">
      <c r="A2" s="686" t="s">
        <v>54</v>
      </c>
      <c r="B2" s="230" t="s">
        <v>253</v>
      </c>
      <c r="C2" s="231" t="s">
        <v>254</v>
      </c>
      <c r="D2" s="231"/>
      <c r="E2" s="231"/>
      <c r="F2" s="231" t="s">
        <v>255</v>
      </c>
      <c r="G2" s="232">
        <v>12</v>
      </c>
      <c r="H2" s="232" t="s">
        <v>22</v>
      </c>
      <c r="I2" s="233"/>
      <c r="J2" s="234"/>
      <c r="K2" s="235" t="s">
        <v>45</v>
      </c>
      <c r="L2" s="236"/>
    </row>
    <row r="3" spans="1:12" s="237" customFormat="1" x14ac:dyDescent="0.25">
      <c r="A3" s="687"/>
      <c r="B3" s="238" t="s">
        <v>256</v>
      </c>
      <c r="C3" s="239" t="s">
        <v>257</v>
      </c>
      <c r="D3" s="239"/>
      <c r="E3" s="239"/>
      <c r="F3" s="239" t="s">
        <v>255</v>
      </c>
      <c r="G3" s="240">
        <v>12</v>
      </c>
      <c r="H3" s="240" t="s">
        <v>22</v>
      </c>
      <c r="I3" s="241"/>
      <c r="J3" s="242"/>
      <c r="K3" s="243" t="s">
        <v>56</v>
      </c>
      <c r="L3" s="244"/>
    </row>
    <row r="4" spans="1:12" s="237" customFormat="1" ht="28.55" x14ac:dyDescent="0.25">
      <c r="A4" s="687"/>
      <c r="B4" s="568" t="s">
        <v>258</v>
      </c>
      <c r="C4" s="569" t="s">
        <v>259</v>
      </c>
      <c r="D4" s="569"/>
      <c r="E4" s="569"/>
      <c r="F4" s="569" t="s">
        <v>255</v>
      </c>
      <c r="G4" s="570">
        <v>12</v>
      </c>
      <c r="H4" s="570" t="s">
        <v>22</v>
      </c>
      <c r="I4" s="571"/>
      <c r="J4" s="572" t="s">
        <v>1093</v>
      </c>
      <c r="K4" s="243" t="s">
        <v>45</v>
      </c>
      <c r="L4" s="244"/>
    </row>
    <row r="5" spans="1:12" s="237" customFormat="1" x14ac:dyDescent="0.25">
      <c r="A5" s="687"/>
      <c r="B5" s="238" t="s">
        <v>260</v>
      </c>
      <c r="C5" s="239" t="s">
        <v>261</v>
      </c>
      <c r="D5" s="239"/>
      <c r="E5" s="239"/>
      <c r="F5" s="239" t="s">
        <v>255</v>
      </c>
      <c r="G5" s="245">
        <v>12</v>
      </c>
      <c r="H5" s="240" t="s">
        <v>22</v>
      </c>
      <c r="I5" s="241"/>
      <c r="J5" s="246"/>
      <c r="K5" s="247" t="s">
        <v>56</v>
      </c>
      <c r="L5" s="244"/>
    </row>
    <row r="6" spans="1:12" s="237" customFormat="1" x14ac:dyDescent="0.25">
      <c r="A6" s="687"/>
      <c r="B6" s="238" t="s">
        <v>265</v>
      </c>
      <c r="C6" s="239" t="s">
        <v>266</v>
      </c>
      <c r="D6" s="239"/>
      <c r="E6" s="239"/>
      <c r="F6" s="239" t="s">
        <v>255</v>
      </c>
      <c r="G6" s="240">
        <v>12</v>
      </c>
      <c r="H6" s="240" t="s">
        <v>22</v>
      </c>
      <c r="I6" s="241"/>
      <c r="J6" s="242"/>
      <c r="K6" s="243" t="s">
        <v>56</v>
      </c>
      <c r="L6" s="244"/>
    </row>
    <row r="7" spans="1:12" s="237" customFormat="1" x14ac:dyDescent="0.25">
      <c r="A7" s="687"/>
      <c r="B7" s="238" t="s">
        <v>267</v>
      </c>
      <c r="C7" s="239" t="s">
        <v>268</v>
      </c>
      <c r="D7" s="239"/>
      <c r="E7" s="239"/>
      <c r="F7" s="239" t="s">
        <v>255</v>
      </c>
      <c r="G7" s="240">
        <v>12</v>
      </c>
      <c r="H7" s="240" t="s">
        <v>22</v>
      </c>
      <c r="I7" s="241"/>
      <c r="J7" s="242"/>
      <c r="K7" s="243" t="s">
        <v>45</v>
      </c>
      <c r="L7" s="244"/>
    </row>
    <row r="8" spans="1:12" s="237" customFormat="1" x14ac:dyDescent="0.25">
      <c r="A8" s="687"/>
      <c r="B8" s="248" t="s">
        <v>269</v>
      </c>
      <c r="C8" s="239" t="s">
        <v>270</v>
      </c>
      <c r="D8" s="239"/>
      <c r="E8" s="239"/>
      <c r="F8" s="239" t="s">
        <v>255</v>
      </c>
      <c r="G8" s="240">
        <v>12</v>
      </c>
      <c r="H8" s="240" t="s">
        <v>22</v>
      </c>
      <c r="I8" s="241"/>
      <c r="J8" s="242"/>
      <c r="K8" s="243" t="s">
        <v>56</v>
      </c>
      <c r="L8" s="244"/>
    </row>
    <row r="9" spans="1:12" s="237" customFormat="1" x14ac:dyDescent="0.25">
      <c r="A9" s="687"/>
      <c r="B9" s="644" t="s">
        <v>271</v>
      </c>
      <c r="C9" s="647" t="s">
        <v>272</v>
      </c>
      <c r="D9" s="249"/>
      <c r="E9" s="249"/>
      <c r="F9" s="239" t="s">
        <v>255</v>
      </c>
      <c r="G9" s="240">
        <v>12</v>
      </c>
      <c r="H9" s="240" t="s">
        <v>22</v>
      </c>
      <c r="I9" s="250"/>
      <c r="J9" s="242"/>
      <c r="K9" s="243" t="s">
        <v>56</v>
      </c>
      <c r="L9" s="244"/>
    </row>
    <row r="10" spans="1:12" s="237" customFormat="1" x14ac:dyDescent="0.25">
      <c r="A10" s="687"/>
      <c r="B10" s="645"/>
      <c r="C10" s="648"/>
      <c r="D10" s="251"/>
      <c r="E10" s="251"/>
      <c r="F10" s="239" t="s">
        <v>415</v>
      </c>
      <c r="G10" s="240">
        <v>8</v>
      </c>
      <c r="H10" s="240" t="s">
        <v>22</v>
      </c>
      <c r="I10" s="252"/>
      <c r="J10" s="242"/>
      <c r="K10" s="243" t="s">
        <v>56</v>
      </c>
      <c r="L10" s="244"/>
    </row>
    <row r="11" spans="1:12" s="237" customFormat="1" x14ac:dyDescent="0.25">
      <c r="A11" s="687"/>
      <c r="B11" s="646"/>
      <c r="C11" s="649"/>
      <c r="D11" s="253"/>
      <c r="E11" s="253"/>
      <c r="F11" s="239" t="s">
        <v>24</v>
      </c>
      <c r="G11" s="240">
        <v>20</v>
      </c>
      <c r="H11" s="240" t="s">
        <v>24</v>
      </c>
      <c r="I11" s="254"/>
      <c r="J11" s="240"/>
      <c r="K11" s="239" t="s">
        <v>273</v>
      </c>
      <c r="L11" s="244"/>
    </row>
    <row r="12" spans="1:12" s="237" customFormat="1" x14ac:dyDescent="0.25">
      <c r="A12" s="687"/>
      <c r="B12" s="667" t="s">
        <v>274</v>
      </c>
      <c r="C12" s="667" t="s">
        <v>275</v>
      </c>
      <c r="D12" s="248"/>
      <c r="E12" s="248"/>
      <c r="F12" s="239" t="s">
        <v>255</v>
      </c>
      <c r="G12" s="240">
        <v>12</v>
      </c>
      <c r="H12" s="240" t="s">
        <v>22</v>
      </c>
      <c r="I12" s="241"/>
      <c r="J12" s="242"/>
      <c r="K12" s="243" t="s">
        <v>45</v>
      </c>
      <c r="L12" s="244"/>
    </row>
    <row r="13" spans="1:12" s="237" customFormat="1" x14ac:dyDescent="0.25">
      <c r="A13" s="687"/>
      <c r="B13" s="667"/>
      <c r="C13" s="667"/>
      <c r="D13" s="255"/>
      <c r="E13" s="255"/>
      <c r="F13" s="256" t="s">
        <v>24</v>
      </c>
      <c r="G13" s="240">
        <v>20</v>
      </c>
      <c r="H13" s="257" t="s">
        <v>24</v>
      </c>
      <c r="I13" s="258"/>
      <c r="J13" s="245"/>
      <c r="K13" s="259" t="s">
        <v>56</v>
      </c>
      <c r="L13" s="244"/>
    </row>
    <row r="14" spans="1:12" s="237" customFormat="1" x14ac:dyDescent="0.25">
      <c r="A14" s="687"/>
      <c r="B14" s="248" t="s">
        <v>276</v>
      </c>
      <c r="C14" s="239" t="s">
        <v>277</v>
      </c>
      <c r="D14" s="239"/>
      <c r="E14" s="239"/>
      <c r="F14" s="239" t="s">
        <v>255</v>
      </c>
      <c r="G14" s="240">
        <v>12</v>
      </c>
      <c r="H14" s="240" t="s">
        <v>22</v>
      </c>
      <c r="I14" s="241"/>
      <c r="J14" s="242"/>
      <c r="K14" s="243" t="s">
        <v>56</v>
      </c>
      <c r="L14" s="244"/>
    </row>
    <row r="15" spans="1:12" s="237" customFormat="1" x14ac:dyDescent="0.25">
      <c r="A15" s="687"/>
      <c r="B15" s="260" t="s">
        <v>500</v>
      </c>
      <c r="C15" s="261" t="s">
        <v>501</v>
      </c>
      <c r="D15" s="261"/>
      <c r="E15" s="261"/>
      <c r="F15" s="261" t="s">
        <v>255</v>
      </c>
      <c r="G15" s="262">
        <v>12</v>
      </c>
      <c r="H15" s="262" t="s">
        <v>22</v>
      </c>
      <c r="I15" s="263"/>
      <c r="J15" s="264"/>
      <c r="K15" s="265" t="s">
        <v>56</v>
      </c>
      <c r="L15" s="244"/>
    </row>
    <row r="16" spans="1:12" s="237" customFormat="1" x14ac:dyDescent="0.25">
      <c r="A16" s="687"/>
      <c r="B16" s="260" t="s">
        <v>502</v>
      </c>
      <c r="C16" s="261" t="s">
        <v>503</v>
      </c>
      <c r="D16" s="261"/>
      <c r="E16" s="261"/>
      <c r="F16" s="261" t="s">
        <v>255</v>
      </c>
      <c r="G16" s="262">
        <v>12</v>
      </c>
      <c r="H16" s="262" t="s">
        <v>22</v>
      </c>
      <c r="I16" s="263"/>
      <c r="J16" s="264"/>
      <c r="K16" s="265" t="s">
        <v>56</v>
      </c>
      <c r="L16" s="244"/>
    </row>
    <row r="17" spans="1:13" s="237" customFormat="1" ht="99.85" x14ac:dyDescent="0.25">
      <c r="A17" s="687"/>
      <c r="B17" s="260" t="s">
        <v>929</v>
      </c>
      <c r="C17" s="261" t="s">
        <v>930</v>
      </c>
      <c r="D17" s="261"/>
      <c r="E17" s="261"/>
      <c r="F17" s="261" t="s">
        <v>510</v>
      </c>
      <c r="G17" s="262">
        <v>20</v>
      </c>
      <c r="H17" s="262" t="s">
        <v>22</v>
      </c>
      <c r="I17" s="263"/>
      <c r="J17" s="264"/>
      <c r="K17" s="265" t="s">
        <v>45</v>
      </c>
      <c r="L17" s="266" t="s">
        <v>1021</v>
      </c>
      <c r="M17" s="237" t="s">
        <v>1022</v>
      </c>
    </row>
    <row r="18" spans="1:13" s="237" customFormat="1" x14ac:dyDescent="0.25">
      <c r="A18" s="687"/>
      <c r="B18" s="260" t="s">
        <v>504</v>
      </c>
      <c r="C18" s="261" t="s">
        <v>505</v>
      </c>
      <c r="D18" s="261"/>
      <c r="E18" s="261"/>
      <c r="F18" s="261" t="s">
        <v>255</v>
      </c>
      <c r="G18" s="262">
        <v>12</v>
      </c>
      <c r="H18" s="262" t="s">
        <v>22</v>
      </c>
      <c r="I18" s="263"/>
      <c r="J18" s="264"/>
      <c r="K18" s="265" t="s">
        <v>56</v>
      </c>
      <c r="L18" s="244"/>
    </row>
    <row r="19" spans="1:13" s="237" customFormat="1" ht="28.55" x14ac:dyDescent="0.25">
      <c r="A19" s="687"/>
      <c r="B19" s="260" t="s">
        <v>508</v>
      </c>
      <c r="C19" s="261" t="s">
        <v>279</v>
      </c>
      <c r="D19" s="261"/>
      <c r="E19" s="261"/>
      <c r="F19" s="261" t="s">
        <v>255</v>
      </c>
      <c r="G19" s="262">
        <v>12</v>
      </c>
      <c r="H19" s="262" t="s">
        <v>22</v>
      </c>
      <c r="I19" s="263"/>
      <c r="J19" s="264"/>
      <c r="K19" s="265" t="s">
        <v>56</v>
      </c>
      <c r="L19" s="244"/>
    </row>
    <row r="20" spans="1:13" s="237" customFormat="1" x14ac:dyDescent="0.25">
      <c r="A20" s="687"/>
      <c r="B20" s="248" t="s">
        <v>506</v>
      </c>
      <c r="C20" s="239" t="s">
        <v>507</v>
      </c>
      <c r="D20" s="261"/>
      <c r="E20" s="261"/>
      <c r="F20" s="261" t="s">
        <v>255</v>
      </c>
      <c r="G20" s="262">
        <v>12</v>
      </c>
      <c r="H20" s="262" t="s">
        <v>22</v>
      </c>
      <c r="I20" s="263"/>
      <c r="J20" s="262"/>
      <c r="K20" s="261" t="s">
        <v>45</v>
      </c>
      <c r="L20" s="267"/>
    </row>
    <row r="21" spans="1:13" s="237" customFormat="1" ht="14.95" thickBot="1" x14ac:dyDescent="0.3">
      <c r="A21" s="687"/>
      <c r="B21" s="255" t="s">
        <v>805</v>
      </c>
      <c r="C21" s="256" t="s">
        <v>806</v>
      </c>
      <c r="D21" s="256"/>
      <c r="E21" s="256"/>
      <c r="F21" s="268" t="s">
        <v>255</v>
      </c>
      <c r="G21" s="269">
        <v>12</v>
      </c>
      <c r="H21" s="269" t="s">
        <v>22</v>
      </c>
      <c r="I21" s="258"/>
      <c r="J21" s="269"/>
      <c r="K21" s="268" t="s">
        <v>45</v>
      </c>
      <c r="L21" s="267"/>
    </row>
    <row r="22" spans="1:13" s="237" customFormat="1" x14ac:dyDescent="0.25">
      <c r="A22" s="650" t="s">
        <v>280</v>
      </c>
      <c r="B22" s="270" t="s">
        <v>281</v>
      </c>
      <c r="C22" s="271" t="s">
        <v>282</v>
      </c>
      <c r="D22" s="272"/>
      <c r="E22" s="272"/>
      <c r="F22" s="272" t="s">
        <v>255</v>
      </c>
      <c r="G22" s="273">
        <v>12</v>
      </c>
      <c r="H22" s="273" t="s">
        <v>22</v>
      </c>
      <c r="I22" s="274"/>
      <c r="J22" s="275"/>
      <c r="K22" s="276" t="s">
        <v>283</v>
      </c>
      <c r="L22" s="277" t="s">
        <v>943</v>
      </c>
    </row>
    <row r="23" spans="1:13" s="237" customFormat="1" x14ac:dyDescent="0.25">
      <c r="A23" s="651"/>
      <c r="B23" s="653" t="s">
        <v>284</v>
      </c>
      <c r="C23" s="653" t="s">
        <v>285</v>
      </c>
      <c r="D23" s="278"/>
      <c r="E23" s="278"/>
      <c r="F23" s="279" t="s">
        <v>255</v>
      </c>
      <c r="G23" s="280">
        <v>12</v>
      </c>
      <c r="H23" s="280" t="s">
        <v>22</v>
      </c>
      <c r="I23" s="281"/>
      <c r="J23" s="282"/>
      <c r="K23" s="283" t="s">
        <v>283</v>
      </c>
      <c r="L23" s="284"/>
    </row>
    <row r="24" spans="1:13" s="237" customFormat="1" x14ac:dyDescent="0.25">
      <c r="A24" s="651"/>
      <c r="B24" s="653"/>
      <c r="C24" s="653"/>
      <c r="D24" s="285"/>
      <c r="E24" s="285"/>
      <c r="F24" s="286" t="s">
        <v>24</v>
      </c>
      <c r="G24" s="287">
        <v>20</v>
      </c>
      <c r="H24" s="287" t="s">
        <v>24</v>
      </c>
      <c r="I24" s="288"/>
      <c r="J24" s="289"/>
      <c r="K24" s="290" t="s">
        <v>298</v>
      </c>
      <c r="L24" s="291"/>
    </row>
    <row r="25" spans="1:13" s="237" customFormat="1" x14ac:dyDescent="0.25">
      <c r="A25" s="651"/>
      <c r="B25" s="278" t="s">
        <v>286</v>
      </c>
      <c r="C25" s="279" t="s">
        <v>287</v>
      </c>
      <c r="D25" s="279"/>
      <c r="E25" s="279"/>
      <c r="F25" s="279" t="s">
        <v>255</v>
      </c>
      <c r="G25" s="280">
        <v>12</v>
      </c>
      <c r="H25" s="280" t="s">
        <v>22</v>
      </c>
      <c r="I25" s="281"/>
      <c r="J25" s="282"/>
      <c r="K25" s="283" t="s">
        <v>288</v>
      </c>
      <c r="L25" s="284"/>
    </row>
    <row r="26" spans="1:13" s="237" customFormat="1" x14ac:dyDescent="0.25">
      <c r="A26" s="651"/>
      <c r="B26" s="653" t="s">
        <v>289</v>
      </c>
      <c r="C26" s="653" t="s">
        <v>290</v>
      </c>
      <c r="D26" s="278"/>
      <c r="E26" s="278"/>
      <c r="F26" s="279" t="s">
        <v>255</v>
      </c>
      <c r="G26" s="280">
        <v>12</v>
      </c>
      <c r="H26" s="280" t="s">
        <v>22</v>
      </c>
      <c r="I26" s="281"/>
      <c r="J26" s="282"/>
      <c r="K26" s="283" t="s">
        <v>288</v>
      </c>
      <c r="L26" s="284"/>
    </row>
    <row r="27" spans="1:13" s="237" customFormat="1" x14ac:dyDescent="0.25">
      <c r="A27" s="651"/>
      <c r="B27" s="653"/>
      <c r="C27" s="653"/>
      <c r="D27" s="285"/>
      <c r="E27" s="285"/>
      <c r="F27" s="286" t="s">
        <v>24</v>
      </c>
      <c r="G27" s="287">
        <v>20</v>
      </c>
      <c r="H27" s="287" t="s">
        <v>24</v>
      </c>
      <c r="I27" s="288"/>
      <c r="J27" s="289"/>
      <c r="K27" s="290" t="s">
        <v>298</v>
      </c>
      <c r="L27" s="284"/>
    </row>
    <row r="28" spans="1:13" s="237" customFormat="1" x14ac:dyDescent="0.25">
      <c r="A28" s="651"/>
      <c r="B28" s="655" t="s">
        <v>291</v>
      </c>
      <c r="C28" s="655" t="s">
        <v>292</v>
      </c>
      <c r="D28" s="292"/>
      <c r="E28" s="292"/>
      <c r="F28" s="279" t="s">
        <v>255</v>
      </c>
      <c r="G28" s="280">
        <v>12</v>
      </c>
      <c r="H28" s="280" t="s">
        <v>22</v>
      </c>
      <c r="I28" s="293"/>
      <c r="J28" s="282"/>
      <c r="K28" s="283" t="s">
        <v>288</v>
      </c>
      <c r="L28" s="284"/>
    </row>
    <row r="29" spans="1:13" s="237" customFormat="1" x14ac:dyDescent="0.25">
      <c r="A29" s="651"/>
      <c r="B29" s="656"/>
      <c r="C29" s="656"/>
      <c r="D29" s="285"/>
      <c r="E29" s="285"/>
      <c r="F29" s="286" t="s">
        <v>24</v>
      </c>
      <c r="G29" s="287">
        <v>12</v>
      </c>
      <c r="H29" s="287" t="s">
        <v>24</v>
      </c>
      <c r="I29" s="288"/>
      <c r="J29" s="289"/>
      <c r="K29" s="290" t="s">
        <v>298</v>
      </c>
      <c r="L29" s="284"/>
    </row>
    <row r="30" spans="1:13" s="237" customFormat="1" x14ac:dyDescent="0.25">
      <c r="A30" s="651"/>
      <c r="B30" s="278" t="s">
        <v>47</v>
      </c>
      <c r="C30" s="279" t="s">
        <v>293</v>
      </c>
      <c r="D30" s="279"/>
      <c r="E30" s="279"/>
      <c r="F30" s="279" t="s">
        <v>255</v>
      </c>
      <c r="G30" s="280">
        <v>12</v>
      </c>
      <c r="H30" s="280" t="s">
        <v>22</v>
      </c>
      <c r="I30" s="281"/>
      <c r="J30" s="282"/>
      <c r="K30" s="283" t="s">
        <v>283</v>
      </c>
      <c r="L30" s="284"/>
    </row>
    <row r="31" spans="1:13" s="237" customFormat="1" x14ac:dyDescent="0.25">
      <c r="A31" s="651"/>
      <c r="B31" s="653" t="s">
        <v>296</v>
      </c>
      <c r="C31" s="653" t="s">
        <v>297</v>
      </c>
      <c r="D31" s="278"/>
      <c r="E31" s="278"/>
      <c r="F31" s="279" t="s">
        <v>24</v>
      </c>
      <c r="G31" s="280">
        <v>20</v>
      </c>
      <c r="H31" s="280" t="s">
        <v>24</v>
      </c>
      <c r="I31" s="281"/>
      <c r="J31" s="282"/>
      <c r="K31" s="294" t="s">
        <v>298</v>
      </c>
      <c r="L31" s="284"/>
    </row>
    <row r="32" spans="1:13" s="237" customFormat="1" x14ac:dyDescent="0.25">
      <c r="A32" s="651"/>
      <c r="B32" s="653"/>
      <c r="C32" s="653"/>
      <c r="D32" s="278"/>
      <c r="E32" s="278"/>
      <c r="F32" s="279" t="s">
        <v>255</v>
      </c>
      <c r="G32" s="280">
        <v>12</v>
      </c>
      <c r="H32" s="280" t="s">
        <v>22</v>
      </c>
      <c r="I32" s="281"/>
      <c r="J32" s="282"/>
      <c r="K32" s="294" t="s">
        <v>283</v>
      </c>
      <c r="L32" s="284"/>
    </row>
    <row r="33" spans="1:12" s="237" customFormat="1" x14ac:dyDescent="0.25">
      <c r="A33" s="651"/>
      <c r="B33" s="653" t="s">
        <v>299</v>
      </c>
      <c r="C33" s="653" t="s">
        <v>300</v>
      </c>
      <c r="D33" s="278"/>
      <c r="E33" s="278"/>
      <c r="F33" s="279" t="s">
        <v>415</v>
      </c>
      <c r="G33" s="280">
        <v>12</v>
      </c>
      <c r="H33" s="280" t="s">
        <v>22</v>
      </c>
      <c r="I33" s="281"/>
      <c r="J33" s="282"/>
      <c r="K33" s="294" t="s">
        <v>283</v>
      </c>
      <c r="L33" s="284"/>
    </row>
    <row r="34" spans="1:12" s="295" customFormat="1" x14ac:dyDescent="0.25">
      <c r="A34" s="651"/>
      <c r="B34" s="653"/>
      <c r="C34" s="653"/>
      <c r="D34" s="278"/>
      <c r="E34" s="278"/>
      <c r="F34" s="279" t="s">
        <v>255</v>
      </c>
      <c r="G34" s="280">
        <v>12</v>
      </c>
      <c r="H34" s="280" t="s">
        <v>22</v>
      </c>
      <c r="I34" s="281"/>
      <c r="J34" s="282"/>
      <c r="K34" s="294" t="s">
        <v>509</v>
      </c>
      <c r="L34" s="284"/>
    </row>
    <row r="35" spans="1:12" s="295" customFormat="1" x14ac:dyDescent="0.25">
      <c r="A35" s="651"/>
      <c r="B35" s="653" t="s">
        <v>301</v>
      </c>
      <c r="C35" s="654" t="s">
        <v>302</v>
      </c>
      <c r="D35" s="296"/>
      <c r="E35" s="296"/>
      <c r="F35" s="279" t="s">
        <v>255</v>
      </c>
      <c r="G35" s="280">
        <v>12</v>
      </c>
      <c r="H35" s="280" t="s">
        <v>22</v>
      </c>
      <c r="I35" s="281"/>
      <c r="J35" s="282"/>
      <c r="K35" s="294" t="s">
        <v>283</v>
      </c>
      <c r="L35" s="284"/>
    </row>
    <row r="36" spans="1:12" s="295" customFormat="1" ht="28.55" x14ac:dyDescent="0.25">
      <c r="A36" s="651"/>
      <c r="B36" s="653"/>
      <c r="C36" s="654"/>
      <c r="D36" s="297"/>
      <c r="E36" s="297"/>
      <c r="F36" s="286" t="s">
        <v>303</v>
      </c>
      <c r="G36" s="280">
        <v>20</v>
      </c>
      <c r="H36" s="280" t="s">
        <v>24</v>
      </c>
      <c r="I36" s="288"/>
      <c r="J36" s="282"/>
      <c r="K36" s="294" t="s">
        <v>298</v>
      </c>
      <c r="L36" s="284"/>
    </row>
    <row r="37" spans="1:12" s="295" customFormat="1" x14ac:dyDescent="0.25">
      <c r="A37" s="651"/>
      <c r="B37" s="278" t="s">
        <v>304</v>
      </c>
      <c r="C37" s="279" t="s">
        <v>305</v>
      </c>
      <c r="D37" s="298"/>
      <c r="E37" s="298"/>
      <c r="F37" s="298" t="s">
        <v>255</v>
      </c>
      <c r="G37" s="299">
        <v>12</v>
      </c>
      <c r="H37" s="280" t="s">
        <v>22</v>
      </c>
      <c r="I37" s="293"/>
      <c r="J37" s="300"/>
      <c r="K37" s="301" t="s">
        <v>283</v>
      </c>
      <c r="L37" s="284"/>
    </row>
    <row r="38" spans="1:12" s="295" customFormat="1" x14ac:dyDescent="0.25">
      <c r="A38" s="651"/>
      <c r="B38" s="278" t="s">
        <v>306</v>
      </c>
      <c r="C38" s="279" t="s">
        <v>307</v>
      </c>
      <c r="D38" s="279"/>
      <c r="E38" s="279"/>
      <c r="F38" s="279" t="s">
        <v>255</v>
      </c>
      <c r="G38" s="280">
        <v>12</v>
      </c>
      <c r="H38" s="280" t="s">
        <v>24</v>
      </c>
      <c r="I38" s="281"/>
      <c r="J38" s="282"/>
      <c r="K38" s="294" t="s">
        <v>298</v>
      </c>
      <c r="L38" s="284"/>
    </row>
    <row r="39" spans="1:12" s="295" customFormat="1" x14ac:dyDescent="0.25">
      <c r="A39" s="651"/>
      <c r="B39" s="653" t="s">
        <v>308</v>
      </c>
      <c r="C39" s="653" t="s">
        <v>309</v>
      </c>
      <c r="D39" s="292"/>
      <c r="E39" s="292"/>
      <c r="F39" s="657" t="s">
        <v>510</v>
      </c>
      <c r="G39" s="281">
        <v>12</v>
      </c>
      <c r="H39" s="280" t="s">
        <v>22</v>
      </c>
      <c r="I39" s="293"/>
      <c r="J39" s="282"/>
      <c r="K39" s="294" t="s">
        <v>283</v>
      </c>
      <c r="L39" s="284"/>
    </row>
    <row r="40" spans="1:12" s="295" customFormat="1" x14ac:dyDescent="0.25">
      <c r="A40" s="651"/>
      <c r="B40" s="653"/>
      <c r="C40" s="653"/>
      <c r="D40" s="285"/>
      <c r="E40" s="285"/>
      <c r="F40" s="658"/>
      <c r="G40" s="281">
        <v>20</v>
      </c>
      <c r="H40" s="280" t="s">
        <v>24</v>
      </c>
      <c r="I40" s="288"/>
      <c r="J40" s="282"/>
      <c r="K40" s="294" t="s">
        <v>298</v>
      </c>
      <c r="L40" s="284"/>
    </row>
    <row r="41" spans="1:12" s="295" customFormat="1" x14ac:dyDescent="0.25">
      <c r="A41" s="651"/>
      <c r="B41" s="653"/>
      <c r="C41" s="653"/>
      <c r="D41" s="302"/>
      <c r="E41" s="302"/>
      <c r="F41" s="302" t="s">
        <v>255</v>
      </c>
      <c r="G41" s="280">
        <v>12</v>
      </c>
      <c r="H41" s="279" t="s">
        <v>50</v>
      </c>
      <c r="I41" s="303"/>
      <c r="J41" s="279"/>
      <c r="K41" s="279" t="s">
        <v>317</v>
      </c>
      <c r="L41" s="284"/>
    </row>
    <row r="42" spans="1:12" s="295" customFormat="1" ht="42.8" x14ac:dyDescent="0.25">
      <c r="A42" s="651"/>
      <c r="B42" s="278" t="s">
        <v>310</v>
      </c>
      <c r="C42" s="279" t="s">
        <v>311</v>
      </c>
      <c r="D42" s="279"/>
      <c r="E42" s="279"/>
      <c r="F42" s="279" t="s">
        <v>312</v>
      </c>
      <c r="G42" s="280">
        <v>60</v>
      </c>
      <c r="H42" s="280" t="s">
        <v>314</v>
      </c>
      <c r="I42" s="281"/>
      <c r="J42" s="282"/>
      <c r="K42" s="294" t="s">
        <v>313</v>
      </c>
      <c r="L42" s="284"/>
    </row>
    <row r="43" spans="1:12" s="295" customFormat="1" x14ac:dyDescent="0.25">
      <c r="A43" s="651"/>
      <c r="B43" s="304" t="s">
        <v>315</v>
      </c>
      <c r="C43" s="305" t="s">
        <v>316</v>
      </c>
      <c r="D43" s="305"/>
      <c r="E43" s="305"/>
      <c r="F43" s="305" t="s">
        <v>255</v>
      </c>
      <c r="G43" s="306">
        <v>12</v>
      </c>
      <c r="H43" s="307" t="s">
        <v>50</v>
      </c>
      <c r="I43" s="308"/>
      <c r="J43" s="309"/>
      <c r="K43" s="310" t="s">
        <v>317</v>
      </c>
      <c r="L43" s="311" t="s">
        <v>781</v>
      </c>
    </row>
    <row r="44" spans="1:12" s="295" customFormat="1" x14ac:dyDescent="0.25">
      <c r="A44" s="651"/>
      <c r="B44" s="278" t="s">
        <v>511</v>
      </c>
      <c r="C44" s="279" t="s">
        <v>512</v>
      </c>
      <c r="D44" s="279"/>
      <c r="E44" s="279"/>
      <c r="F44" s="279" t="s">
        <v>255</v>
      </c>
      <c r="G44" s="312">
        <v>12</v>
      </c>
      <c r="H44" s="280" t="s">
        <v>24</v>
      </c>
      <c r="I44" s="281"/>
      <c r="J44" s="282"/>
      <c r="K44" s="294" t="s">
        <v>298</v>
      </c>
      <c r="L44" s="284"/>
    </row>
    <row r="45" spans="1:12" s="295" customFormat="1" x14ac:dyDescent="0.25">
      <c r="A45" s="651"/>
      <c r="B45" s="278" t="s">
        <v>318</v>
      </c>
      <c r="C45" s="279" t="s">
        <v>319</v>
      </c>
      <c r="D45" s="279"/>
      <c r="E45" s="279"/>
      <c r="F45" s="279" t="s">
        <v>320</v>
      </c>
      <c r="G45" s="312">
        <v>12</v>
      </c>
      <c r="H45" s="280" t="s">
        <v>22</v>
      </c>
      <c r="I45" s="281"/>
      <c r="J45" s="282"/>
      <c r="K45" s="294" t="s">
        <v>283</v>
      </c>
      <c r="L45" s="284"/>
    </row>
    <row r="46" spans="1:12" s="295" customFormat="1" ht="28.55" x14ac:dyDescent="0.25">
      <c r="A46" s="651"/>
      <c r="B46" s="278" t="s">
        <v>321</v>
      </c>
      <c r="C46" s="279" t="s">
        <v>322</v>
      </c>
      <c r="D46" s="286"/>
      <c r="E46" s="286"/>
      <c r="F46" s="286" t="s">
        <v>312</v>
      </c>
      <c r="G46" s="289">
        <v>40</v>
      </c>
      <c r="H46" s="299" t="s">
        <v>193</v>
      </c>
      <c r="I46" s="288"/>
      <c r="J46" s="313"/>
      <c r="K46" s="314" t="s">
        <v>323</v>
      </c>
      <c r="L46" s="315"/>
    </row>
    <row r="47" spans="1:12" s="295" customFormat="1" ht="14.95" thickBot="1" x14ac:dyDescent="0.3">
      <c r="A47" s="652"/>
      <c r="B47" s="316" t="s">
        <v>513</v>
      </c>
      <c r="C47" s="317" t="s">
        <v>514</v>
      </c>
      <c r="D47" s="317"/>
      <c r="E47" s="317"/>
      <c r="F47" s="317" t="s">
        <v>255</v>
      </c>
      <c r="G47" s="318">
        <v>12</v>
      </c>
      <c r="H47" s="318" t="s">
        <v>22</v>
      </c>
      <c r="I47" s="319"/>
      <c r="J47" s="318"/>
      <c r="K47" s="320" t="s">
        <v>288</v>
      </c>
      <c r="L47" s="321"/>
    </row>
    <row r="48" spans="1:12" x14ac:dyDescent="0.25">
      <c r="A48" s="668" t="s">
        <v>156</v>
      </c>
      <c r="B48" s="639" t="s">
        <v>278</v>
      </c>
      <c r="C48" s="639" t="s">
        <v>324</v>
      </c>
      <c r="D48" s="322"/>
      <c r="E48" s="322"/>
      <c r="F48" s="323" t="s">
        <v>255</v>
      </c>
      <c r="G48" s="324">
        <v>12</v>
      </c>
      <c r="H48" s="324" t="s">
        <v>22</v>
      </c>
      <c r="I48" s="325"/>
      <c r="J48" s="326"/>
      <c r="K48" s="327" t="s">
        <v>157</v>
      </c>
      <c r="L48" s="328"/>
    </row>
    <row r="49" spans="1:13" x14ac:dyDescent="0.25">
      <c r="A49" s="669"/>
      <c r="B49" s="640"/>
      <c r="C49" s="640"/>
      <c r="D49" s="329"/>
      <c r="E49" s="329"/>
      <c r="F49" s="330" t="s">
        <v>24</v>
      </c>
      <c r="G49" s="331">
        <v>20</v>
      </c>
      <c r="H49" s="331" t="s">
        <v>24</v>
      </c>
      <c r="I49" s="332"/>
      <c r="J49" s="333"/>
      <c r="K49" s="334" t="s">
        <v>515</v>
      </c>
      <c r="L49" s="335"/>
    </row>
    <row r="50" spans="1:13" ht="28.55" x14ac:dyDescent="0.25">
      <c r="A50" s="670"/>
      <c r="B50" s="641" t="s">
        <v>325</v>
      </c>
      <c r="C50" s="641" t="s">
        <v>326</v>
      </c>
      <c r="D50" s="336">
        <v>43309</v>
      </c>
      <c r="E50" s="336">
        <v>43247</v>
      </c>
      <c r="F50" s="337" t="s">
        <v>255</v>
      </c>
      <c r="G50" s="338">
        <v>12</v>
      </c>
      <c r="H50" s="338" t="s">
        <v>22</v>
      </c>
      <c r="I50" s="693">
        <v>3163811202</v>
      </c>
      <c r="J50" s="693" t="s">
        <v>1061</v>
      </c>
      <c r="K50" s="339" t="s">
        <v>157</v>
      </c>
      <c r="L50" s="340" t="s">
        <v>1066</v>
      </c>
    </row>
    <row r="51" spans="1:13" x14ac:dyDescent="0.25">
      <c r="A51" s="670"/>
      <c r="B51" s="642"/>
      <c r="C51" s="642"/>
      <c r="D51" s="336">
        <v>43311</v>
      </c>
      <c r="E51" s="336">
        <v>43341</v>
      </c>
      <c r="F51" s="337" t="s">
        <v>320</v>
      </c>
      <c r="G51" s="338">
        <v>12</v>
      </c>
      <c r="H51" s="338" t="s">
        <v>50</v>
      </c>
      <c r="I51" s="694"/>
      <c r="J51" s="694"/>
      <c r="K51" s="339" t="s">
        <v>1056</v>
      </c>
      <c r="L51" s="341" t="s">
        <v>1057</v>
      </c>
    </row>
    <row r="52" spans="1:13" ht="28.55" x14ac:dyDescent="0.25">
      <c r="A52" s="670"/>
      <c r="B52" s="643"/>
      <c r="C52" s="643"/>
      <c r="D52" s="336">
        <v>43309</v>
      </c>
      <c r="E52" s="336">
        <v>43247</v>
      </c>
      <c r="F52" s="337" t="s">
        <v>24</v>
      </c>
      <c r="G52" s="338">
        <v>20</v>
      </c>
      <c r="H52" s="338" t="s">
        <v>24</v>
      </c>
      <c r="I52" s="695"/>
      <c r="J52" s="695"/>
      <c r="K52" s="339" t="s">
        <v>515</v>
      </c>
      <c r="L52" s="340" t="s">
        <v>1067</v>
      </c>
    </row>
    <row r="53" spans="1:13" x14ac:dyDescent="0.25">
      <c r="A53" s="670"/>
      <c r="B53" s="342" t="s">
        <v>327</v>
      </c>
      <c r="C53" s="337" t="s">
        <v>328</v>
      </c>
      <c r="D53" s="337"/>
      <c r="E53" s="337"/>
      <c r="F53" s="337" t="s">
        <v>255</v>
      </c>
      <c r="G53" s="338">
        <v>12</v>
      </c>
      <c r="H53" s="338" t="s">
        <v>22</v>
      </c>
      <c r="I53" s="343"/>
      <c r="J53" s="344"/>
      <c r="K53" s="339" t="s">
        <v>157</v>
      </c>
      <c r="L53" s="341"/>
      <c r="M53" s="132" t="s">
        <v>329</v>
      </c>
    </row>
    <row r="54" spans="1:13" x14ac:dyDescent="0.25">
      <c r="A54" s="670"/>
      <c r="B54" s="342" t="s">
        <v>330</v>
      </c>
      <c r="C54" s="337" t="s">
        <v>331</v>
      </c>
      <c r="D54" s="337"/>
      <c r="E54" s="337"/>
      <c r="F54" s="337" t="s">
        <v>255</v>
      </c>
      <c r="G54" s="338">
        <v>12</v>
      </c>
      <c r="H54" s="338" t="s">
        <v>22</v>
      </c>
      <c r="I54" s="343"/>
      <c r="J54" s="344"/>
      <c r="K54" s="339" t="s">
        <v>157</v>
      </c>
      <c r="L54" s="341"/>
    </row>
    <row r="55" spans="1:13" x14ac:dyDescent="0.25">
      <c r="A55" s="670"/>
      <c r="B55" s="342" t="s">
        <v>334</v>
      </c>
      <c r="C55" s="337" t="s">
        <v>335</v>
      </c>
      <c r="D55" s="337"/>
      <c r="E55" s="337"/>
      <c r="F55" s="337" t="s">
        <v>255</v>
      </c>
      <c r="G55" s="338">
        <v>12</v>
      </c>
      <c r="H55" s="338" t="s">
        <v>22</v>
      </c>
      <c r="I55" s="343"/>
      <c r="J55" s="344"/>
      <c r="K55" s="339" t="s">
        <v>157</v>
      </c>
      <c r="L55" s="341"/>
    </row>
    <row r="56" spans="1:13" x14ac:dyDescent="0.25">
      <c r="A56" s="670"/>
      <c r="B56" s="342" t="s">
        <v>337</v>
      </c>
      <c r="C56" s="337" t="s">
        <v>338</v>
      </c>
      <c r="D56" s="337"/>
      <c r="E56" s="337"/>
      <c r="F56" s="337" t="s">
        <v>255</v>
      </c>
      <c r="G56" s="338">
        <v>12</v>
      </c>
      <c r="H56" s="338" t="s">
        <v>22</v>
      </c>
      <c r="I56" s="343"/>
      <c r="J56" s="344"/>
      <c r="K56" s="339" t="s">
        <v>157</v>
      </c>
      <c r="L56" s="341"/>
    </row>
    <row r="57" spans="1:13" x14ac:dyDescent="0.25">
      <c r="A57" s="670"/>
      <c r="B57" s="342" t="s">
        <v>339</v>
      </c>
      <c r="C57" s="337" t="s">
        <v>340</v>
      </c>
      <c r="D57" s="337"/>
      <c r="E57" s="337"/>
      <c r="F57" s="337" t="s">
        <v>255</v>
      </c>
      <c r="G57" s="338">
        <v>12</v>
      </c>
      <c r="H57" s="338" t="s">
        <v>22</v>
      </c>
      <c r="I57" s="343"/>
      <c r="J57" s="344"/>
      <c r="K57" s="339" t="s">
        <v>157</v>
      </c>
      <c r="L57" s="341"/>
    </row>
    <row r="58" spans="1:13" x14ac:dyDescent="0.25">
      <c r="A58" s="671"/>
      <c r="B58" s="345" t="s">
        <v>341</v>
      </c>
      <c r="C58" s="346" t="s">
        <v>342</v>
      </c>
      <c r="D58" s="346"/>
      <c r="E58" s="346"/>
      <c r="F58" s="346" t="s">
        <v>255</v>
      </c>
      <c r="G58" s="338">
        <v>12</v>
      </c>
      <c r="H58" s="347" t="s">
        <v>22</v>
      </c>
      <c r="I58" s="348"/>
      <c r="J58" s="347"/>
      <c r="K58" s="349" t="s">
        <v>343</v>
      </c>
      <c r="L58" s="341"/>
    </row>
    <row r="59" spans="1:13" x14ac:dyDescent="0.25">
      <c r="A59" s="671"/>
      <c r="B59" s="342" t="s">
        <v>344</v>
      </c>
      <c r="C59" s="346" t="s">
        <v>345</v>
      </c>
      <c r="D59" s="346"/>
      <c r="E59" s="346"/>
      <c r="F59" s="337" t="s">
        <v>255</v>
      </c>
      <c r="G59" s="350">
        <v>12</v>
      </c>
      <c r="H59" s="338" t="s">
        <v>22</v>
      </c>
      <c r="I59" s="348"/>
      <c r="J59" s="338"/>
      <c r="K59" s="349" t="s">
        <v>343</v>
      </c>
      <c r="L59" s="341"/>
    </row>
    <row r="60" spans="1:13" ht="14.95" thickBot="1" x14ac:dyDescent="0.3">
      <c r="A60" s="672"/>
      <c r="B60" s="351" t="s">
        <v>807</v>
      </c>
      <c r="C60" s="352" t="s">
        <v>808</v>
      </c>
      <c r="D60" s="353"/>
      <c r="E60" s="353"/>
      <c r="F60" s="352" t="s">
        <v>255</v>
      </c>
      <c r="G60" s="354">
        <v>12</v>
      </c>
      <c r="H60" s="355" t="s">
        <v>22</v>
      </c>
      <c r="I60" s="356"/>
      <c r="J60" s="355"/>
      <c r="K60" s="357" t="s">
        <v>56</v>
      </c>
      <c r="L60" s="358"/>
      <c r="M60" s="359"/>
    </row>
    <row r="61" spans="1:13" s="237" customFormat="1" ht="14.95" thickBot="1" x14ac:dyDescent="0.3">
      <c r="A61" s="686" t="s">
        <v>994</v>
      </c>
      <c r="B61" s="360" t="s">
        <v>332</v>
      </c>
      <c r="C61" s="239" t="s">
        <v>333</v>
      </c>
      <c r="D61" s="361"/>
      <c r="E61" s="361"/>
      <c r="F61" s="361" t="s">
        <v>255</v>
      </c>
      <c r="G61" s="362">
        <v>12</v>
      </c>
      <c r="H61" s="362" t="s">
        <v>22</v>
      </c>
      <c r="I61" s="363"/>
      <c r="J61" s="364"/>
      <c r="K61" s="365" t="s">
        <v>695</v>
      </c>
      <c r="L61" s="366"/>
      <c r="M61" s="367"/>
    </row>
    <row r="62" spans="1:13" s="237" customFormat="1" ht="14.95" thickBot="1" x14ac:dyDescent="0.3">
      <c r="A62" s="696"/>
      <c r="B62" s="368" t="s">
        <v>1051</v>
      </c>
      <c r="C62" s="361" t="s">
        <v>1052</v>
      </c>
      <c r="D62" s="369">
        <v>43308</v>
      </c>
      <c r="E62" s="369"/>
      <c r="F62" s="361" t="s">
        <v>312</v>
      </c>
      <c r="G62" s="257">
        <v>40</v>
      </c>
      <c r="H62" s="257" t="s">
        <v>1053</v>
      </c>
      <c r="I62" s="363">
        <v>3225892504</v>
      </c>
      <c r="J62" s="246"/>
      <c r="K62" s="370" t="s">
        <v>695</v>
      </c>
      <c r="L62" s="371"/>
      <c r="M62" s="372"/>
    </row>
    <row r="63" spans="1:13" s="237" customFormat="1" x14ac:dyDescent="0.25">
      <c r="A63" s="673" t="s">
        <v>346</v>
      </c>
      <c r="B63" s="373" t="s">
        <v>347</v>
      </c>
      <c r="C63" s="271" t="s">
        <v>348</v>
      </c>
      <c r="D63" s="271"/>
      <c r="E63" s="271"/>
      <c r="F63" s="271" t="s">
        <v>255</v>
      </c>
      <c r="G63" s="273">
        <v>12</v>
      </c>
      <c r="H63" s="273" t="s">
        <v>22</v>
      </c>
      <c r="I63" s="374"/>
      <c r="J63" s="275"/>
      <c r="K63" s="375" t="s">
        <v>163</v>
      </c>
      <c r="L63" s="376"/>
    </row>
    <row r="64" spans="1:13" x14ac:dyDescent="0.25">
      <c r="A64" s="674"/>
      <c r="B64" s="377" t="s">
        <v>349</v>
      </c>
      <c r="C64" s="378" t="s">
        <v>350</v>
      </c>
      <c r="D64" s="377"/>
      <c r="E64" s="377"/>
      <c r="F64" s="272" t="s">
        <v>255</v>
      </c>
      <c r="G64" s="379">
        <v>12</v>
      </c>
      <c r="H64" s="379" t="s">
        <v>22</v>
      </c>
      <c r="I64" s="274"/>
      <c r="J64" s="380"/>
      <c r="K64" s="381" t="s">
        <v>163</v>
      </c>
      <c r="L64" s="382"/>
    </row>
    <row r="65" spans="1:12" x14ac:dyDescent="0.25">
      <c r="A65" s="674"/>
      <c r="B65" s="383" t="s">
        <v>351</v>
      </c>
      <c r="C65" s="378" t="s">
        <v>352</v>
      </c>
      <c r="D65" s="377"/>
      <c r="E65" s="377"/>
      <c r="F65" s="272" t="s">
        <v>255</v>
      </c>
      <c r="G65" s="379">
        <v>12</v>
      </c>
      <c r="H65" s="379" t="s">
        <v>22</v>
      </c>
      <c r="I65" s="274"/>
      <c r="J65" s="380"/>
      <c r="K65" s="381" t="s">
        <v>163</v>
      </c>
      <c r="L65" s="382"/>
    </row>
    <row r="66" spans="1:12" x14ac:dyDescent="0.25">
      <c r="A66" s="674"/>
      <c r="B66" s="384" t="s">
        <v>353</v>
      </c>
      <c r="C66" s="385" t="s">
        <v>354</v>
      </c>
      <c r="D66" s="385"/>
      <c r="E66" s="385"/>
      <c r="F66" s="385" t="s">
        <v>255</v>
      </c>
      <c r="G66" s="386">
        <v>12</v>
      </c>
      <c r="H66" s="386" t="s">
        <v>22</v>
      </c>
      <c r="I66" s="387"/>
      <c r="J66" s="388"/>
      <c r="K66" s="389" t="s">
        <v>163</v>
      </c>
      <c r="L66" s="390" t="s">
        <v>1030</v>
      </c>
    </row>
    <row r="67" spans="1:12" s="237" customFormat="1" x14ac:dyDescent="0.25">
      <c r="A67" s="674"/>
      <c r="B67" s="378" t="s">
        <v>355</v>
      </c>
      <c r="C67" s="391" t="s">
        <v>356</v>
      </c>
      <c r="D67" s="391"/>
      <c r="E67" s="391"/>
      <c r="F67" s="391" t="s">
        <v>255</v>
      </c>
      <c r="G67" s="379">
        <v>12</v>
      </c>
      <c r="H67" s="379" t="s">
        <v>22</v>
      </c>
      <c r="I67" s="392"/>
      <c r="J67" s="380"/>
      <c r="K67" s="381" t="s">
        <v>163</v>
      </c>
      <c r="L67" s="382"/>
    </row>
    <row r="68" spans="1:12" s="237" customFormat="1" x14ac:dyDescent="0.25">
      <c r="A68" s="674"/>
      <c r="B68" s="378" t="s">
        <v>357</v>
      </c>
      <c r="C68" s="391" t="s">
        <v>358</v>
      </c>
      <c r="D68" s="391"/>
      <c r="E68" s="391"/>
      <c r="F68" s="391" t="s">
        <v>255</v>
      </c>
      <c r="G68" s="379">
        <v>12</v>
      </c>
      <c r="H68" s="379" t="s">
        <v>22</v>
      </c>
      <c r="I68" s="392"/>
      <c r="J68" s="380"/>
      <c r="K68" s="381" t="s">
        <v>163</v>
      </c>
      <c r="L68" s="382"/>
    </row>
    <row r="69" spans="1:12" s="237" customFormat="1" x14ac:dyDescent="0.25">
      <c r="A69" s="674"/>
      <c r="B69" s="705" t="s">
        <v>359</v>
      </c>
      <c r="C69" s="705" t="s">
        <v>360</v>
      </c>
      <c r="D69" s="393"/>
      <c r="E69" s="393"/>
      <c r="F69" s="391" t="s">
        <v>255</v>
      </c>
      <c r="G69" s="379">
        <v>12</v>
      </c>
      <c r="H69" s="379" t="s">
        <v>361</v>
      </c>
      <c r="I69" s="394"/>
      <c r="J69" s="380"/>
      <c r="K69" s="381" t="s">
        <v>163</v>
      </c>
      <c r="L69" s="382"/>
    </row>
    <row r="70" spans="1:12" s="237" customFormat="1" x14ac:dyDescent="0.25">
      <c r="A70" s="674"/>
      <c r="B70" s="706"/>
      <c r="C70" s="706"/>
      <c r="D70" s="395"/>
      <c r="E70" s="395"/>
      <c r="F70" s="396" t="s">
        <v>24</v>
      </c>
      <c r="G70" s="397">
        <v>20</v>
      </c>
      <c r="H70" s="379" t="s">
        <v>24</v>
      </c>
      <c r="I70" s="398"/>
      <c r="J70" s="399"/>
      <c r="K70" s="400" t="s">
        <v>298</v>
      </c>
      <c r="L70" s="382"/>
    </row>
    <row r="71" spans="1:12" s="237" customFormat="1" x14ac:dyDescent="0.25">
      <c r="A71" s="675"/>
      <c r="B71" s="701" t="s">
        <v>362</v>
      </c>
      <c r="C71" s="703" t="s">
        <v>363</v>
      </c>
      <c r="D71" s="401"/>
      <c r="E71" s="401"/>
      <c r="F71" s="391" t="s">
        <v>255</v>
      </c>
      <c r="G71" s="379">
        <v>12</v>
      </c>
      <c r="H71" s="379" t="s">
        <v>22</v>
      </c>
      <c r="I71" s="402"/>
      <c r="J71" s="380"/>
      <c r="K71" s="403" t="s">
        <v>163</v>
      </c>
      <c r="L71" s="382"/>
    </row>
    <row r="72" spans="1:12" ht="14.95" thickBot="1" x14ac:dyDescent="0.3">
      <c r="A72" s="676"/>
      <c r="B72" s="702"/>
      <c r="C72" s="704"/>
      <c r="D72" s="404"/>
      <c r="E72" s="404"/>
      <c r="F72" s="405" t="s">
        <v>24</v>
      </c>
      <c r="G72" s="406">
        <v>20</v>
      </c>
      <c r="H72" s="406" t="s">
        <v>24</v>
      </c>
      <c r="I72" s="407"/>
      <c r="J72" s="406"/>
      <c r="K72" s="408" t="s">
        <v>298</v>
      </c>
      <c r="L72" s="409"/>
    </row>
    <row r="73" spans="1:12" ht="30.75" thickBot="1" x14ac:dyDescent="0.3">
      <c r="A73" s="217" t="s">
        <v>1047</v>
      </c>
      <c r="B73" s="410" t="s">
        <v>1048</v>
      </c>
      <c r="C73" s="411" t="s">
        <v>1049</v>
      </c>
      <c r="D73" s="412">
        <v>43308</v>
      </c>
      <c r="E73" s="412"/>
      <c r="F73" s="413" t="s">
        <v>312</v>
      </c>
      <c r="G73" s="414">
        <v>40</v>
      </c>
      <c r="H73" s="414" t="s">
        <v>1050</v>
      </c>
      <c r="I73" s="415">
        <v>3012840976</v>
      </c>
      <c r="J73" s="414"/>
      <c r="K73" s="416" t="s">
        <v>163</v>
      </c>
      <c r="L73" s="417"/>
    </row>
    <row r="74" spans="1:12" ht="28.55" x14ac:dyDescent="0.25">
      <c r="A74" s="677" t="s">
        <v>364</v>
      </c>
      <c r="B74" s="418" t="s">
        <v>365</v>
      </c>
      <c r="C74" s="419" t="s">
        <v>366</v>
      </c>
      <c r="D74" s="419"/>
      <c r="E74" s="419"/>
      <c r="F74" s="419" t="s">
        <v>255</v>
      </c>
      <c r="G74" s="420">
        <v>12</v>
      </c>
      <c r="H74" s="420" t="s">
        <v>771</v>
      </c>
      <c r="I74" s="421"/>
      <c r="J74" s="420"/>
      <c r="K74" s="419" t="s">
        <v>770</v>
      </c>
      <c r="L74" s="697" t="s">
        <v>517</v>
      </c>
    </row>
    <row r="75" spans="1:12" x14ac:dyDescent="0.25">
      <c r="A75" s="678"/>
      <c r="B75" s="422" t="s">
        <v>262</v>
      </c>
      <c r="C75" s="423" t="s">
        <v>263</v>
      </c>
      <c r="D75" s="423"/>
      <c r="E75" s="423"/>
      <c r="F75" s="423" t="s">
        <v>255</v>
      </c>
      <c r="G75" s="424">
        <v>12</v>
      </c>
      <c r="H75" s="425" t="s">
        <v>22</v>
      </c>
      <c r="I75" s="113"/>
      <c r="J75" s="425"/>
      <c r="K75" s="423" t="s">
        <v>264</v>
      </c>
      <c r="L75" s="698"/>
    </row>
    <row r="76" spans="1:12" ht="14.95" thickBot="1" x14ac:dyDescent="0.3">
      <c r="A76" s="678"/>
      <c r="B76" s="707" t="s">
        <v>367</v>
      </c>
      <c r="C76" s="707" t="s">
        <v>368</v>
      </c>
      <c r="D76" s="345"/>
      <c r="E76" s="345"/>
      <c r="F76" s="337" t="s">
        <v>255</v>
      </c>
      <c r="G76" s="338">
        <v>12</v>
      </c>
      <c r="H76" s="338" t="s">
        <v>50</v>
      </c>
      <c r="I76" s="348"/>
      <c r="J76" s="338"/>
      <c r="K76" s="349" t="s">
        <v>995</v>
      </c>
      <c r="L76" s="426"/>
    </row>
    <row r="77" spans="1:12" ht="14.95" thickBot="1" x14ac:dyDescent="0.3">
      <c r="A77" s="678"/>
      <c r="B77" s="708"/>
      <c r="C77" s="708"/>
      <c r="D77" s="351"/>
      <c r="E77" s="351"/>
      <c r="F77" s="427" t="s">
        <v>415</v>
      </c>
      <c r="G77" s="347">
        <v>12</v>
      </c>
      <c r="H77" s="347" t="s">
        <v>22</v>
      </c>
      <c r="I77" s="428"/>
      <c r="J77" s="347"/>
      <c r="K77" s="337" t="s">
        <v>56</v>
      </c>
      <c r="L77" s="426" t="s">
        <v>922</v>
      </c>
    </row>
    <row r="78" spans="1:12" x14ac:dyDescent="0.25">
      <c r="A78" s="678"/>
      <c r="B78" s="709"/>
      <c r="C78" s="709"/>
      <c r="D78" s="329"/>
      <c r="E78" s="329"/>
      <c r="F78" s="337" t="s">
        <v>24</v>
      </c>
      <c r="G78" s="338">
        <v>20</v>
      </c>
      <c r="H78" s="347" t="s">
        <v>24</v>
      </c>
      <c r="I78" s="332"/>
      <c r="J78" s="347"/>
      <c r="K78" s="337" t="s">
        <v>516</v>
      </c>
      <c r="L78" s="426"/>
    </row>
    <row r="79" spans="1:12" ht="14.95" thickBot="1" x14ac:dyDescent="0.3">
      <c r="A79" s="679"/>
      <c r="B79" s="429" t="s">
        <v>369</v>
      </c>
      <c r="C79" s="353" t="s">
        <v>370</v>
      </c>
      <c r="D79" s="353"/>
      <c r="E79" s="353"/>
      <c r="F79" s="353" t="s">
        <v>255</v>
      </c>
      <c r="G79" s="355">
        <v>12</v>
      </c>
      <c r="H79" s="354" t="s">
        <v>22</v>
      </c>
      <c r="I79" s="356"/>
      <c r="J79" s="430"/>
      <c r="K79" s="431" t="s">
        <v>56</v>
      </c>
      <c r="L79" s="432"/>
    </row>
    <row r="80" spans="1:12" s="237" customFormat="1" ht="15.8" thickBot="1" x14ac:dyDescent="0.3">
      <c r="A80" s="175" t="s">
        <v>208</v>
      </c>
      <c r="B80" s="433" t="s">
        <v>371</v>
      </c>
      <c r="C80" s="434" t="s">
        <v>372</v>
      </c>
      <c r="D80" s="434"/>
      <c r="E80" s="434"/>
      <c r="F80" s="434" t="s">
        <v>255</v>
      </c>
      <c r="G80" s="435">
        <v>12</v>
      </c>
      <c r="H80" s="435" t="s">
        <v>22</v>
      </c>
      <c r="I80" s="436"/>
      <c r="J80" s="437"/>
      <c r="K80" s="438" t="s">
        <v>209</v>
      </c>
      <c r="L80" s="439"/>
    </row>
    <row r="81" spans="1:12" ht="28.55" x14ac:dyDescent="0.25">
      <c r="A81" s="680" t="s">
        <v>373</v>
      </c>
      <c r="B81" s="440" t="s">
        <v>374</v>
      </c>
      <c r="C81" s="441" t="s">
        <v>375</v>
      </c>
      <c r="D81" s="441"/>
      <c r="E81" s="441"/>
      <c r="F81" s="441" t="s">
        <v>255</v>
      </c>
      <c r="G81" s="442">
        <v>12</v>
      </c>
      <c r="H81" s="442" t="s">
        <v>22</v>
      </c>
      <c r="I81" s="443"/>
      <c r="J81" s="442"/>
      <c r="K81" s="441" t="s">
        <v>376</v>
      </c>
      <c r="L81" s="444"/>
    </row>
    <row r="82" spans="1:12" ht="14.95" thickBot="1" x14ac:dyDescent="0.3">
      <c r="A82" s="681"/>
      <c r="B82" s="445" t="s">
        <v>377</v>
      </c>
      <c r="C82" s="446" t="s">
        <v>378</v>
      </c>
      <c r="D82" s="446"/>
      <c r="E82" s="446"/>
      <c r="F82" s="446" t="s">
        <v>379</v>
      </c>
      <c r="G82" s="447">
        <v>40</v>
      </c>
      <c r="H82" s="447" t="s">
        <v>22</v>
      </c>
      <c r="I82" s="448"/>
      <c r="J82" s="447"/>
      <c r="K82" s="446" t="s">
        <v>376</v>
      </c>
      <c r="L82" s="449"/>
    </row>
    <row r="83" spans="1:12" ht="15.8" thickBot="1" x14ac:dyDescent="0.3">
      <c r="A83" s="450" t="s">
        <v>95</v>
      </c>
      <c r="B83" s="451" t="s">
        <v>380</v>
      </c>
      <c r="C83" s="452" t="s">
        <v>381</v>
      </c>
      <c r="D83" s="452"/>
      <c r="E83" s="452"/>
      <c r="F83" s="452" t="s">
        <v>255</v>
      </c>
      <c r="G83" s="453">
        <v>12</v>
      </c>
      <c r="H83" s="453" t="s">
        <v>22</v>
      </c>
      <c r="I83" s="454"/>
      <c r="J83" s="453"/>
      <c r="K83" s="452" t="s">
        <v>96</v>
      </c>
      <c r="L83" s="452"/>
    </row>
    <row r="84" spans="1:12" x14ac:dyDescent="0.25">
      <c r="A84" s="682" t="s">
        <v>382</v>
      </c>
      <c r="B84" s="455" t="s">
        <v>383</v>
      </c>
      <c r="C84" s="456" t="s">
        <v>384</v>
      </c>
      <c r="D84" s="456"/>
      <c r="E84" s="456"/>
      <c r="F84" s="456" t="s">
        <v>255</v>
      </c>
      <c r="G84" s="457">
        <v>12</v>
      </c>
      <c r="H84" s="457" t="s">
        <v>22</v>
      </c>
      <c r="I84" s="458"/>
      <c r="J84" s="459"/>
      <c r="K84" s="460" t="s">
        <v>385</v>
      </c>
      <c r="L84" s="456" t="s">
        <v>781</v>
      </c>
    </row>
    <row r="85" spans="1:12" ht="29.25" thickBot="1" x14ac:dyDescent="0.3">
      <c r="A85" s="683"/>
      <c r="B85" s="461" t="s">
        <v>386</v>
      </c>
      <c r="C85" s="462" t="s">
        <v>387</v>
      </c>
      <c r="D85" s="462"/>
      <c r="E85" s="462"/>
      <c r="F85" s="462" t="s">
        <v>255</v>
      </c>
      <c r="G85" s="463">
        <v>12</v>
      </c>
      <c r="H85" s="464" t="s">
        <v>22</v>
      </c>
      <c r="I85" s="465"/>
      <c r="J85" s="466"/>
      <c r="K85" s="467" t="s">
        <v>385</v>
      </c>
      <c r="L85" s="462"/>
    </row>
    <row r="86" spans="1:12" x14ac:dyDescent="0.25">
      <c r="A86" s="684" t="s">
        <v>128</v>
      </c>
      <c r="B86" s="468" t="s">
        <v>388</v>
      </c>
      <c r="C86" s="468" t="s">
        <v>389</v>
      </c>
      <c r="D86" s="468"/>
      <c r="E86" s="468"/>
      <c r="F86" s="469" t="s">
        <v>255</v>
      </c>
      <c r="G86" s="470">
        <v>12</v>
      </c>
      <c r="H86" s="470" t="s">
        <v>22</v>
      </c>
      <c r="I86" s="471"/>
      <c r="J86" s="472"/>
      <c r="K86" s="473" t="s">
        <v>125</v>
      </c>
      <c r="L86" s="474"/>
    </row>
    <row r="87" spans="1:12" x14ac:dyDescent="0.25">
      <c r="A87" s="685"/>
      <c r="B87" s="475" t="s">
        <v>390</v>
      </c>
      <c r="C87" s="476" t="s">
        <v>391</v>
      </c>
      <c r="D87" s="476"/>
      <c r="E87" s="476"/>
      <c r="F87" s="476" t="s">
        <v>312</v>
      </c>
      <c r="G87" s="477">
        <v>40</v>
      </c>
      <c r="H87" s="477" t="s">
        <v>22</v>
      </c>
      <c r="I87" s="478"/>
      <c r="J87" s="479"/>
      <c r="K87" s="480" t="s">
        <v>125</v>
      </c>
      <c r="L87" s="476"/>
    </row>
    <row r="88" spans="1:12" x14ac:dyDescent="0.25">
      <c r="A88" s="685"/>
      <c r="B88" s="481" t="s">
        <v>392</v>
      </c>
      <c r="C88" s="482" t="s">
        <v>393</v>
      </c>
      <c r="D88" s="482"/>
      <c r="E88" s="482"/>
      <c r="F88" s="482" t="s">
        <v>255</v>
      </c>
      <c r="G88" s="483">
        <v>12</v>
      </c>
      <c r="H88" s="477" t="s">
        <v>22</v>
      </c>
      <c r="I88" s="484"/>
      <c r="J88" s="485"/>
      <c r="K88" s="486" t="s">
        <v>125</v>
      </c>
      <c r="L88" s="476"/>
    </row>
    <row r="89" spans="1:12" ht="29.25" thickBot="1" x14ac:dyDescent="0.3">
      <c r="A89" s="685"/>
      <c r="B89" s="481" t="s">
        <v>394</v>
      </c>
      <c r="C89" s="482" t="s">
        <v>395</v>
      </c>
      <c r="D89" s="482"/>
      <c r="E89" s="482"/>
      <c r="F89" s="482" t="s">
        <v>255</v>
      </c>
      <c r="G89" s="483">
        <v>12</v>
      </c>
      <c r="H89" s="483" t="s">
        <v>22</v>
      </c>
      <c r="I89" s="484"/>
      <c r="J89" s="485"/>
      <c r="K89" s="486" t="s">
        <v>125</v>
      </c>
      <c r="L89" s="482"/>
    </row>
    <row r="90" spans="1:12" x14ac:dyDescent="0.25">
      <c r="A90" s="659" t="s">
        <v>396</v>
      </c>
      <c r="B90" s="487" t="s">
        <v>397</v>
      </c>
      <c r="C90" s="64" t="s">
        <v>398</v>
      </c>
      <c r="D90" s="64"/>
      <c r="E90" s="64"/>
      <c r="F90" s="487" t="s">
        <v>255</v>
      </c>
      <c r="G90" s="488">
        <v>12</v>
      </c>
      <c r="H90" s="489" t="s">
        <v>22</v>
      </c>
      <c r="I90" s="218"/>
      <c r="J90" s="488"/>
      <c r="K90" s="490" t="s">
        <v>399</v>
      </c>
      <c r="L90" s="689" t="s">
        <v>782</v>
      </c>
    </row>
    <row r="91" spans="1:12" ht="14.95" thickBot="1" x14ac:dyDescent="0.3">
      <c r="A91" s="660"/>
      <c r="B91" s="491" t="s">
        <v>400</v>
      </c>
      <c r="C91" s="492" t="s">
        <v>401</v>
      </c>
      <c r="D91" s="492"/>
      <c r="E91" s="492"/>
      <c r="F91" s="493" t="s">
        <v>255</v>
      </c>
      <c r="G91" s="494">
        <v>12</v>
      </c>
      <c r="H91" s="494" t="s">
        <v>22</v>
      </c>
      <c r="I91" s="495"/>
      <c r="J91" s="496"/>
      <c r="K91" s="497" t="s">
        <v>399</v>
      </c>
      <c r="L91" s="690"/>
    </row>
    <row r="92" spans="1:12" x14ac:dyDescent="0.25">
      <c r="A92" s="661" t="s">
        <v>145</v>
      </c>
      <c r="B92" s="699" t="s">
        <v>402</v>
      </c>
      <c r="C92" s="699" t="s">
        <v>403</v>
      </c>
      <c r="D92" s="498"/>
      <c r="E92" s="498"/>
      <c r="F92" s="499" t="s">
        <v>415</v>
      </c>
      <c r="G92" s="500">
        <v>12</v>
      </c>
      <c r="H92" s="501" t="s">
        <v>22</v>
      </c>
      <c r="I92" s="502"/>
      <c r="J92" s="503"/>
      <c r="K92" s="499" t="s">
        <v>40</v>
      </c>
      <c r="L92" s="504"/>
    </row>
    <row r="93" spans="1:12" x14ac:dyDescent="0.25">
      <c r="A93" s="662"/>
      <c r="B93" s="700"/>
      <c r="C93" s="700"/>
      <c r="D93" s="505"/>
      <c r="E93" s="505"/>
      <c r="F93" s="506" t="s">
        <v>255</v>
      </c>
      <c r="G93" s="507">
        <v>12</v>
      </c>
      <c r="H93" s="508" t="s">
        <v>22</v>
      </c>
      <c r="I93" s="509"/>
      <c r="J93" s="510"/>
      <c r="K93" s="506" t="s">
        <v>40</v>
      </c>
      <c r="L93" s="511"/>
    </row>
    <row r="94" spans="1:12" x14ac:dyDescent="0.25">
      <c r="A94" s="662"/>
      <c r="B94" s="688"/>
      <c r="C94" s="688"/>
      <c r="D94" s="512"/>
      <c r="E94" s="512"/>
      <c r="F94" s="239" t="s">
        <v>24</v>
      </c>
      <c r="G94" s="240">
        <v>20</v>
      </c>
      <c r="H94" s="266" t="s">
        <v>24</v>
      </c>
      <c r="I94" s="513"/>
      <c r="J94" s="242"/>
      <c r="K94" s="239" t="s">
        <v>890</v>
      </c>
      <c r="L94" s="514"/>
    </row>
    <row r="95" spans="1:12" x14ac:dyDescent="0.25">
      <c r="A95" s="662"/>
      <c r="B95" s="688" t="s">
        <v>404</v>
      </c>
      <c r="C95" s="688" t="s">
        <v>405</v>
      </c>
      <c r="D95" s="512"/>
      <c r="E95" s="512"/>
      <c r="F95" s="515" t="s">
        <v>255</v>
      </c>
      <c r="G95" s="516">
        <v>12</v>
      </c>
      <c r="H95" s="517" t="s">
        <v>22</v>
      </c>
      <c r="I95" s="513"/>
      <c r="J95" s="518"/>
      <c r="K95" s="515" t="s">
        <v>40</v>
      </c>
      <c r="L95" s="514"/>
    </row>
    <row r="96" spans="1:12" x14ac:dyDescent="0.25">
      <c r="A96" s="662"/>
      <c r="B96" s="688"/>
      <c r="C96" s="688"/>
      <c r="D96" s="512"/>
      <c r="E96" s="512"/>
      <c r="F96" s="239" t="s">
        <v>24</v>
      </c>
      <c r="G96" s="240">
        <v>20</v>
      </c>
      <c r="H96" s="266" t="s">
        <v>24</v>
      </c>
      <c r="I96" s="513"/>
      <c r="J96" s="242"/>
      <c r="K96" s="239" t="s">
        <v>406</v>
      </c>
      <c r="L96" s="514" t="s">
        <v>518</v>
      </c>
    </row>
    <row r="97" spans="1:12" x14ac:dyDescent="0.25">
      <c r="A97" s="662"/>
      <c r="B97" s="519" t="s">
        <v>524</v>
      </c>
      <c r="C97" s="519" t="s">
        <v>525</v>
      </c>
      <c r="D97" s="519"/>
      <c r="E97" s="519"/>
      <c r="F97" s="520" t="s">
        <v>255</v>
      </c>
      <c r="G97" s="521">
        <v>12</v>
      </c>
      <c r="H97" s="522" t="s">
        <v>22</v>
      </c>
      <c r="I97" s="523"/>
      <c r="J97" s="524"/>
      <c r="K97" s="520" t="s">
        <v>40</v>
      </c>
      <c r="L97" s="525" t="s">
        <v>781</v>
      </c>
    </row>
    <row r="98" spans="1:12" ht="14.95" thickBot="1" x14ac:dyDescent="0.3">
      <c r="A98" s="663"/>
      <c r="B98" s="526" t="s">
        <v>521</v>
      </c>
      <c r="C98" s="526" t="s">
        <v>522</v>
      </c>
      <c r="D98" s="526"/>
      <c r="E98" s="526"/>
      <c r="F98" s="527" t="s">
        <v>255</v>
      </c>
      <c r="G98" s="528">
        <v>12</v>
      </c>
      <c r="H98" s="529" t="s">
        <v>22</v>
      </c>
      <c r="I98" s="530"/>
      <c r="J98" s="531"/>
      <c r="K98" s="527" t="s">
        <v>40</v>
      </c>
      <c r="L98" s="532"/>
    </row>
    <row r="99" spans="1:12" s="237" customFormat="1" x14ac:dyDescent="0.25">
      <c r="A99" s="664" t="s">
        <v>167</v>
      </c>
      <c r="B99" s="691" t="s">
        <v>408</v>
      </c>
      <c r="C99" s="691" t="s">
        <v>409</v>
      </c>
      <c r="D99" s="533"/>
      <c r="E99" s="533"/>
      <c r="F99" s="534" t="s">
        <v>24</v>
      </c>
      <c r="G99" s="535">
        <v>20</v>
      </c>
      <c r="H99" s="535" t="s">
        <v>24</v>
      </c>
      <c r="I99" s="536"/>
      <c r="J99" s="535"/>
      <c r="K99" s="534" t="s">
        <v>410</v>
      </c>
      <c r="L99" s="534"/>
    </row>
    <row r="100" spans="1:12" s="237" customFormat="1" x14ac:dyDescent="0.25">
      <c r="A100" s="665"/>
      <c r="B100" s="692"/>
      <c r="C100" s="692"/>
      <c r="D100" s="537"/>
      <c r="E100" s="537"/>
      <c r="F100" s="538" t="s">
        <v>255</v>
      </c>
      <c r="G100" s="539">
        <v>12</v>
      </c>
      <c r="H100" s="539" t="s">
        <v>22</v>
      </c>
      <c r="I100" s="540"/>
      <c r="J100" s="539"/>
      <c r="K100" s="538" t="s">
        <v>407</v>
      </c>
      <c r="L100" s="538"/>
    </row>
    <row r="101" spans="1:12" s="237" customFormat="1" ht="14.95" thickBot="1" x14ac:dyDescent="0.3">
      <c r="A101" s="666"/>
      <c r="B101" s="541" t="s">
        <v>519</v>
      </c>
      <c r="C101" s="542" t="s">
        <v>520</v>
      </c>
      <c r="D101" s="542"/>
      <c r="E101" s="542"/>
      <c r="F101" s="542" t="s">
        <v>255</v>
      </c>
      <c r="G101" s="543">
        <v>12</v>
      </c>
      <c r="H101" s="543" t="s">
        <v>22</v>
      </c>
      <c r="I101" s="544"/>
      <c r="J101" s="543"/>
      <c r="K101" s="542" t="s">
        <v>407</v>
      </c>
      <c r="L101" s="542"/>
    </row>
  </sheetData>
  <autoFilter ref="A1:M101"/>
  <mergeCells count="51">
    <mergeCell ref="I50:I52"/>
    <mergeCell ref="J50:J52"/>
    <mergeCell ref="A61:A62"/>
    <mergeCell ref="L74:L75"/>
    <mergeCell ref="B92:B94"/>
    <mergeCell ref="C92:C94"/>
    <mergeCell ref="B71:B72"/>
    <mergeCell ref="C71:C72"/>
    <mergeCell ref="B69:B70"/>
    <mergeCell ref="C69:C70"/>
    <mergeCell ref="B76:B78"/>
    <mergeCell ref="C76:C78"/>
    <mergeCell ref="B95:B96"/>
    <mergeCell ref="C95:C96"/>
    <mergeCell ref="L90:L91"/>
    <mergeCell ref="C99:C100"/>
    <mergeCell ref="B99:B100"/>
    <mergeCell ref="F39:F40"/>
    <mergeCell ref="A90:A91"/>
    <mergeCell ref="A92:A98"/>
    <mergeCell ref="A99:A101"/>
    <mergeCell ref="B12:B13"/>
    <mergeCell ref="C12:C13"/>
    <mergeCell ref="B33:B34"/>
    <mergeCell ref="C33:C34"/>
    <mergeCell ref="B39:B41"/>
    <mergeCell ref="A48:A60"/>
    <mergeCell ref="A63:A72"/>
    <mergeCell ref="A74:A79"/>
    <mergeCell ref="A81:A82"/>
    <mergeCell ref="A84:A85"/>
    <mergeCell ref="A86:A89"/>
    <mergeCell ref="A2:A21"/>
    <mergeCell ref="A22:A47"/>
    <mergeCell ref="B35:B36"/>
    <mergeCell ref="C35:C36"/>
    <mergeCell ref="C39:C41"/>
    <mergeCell ref="C31:C32"/>
    <mergeCell ref="B31:B32"/>
    <mergeCell ref="B26:B27"/>
    <mergeCell ref="C26:C27"/>
    <mergeCell ref="B23:B24"/>
    <mergeCell ref="C23:C24"/>
    <mergeCell ref="B28:B29"/>
    <mergeCell ref="C28:C29"/>
    <mergeCell ref="B48:B49"/>
    <mergeCell ref="C48:C49"/>
    <mergeCell ref="C50:C52"/>
    <mergeCell ref="B50:B52"/>
    <mergeCell ref="B9:B11"/>
    <mergeCell ref="C9:C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zoomScale="80" zoomScaleNormal="80" workbookViewId="0">
      <pane ySplit="1" topLeftCell="A14" activePane="bottomLeft" state="frozen"/>
      <selection pane="bottomLeft" activeCell="F25" sqref="F25"/>
    </sheetView>
  </sheetViews>
  <sheetFormatPr baseColWidth="10" defaultColWidth="11.375" defaultRowHeight="30.1" customHeight="1" x14ac:dyDescent="0.25"/>
  <cols>
    <col min="1" max="1" width="7" style="76" customWidth="1"/>
    <col min="2" max="2" width="17.625" style="76" customWidth="1"/>
    <col min="3" max="3" width="22.375" style="76" customWidth="1"/>
    <col min="4" max="4" width="13.375" style="76" customWidth="1"/>
    <col min="5" max="6" width="14.375" style="76" customWidth="1"/>
    <col min="7" max="7" width="16.375" style="76" customWidth="1"/>
    <col min="8" max="8" width="17.375" style="76" customWidth="1"/>
    <col min="9" max="9" width="20.875" style="76" customWidth="1"/>
    <col min="10" max="10" width="13" style="110" customWidth="1"/>
    <col min="11" max="11" width="44.25" style="76" customWidth="1"/>
    <col min="12" max="12" width="32.75" style="76" customWidth="1"/>
    <col min="13" max="16384" width="11.375" style="76"/>
  </cols>
  <sheetData>
    <row r="1" spans="1:12" ht="30.1" customHeight="1" thickBot="1" x14ac:dyDescent="0.3">
      <c r="A1" s="113" t="s">
        <v>526</v>
      </c>
      <c r="B1" s="143" t="s">
        <v>61</v>
      </c>
      <c r="C1" s="83" t="s">
        <v>62</v>
      </c>
      <c r="D1" s="83" t="s">
        <v>4</v>
      </c>
      <c r="E1" s="83" t="s">
        <v>63</v>
      </c>
      <c r="F1" s="83" t="s">
        <v>6</v>
      </c>
      <c r="G1" s="83" t="s">
        <v>64</v>
      </c>
      <c r="H1" s="83" t="s">
        <v>65</v>
      </c>
      <c r="I1" s="83" t="s">
        <v>66</v>
      </c>
      <c r="J1" s="85" t="s">
        <v>67</v>
      </c>
      <c r="K1" s="83" t="s">
        <v>68</v>
      </c>
      <c r="L1" s="84" t="s">
        <v>69</v>
      </c>
    </row>
    <row r="2" spans="1:12" ht="30.1" customHeight="1" x14ac:dyDescent="0.25">
      <c r="A2" s="155">
        <v>1</v>
      </c>
      <c r="B2" s="144" t="s">
        <v>70</v>
      </c>
      <c r="C2" s="98" t="s">
        <v>71</v>
      </c>
      <c r="D2" s="98" t="s">
        <v>72</v>
      </c>
      <c r="E2" s="98" t="s">
        <v>73</v>
      </c>
      <c r="F2" s="98">
        <v>32185655741</v>
      </c>
      <c r="G2" s="98" t="s">
        <v>888</v>
      </c>
      <c r="H2" s="98" t="s">
        <v>74</v>
      </c>
      <c r="I2" s="98" t="s">
        <v>832</v>
      </c>
      <c r="J2" s="99">
        <v>1</v>
      </c>
      <c r="K2" s="111"/>
      <c r="L2" s="111"/>
    </row>
    <row r="3" spans="1:12" ht="30.1" customHeight="1" x14ac:dyDescent="0.25">
      <c r="A3" s="155">
        <v>2</v>
      </c>
      <c r="B3" s="145" t="s">
        <v>75</v>
      </c>
      <c r="C3" s="9" t="s">
        <v>76</v>
      </c>
      <c r="D3" s="9" t="s">
        <v>72</v>
      </c>
      <c r="E3" s="9" t="s">
        <v>54</v>
      </c>
      <c r="F3" s="9" t="s">
        <v>951</v>
      </c>
      <c r="G3" s="9" t="s">
        <v>77</v>
      </c>
      <c r="H3" s="9" t="s">
        <v>78</v>
      </c>
      <c r="I3" s="9" t="s">
        <v>79</v>
      </c>
      <c r="J3" s="86">
        <v>1</v>
      </c>
      <c r="K3" s="96"/>
      <c r="L3" s="96"/>
    </row>
    <row r="4" spans="1:12" s="79" customFormat="1" ht="30.1" customHeight="1" x14ac:dyDescent="0.25">
      <c r="A4" s="155">
        <v>3</v>
      </c>
      <c r="B4" s="145" t="s">
        <v>80</v>
      </c>
      <c r="C4" s="9" t="s">
        <v>81</v>
      </c>
      <c r="D4" s="9" t="s">
        <v>72</v>
      </c>
      <c r="E4" s="9" t="s">
        <v>73</v>
      </c>
      <c r="F4" s="9">
        <v>3016915903</v>
      </c>
      <c r="G4" s="9">
        <v>12</v>
      </c>
      <c r="H4" s="9" t="s">
        <v>82</v>
      </c>
      <c r="I4" s="9" t="s">
        <v>832</v>
      </c>
      <c r="J4" s="86">
        <v>1</v>
      </c>
      <c r="K4" s="9"/>
      <c r="L4" s="9"/>
    </row>
    <row r="5" spans="1:12" ht="30.1" customHeight="1" x14ac:dyDescent="0.25">
      <c r="A5" s="155">
        <v>4</v>
      </c>
      <c r="B5" s="146" t="s">
        <v>83</v>
      </c>
      <c r="C5" s="100" t="s">
        <v>84</v>
      </c>
      <c r="D5" s="100" t="s">
        <v>72</v>
      </c>
      <c r="E5" s="100" t="s">
        <v>73</v>
      </c>
      <c r="F5" s="100" t="s">
        <v>956</v>
      </c>
      <c r="G5" s="100">
        <v>12</v>
      </c>
      <c r="H5" s="100" t="s">
        <v>25</v>
      </c>
      <c r="I5" s="100" t="s">
        <v>832</v>
      </c>
      <c r="J5" s="101">
        <v>1</v>
      </c>
      <c r="K5" s="100"/>
      <c r="L5" s="96"/>
    </row>
    <row r="6" spans="1:12" ht="30.1" customHeight="1" x14ac:dyDescent="0.25">
      <c r="A6" s="155">
        <v>5</v>
      </c>
      <c r="B6" s="147" t="s">
        <v>85</v>
      </c>
      <c r="C6" s="8" t="s">
        <v>86</v>
      </c>
      <c r="D6" s="8" t="s">
        <v>87</v>
      </c>
      <c r="E6" s="8" t="s">
        <v>73</v>
      </c>
      <c r="F6" s="8"/>
      <c r="G6" s="8" t="s">
        <v>88</v>
      </c>
      <c r="H6" s="8" t="s">
        <v>89</v>
      </c>
      <c r="I6" s="8" t="s">
        <v>832</v>
      </c>
      <c r="J6" s="87">
        <v>1</v>
      </c>
      <c r="K6" s="8" t="s">
        <v>90</v>
      </c>
      <c r="L6" s="96" t="s">
        <v>91</v>
      </c>
    </row>
    <row r="7" spans="1:12" ht="30.1" customHeight="1" x14ac:dyDescent="0.25">
      <c r="A7" s="155">
        <v>6</v>
      </c>
      <c r="B7" s="145" t="s">
        <v>92</v>
      </c>
      <c r="C7" s="9" t="s">
        <v>93</v>
      </c>
      <c r="D7" s="9" t="s">
        <v>94</v>
      </c>
      <c r="E7" s="9" t="s">
        <v>95</v>
      </c>
      <c r="F7" s="137" t="s">
        <v>957</v>
      </c>
      <c r="G7" s="9">
        <v>12</v>
      </c>
      <c r="H7" s="9" t="s">
        <v>22</v>
      </c>
      <c r="I7" s="9" t="s">
        <v>96</v>
      </c>
      <c r="J7" s="86">
        <v>1</v>
      </c>
      <c r="K7" s="96"/>
      <c r="L7" s="96"/>
    </row>
    <row r="8" spans="1:12" ht="30.1" customHeight="1" x14ac:dyDescent="0.25">
      <c r="A8" s="155">
        <v>7</v>
      </c>
      <c r="B8" s="145" t="s">
        <v>97</v>
      </c>
      <c r="C8" s="9" t="s">
        <v>98</v>
      </c>
      <c r="D8" s="9" t="s">
        <v>72</v>
      </c>
      <c r="E8" s="9" t="s">
        <v>73</v>
      </c>
      <c r="F8" s="9" t="s">
        <v>958</v>
      </c>
      <c r="G8" s="9" t="s">
        <v>244</v>
      </c>
      <c r="H8" s="9" t="s">
        <v>121</v>
      </c>
      <c r="I8" s="9" t="s">
        <v>832</v>
      </c>
      <c r="J8" s="86">
        <v>1</v>
      </c>
      <c r="K8" s="96"/>
      <c r="L8" s="96"/>
    </row>
    <row r="9" spans="1:12" ht="30.1" customHeight="1" x14ac:dyDescent="0.25">
      <c r="A9" s="155">
        <v>8</v>
      </c>
      <c r="B9" s="145" t="s">
        <v>245</v>
      </c>
      <c r="C9" s="9" t="s">
        <v>99</v>
      </c>
      <c r="D9" s="9" t="s">
        <v>100</v>
      </c>
      <c r="E9" s="9" t="s">
        <v>101</v>
      </c>
      <c r="F9" s="9"/>
      <c r="G9" s="9">
        <v>30</v>
      </c>
      <c r="H9" s="9" t="s">
        <v>22</v>
      </c>
      <c r="I9" s="9" t="s">
        <v>102</v>
      </c>
      <c r="J9" s="86">
        <v>30</v>
      </c>
      <c r="K9" s="96" t="s">
        <v>103</v>
      </c>
      <c r="L9" s="96"/>
    </row>
    <row r="10" spans="1:12" ht="30.1" customHeight="1" x14ac:dyDescent="0.25">
      <c r="A10" s="155">
        <v>9</v>
      </c>
      <c r="B10" s="145" t="s">
        <v>246</v>
      </c>
      <c r="C10" s="9" t="s">
        <v>247</v>
      </c>
      <c r="D10" s="9" t="s">
        <v>100</v>
      </c>
      <c r="E10" s="9" t="s">
        <v>156</v>
      </c>
      <c r="F10" s="9"/>
      <c r="G10" s="9">
        <v>12</v>
      </c>
      <c r="H10" s="9" t="s">
        <v>22</v>
      </c>
      <c r="I10" s="9" t="s">
        <v>248</v>
      </c>
      <c r="J10" s="86">
        <v>25</v>
      </c>
      <c r="K10" s="96"/>
      <c r="L10" s="116" t="s">
        <v>972</v>
      </c>
    </row>
    <row r="11" spans="1:12" ht="40.6" customHeight="1" x14ac:dyDescent="0.25">
      <c r="A11" s="155">
        <v>10</v>
      </c>
      <c r="B11" s="148" t="s">
        <v>789</v>
      </c>
      <c r="C11" s="102" t="s">
        <v>790</v>
      </c>
      <c r="D11" s="102" t="s">
        <v>100</v>
      </c>
      <c r="E11" s="102" t="s">
        <v>167</v>
      </c>
      <c r="F11" s="102"/>
      <c r="G11" s="102">
        <v>12</v>
      </c>
      <c r="H11" s="102" t="s">
        <v>791</v>
      </c>
      <c r="I11" s="102" t="s">
        <v>792</v>
      </c>
      <c r="J11" s="103">
        <v>1</v>
      </c>
      <c r="K11" s="102" t="s">
        <v>793</v>
      </c>
      <c r="L11" s="102" t="s">
        <v>796</v>
      </c>
    </row>
    <row r="12" spans="1:12" s="79" customFormat="1" ht="30.1" customHeight="1" x14ac:dyDescent="0.25">
      <c r="A12" s="155">
        <v>11</v>
      </c>
      <c r="B12" s="145" t="s">
        <v>104</v>
      </c>
      <c r="C12" s="9" t="s">
        <v>105</v>
      </c>
      <c r="D12" s="9" t="s">
        <v>100</v>
      </c>
      <c r="E12" s="9" t="s">
        <v>106</v>
      </c>
      <c r="F12" s="9">
        <v>3106613592</v>
      </c>
      <c r="G12" s="9" t="s">
        <v>912</v>
      </c>
      <c r="H12" s="9" t="s">
        <v>82</v>
      </c>
      <c r="I12" s="9" t="s">
        <v>832</v>
      </c>
      <c r="J12" s="86">
        <v>17</v>
      </c>
      <c r="K12" s="9" t="s">
        <v>107</v>
      </c>
      <c r="L12" s="9"/>
    </row>
    <row r="13" spans="1:12" ht="30.1" customHeight="1" x14ac:dyDescent="0.25">
      <c r="A13" s="155">
        <v>12</v>
      </c>
      <c r="B13" s="145" t="s">
        <v>108</v>
      </c>
      <c r="C13" s="9" t="s">
        <v>109</v>
      </c>
      <c r="D13" s="9" t="s">
        <v>100</v>
      </c>
      <c r="E13" s="9" t="s">
        <v>110</v>
      </c>
      <c r="F13" s="137">
        <v>3207108880</v>
      </c>
      <c r="G13" s="9" t="s">
        <v>111</v>
      </c>
      <c r="H13" s="9" t="s">
        <v>112</v>
      </c>
      <c r="I13" s="9" t="s">
        <v>113</v>
      </c>
      <c r="J13" s="86">
        <v>9</v>
      </c>
      <c r="K13" s="194" t="s">
        <v>1025</v>
      </c>
      <c r="L13" s="96"/>
    </row>
    <row r="14" spans="1:12" ht="30.1" customHeight="1" x14ac:dyDescent="0.25">
      <c r="A14" s="155">
        <v>13</v>
      </c>
      <c r="B14" s="145" t="s">
        <v>114</v>
      </c>
      <c r="C14" s="9" t="s">
        <v>115</v>
      </c>
      <c r="D14" s="9" t="s">
        <v>100</v>
      </c>
      <c r="E14" s="9" t="s">
        <v>73</v>
      </c>
      <c r="F14" s="137">
        <v>3225970377</v>
      </c>
      <c r="G14" s="115" t="s">
        <v>116</v>
      </c>
      <c r="H14" s="9" t="s">
        <v>117</v>
      </c>
      <c r="I14" s="9" t="s">
        <v>832</v>
      </c>
      <c r="J14" s="86">
        <v>8</v>
      </c>
      <c r="K14" s="9"/>
      <c r="L14" s="96"/>
    </row>
    <row r="15" spans="1:12" ht="43.5" customHeight="1" x14ac:dyDescent="0.25">
      <c r="A15" s="155">
        <v>14</v>
      </c>
      <c r="B15" s="145" t="s">
        <v>118</v>
      </c>
      <c r="C15" s="9" t="s">
        <v>119</v>
      </c>
      <c r="D15" s="9" t="s">
        <v>100</v>
      </c>
      <c r="E15" s="9" t="s">
        <v>120</v>
      </c>
      <c r="F15" s="137">
        <v>3215976449</v>
      </c>
      <c r="G15" s="9">
        <v>30</v>
      </c>
      <c r="H15" s="9" t="s">
        <v>121</v>
      </c>
      <c r="I15" s="9" t="s">
        <v>122</v>
      </c>
      <c r="J15" s="86">
        <v>15</v>
      </c>
      <c r="K15" s="9"/>
      <c r="L15" s="116" t="s">
        <v>971</v>
      </c>
    </row>
    <row r="16" spans="1:12" ht="30.1" customHeight="1" x14ac:dyDescent="0.25">
      <c r="A16" s="155">
        <v>15</v>
      </c>
      <c r="B16" s="145" t="s">
        <v>123</v>
      </c>
      <c r="C16" s="9" t="s">
        <v>124</v>
      </c>
      <c r="D16" s="9" t="s">
        <v>100</v>
      </c>
      <c r="E16" s="9" t="s">
        <v>120</v>
      </c>
      <c r="F16" s="156">
        <v>3106544412</v>
      </c>
      <c r="G16" s="9">
        <v>30</v>
      </c>
      <c r="H16" s="9" t="s">
        <v>22</v>
      </c>
      <c r="I16" s="9" t="s">
        <v>125</v>
      </c>
      <c r="J16" s="86">
        <v>11</v>
      </c>
      <c r="K16" s="9"/>
      <c r="L16" s="96"/>
    </row>
    <row r="17" spans="1:12" ht="30.1" customHeight="1" x14ac:dyDescent="0.25">
      <c r="A17" s="155">
        <v>16</v>
      </c>
      <c r="B17" s="147" t="s">
        <v>126</v>
      </c>
      <c r="C17" s="8" t="s">
        <v>127</v>
      </c>
      <c r="D17" s="8" t="s">
        <v>100</v>
      </c>
      <c r="E17" s="8" t="s">
        <v>128</v>
      </c>
      <c r="F17" s="156">
        <v>3004931017</v>
      </c>
      <c r="G17" s="8">
        <v>30</v>
      </c>
      <c r="H17" s="8" t="s">
        <v>22</v>
      </c>
      <c r="I17" s="8" t="s">
        <v>243</v>
      </c>
      <c r="J17" s="87">
        <v>10</v>
      </c>
      <c r="K17" s="8" t="s">
        <v>130</v>
      </c>
      <c r="L17" s="96"/>
    </row>
    <row r="18" spans="1:12" ht="30.1" customHeight="1" x14ac:dyDescent="0.25">
      <c r="A18" s="155">
        <v>17</v>
      </c>
      <c r="B18" s="145" t="s">
        <v>131</v>
      </c>
      <c r="C18" s="9" t="s">
        <v>132</v>
      </c>
      <c r="D18" s="9" t="s">
        <v>100</v>
      </c>
      <c r="E18" s="9" t="s">
        <v>106</v>
      </c>
      <c r="F18" s="156"/>
      <c r="G18" s="9" t="s">
        <v>133</v>
      </c>
      <c r="H18" s="9" t="s">
        <v>134</v>
      </c>
      <c r="I18" s="9" t="s">
        <v>135</v>
      </c>
      <c r="J18" s="86">
        <v>16</v>
      </c>
      <c r="K18" s="9"/>
      <c r="L18" s="96"/>
    </row>
    <row r="19" spans="1:12" ht="30.1" customHeight="1" x14ac:dyDescent="0.25">
      <c r="A19" s="155">
        <v>18</v>
      </c>
      <c r="B19" s="145" t="s">
        <v>136</v>
      </c>
      <c r="C19" s="9" t="s">
        <v>137</v>
      </c>
      <c r="D19" s="9" t="s">
        <v>100</v>
      </c>
      <c r="E19" s="9" t="s">
        <v>73</v>
      </c>
      <c r="F19" s="138">
        <v>3219822937</v>
      </c>
      <c r="G19" s="9" t="s">
        <v>138</v>
      </c>
      <c r="H19" s="9" t="s">
        <v>139</v>
      </c>
      <c r="I19" s="9" t="s">
        <v>832</v>
      </c>
      <c r="J19" s="86">
        <v>5</v>
      </c>
      <c r="K19" s="9"/>
      <c r="L19" s="96"/>
    </row>
    <row r="20" spans="1:12" ht="30.1" customHeight="1" x14ac:dyDescent="0.25">
      <c r="A20" s="155">
        <v>19</v>
      </c>
      <c r="B20" s="145" t="s">
        <v>140</v>
      </c>
      <c r="C20" s="9" t="s">
        <v>141</v>
      </c>
      <c r="D20" s="9" t="s">
        <v>100</v>
      </c>
      <c r="E20" s="9" t="s">
        <v>106</v>
      </c>
      <c r="F20" s="9"/>
      <c r="G20" s="9" t="s">
        <v>833</v>
      </c>
      <c r="H20" s="9"/>
      <c r="I20" s="9" t="s">
        <v>832</v>
      </c>
      <c r="J20" s="86">
        <v>4</v>
      </c>
      <c r="K20" s="9" t="s">
        <v>142</v>
      </c>
      <c r="L20" s="96"/>
    </row>
    <row r="21" spans="1:12" ht="41.3" customHeight="1" x14ac:dyDescent="0.25">
      <c r="A21" s="155">
        <v>20</v>
      </c>
      <c r="B21" s="145" t="s">
        <v>143</v>
      </c>
      <c r="C21" s="9" t="s">
        <v>144</v>
      </c>
      <c r="D21" s="9" t="s">
        <v>29</v>
      </c>
      <c r="E21" s="9" t="s">
        <v>145</v>
      </c>
      <c r="F21" s="139" t="s">
        <v>959</v>
      </c>
      <c r="G21" s="9">
        <v>20</v>
      </c>
      <c r="H21" s="9" t="s">
        <v>22</v>
      </c>
      <c r="I21" s="96" t="s">
        <v>40</v>
      </c>
      <c r="J21" s="104">
        <v>16</v>
      </c>
      <c r="K21" s="96" t="s">
        <v>1013</v>
      </c>
      <c r="L21" s="116" t="s">
        <v>917</v>
      </c>
    </row>
    <row r="22" spans="1:12" ht="41.3" customHeight="1" x14ac:dyDescent="0.25">
      <c r="A22" s="710">
        <v>21</v>
      </c>
      <c r="B22" s="712" t="s">
        <v>146</v>
      </c>
      <c r="C22" s="712" t="s">
        <v>147</v>
      </c>
      <c r="D22" s="712" t="s">
        <v>29</v>
      </c>
      <c r="E22" s="712" t="s">
        <v>145</v>
      </c>
      <c r="F22" s="714" t="s">
        <v>960</v>
      </c>
      <c r="G22" s="9">
        <v>1</v>
      </c>
      <c r="H22" s="9" t="s">
        <v>1004</v>
      </c>
      <c r="I22" s="96" t="s">
        <v>700</v>
      </c>
      <c r="J22" s="182">
        <v>1</v>
      </c>
      <c r="K22" s="182">
        <v>43304</v>
      </c>
      <c r="L22" s="9"/>
    </row>
    <row r="23" spans="1:12" ht="44.35" customHeight="1" x14ac:dyDescent="0.25">
      <c r="A23" s="711"/>
      <c r="B23" s="713"/>
      <c r="C23" s="713"/>
      <c r="D23" s="713"/>
      <c r="E23" s="713"/>
      <c r="F23" s="714"/>
      <c r="G23" s="8"/>
      <c r="H23" s="8" t="s">
        <v>148</v>
      </c>
      <c r="I23" s="8" t="s">
        <v>40</v>
      </c>
      <c r="J23" s="87">
        <v>15</v>
      </c>
      <c r="K23" s="96" t="s">
        <v>1013</v>
      </c>
      <c r="L23" s="116" t="s">
        <v>1017</v>
      </c>
    </row>
    <row r="24" spans="1:12" ht="43.5" customHeight="1" x14ac:dyDescent="0.25">
      <c r="A24" s="155">
        <v>22</v>
      </c>
      <c r="B24" s="145" t="s">
        <v>149</v>
      </c>
      <c r="C24" s="9" t="s">
        <v>150</v>
      </c>
      <c r="D24" s="9" t="s">
        <v>29</v>
      </c>
      <c r="E24" s="9" t="s">
        <v>73</v>
      </c>
      <c r="F24" s="138" t="s">
        <v>961</v>
      </c>
      <c r="G24" s="9" t="s">
        <v>151</v>
      </c>
      <c r="H24" s="9" t="s">
        <v>152</v>
      </c>
      <c r="I24" s="9" t="s">
        <v>832</v>
      </c>
      <c r="J24" s="86">
        <v>20</v>
      </c>
      <c r="K24" s="96"/>
      <c r="L24" s="96"/>
    </row>
    <row r="25" spans="1:12" ht="45.7" customHeight="1" x14ac:dyDescent="0.25">
      <c r="A25" s="155">
        <v>23</v>
      </c>
      <c r="B25" s="145" t="s">
        <v>153</v>
      </c>
      <c r="C25" s="9" t="s">
        <v>154</v>
      </c>
      <c r="D25" s="9" t="s">
        <v>155</v>
      </c>
      <c r="E25" s="9" t="s">
        <v>95</v>
      </c>
      <c r="F25" s="9">
        <v>3214483439</v>
      </c>
      <c r="G25" s="9">
        <v>30</v>
      </c>
      <c r="H25" s="9" t="s">
        <v>22</v>
      </c>
      <c r="I25" s="9" t="s">
        <v>96</v>
      </c>
      <c r="J25" s="86">
        <v>23</v>
      </c>
      <c r="K25" s="96" t="s">
        <v>230</v>
      </c>
      <c r="L25" s="116" t="s">
        <v>916</v>
      </c>
    </row>
    <row r="26" spans="1:12" ht="58.6" customHeight="1" x14ac:dyDescent="0.25">
      <c r="A26" s="155">
        <v>24</v>
      </c>
      <c r="B26" s="145" t="s">
        <v>158</v>
      </c>
      <c r="C26" s="9" t="s">
        <v>159</v>
      </c>
      <c r="D26" s="9" t="s">
        <v>18</v>
      </c>
      <c r="E26" s="9" t="s">
        <v>160</v>
      </c>
      <c r="F26" s="140">
        <v>3126882922</v>
      </c>
      <c r="G26" s="9" t="s">
        <v>161</v>
      </c>
      <c r="H26" s="9" t="s">
        <v>162</v>
      </c>
      <c r="I26" s="9" t="s">
        <v>941</v>
      </c>
      <c r="J26" s="86">
        <v>1</v>
      </c>
      <c r="K26" s="9" t="s">
        <v>164</v>
      </c>
      <c r="L26" s="96" t="s">
        <v>942</v>
      </c>
    </row>
    <row r="27" spans="1:12" ht="30.1" customHeight="1" x14ac:dyDescent="0.25">
      <c r="A27" s="155">
        <v>25</v>
      </c>
      <c r="B27" s="145" t="s">
        <v>165</v>
      </c>
      <c r="C27" s="9" t="s">
        <v>166</v>
      </c>
      <c r="D27" s="9" t="s">
        <v>18</v>
      </c>
      <c r="E27" s="9" t="s">
        <v>167</v>
      </c>
      <c r="F27" s="9">
        <v>3008807535</v>
      </c>
      <c r="G27" s="9" t="s">
        <v>168</v>
      </c>
      <c r="H27" s="9" t="s">
        <v>169</v>
      </c>
      <c r="I27" s="9" t="s">
        <v>170</v>
      </c>
      <c r="J27" s="86">
        <v>1</v>
      </c>
      <c r="K27" s="112" t="s">
        <v>171</v>
      </c>
      <c r="L27" s="96"/>
    </row>
    <row r="28" spans="1:12" ht="30.1" customHeight="1" x14ac:dyDescent="0.25">
      <c r="A28" s="155">
        <v>27</v>
      </c>
      <c r="B28" s="145" t="s">
        <v>172</v>
      </c>
      <c r="C28" s="9" t="s">
        <v>173</v>
      </c>
      <c r="D28" s="9" t="s">
        <v>18</v>
      </c>
      <c r="E28" s="9" t="s">
        <v>156</v>
      </c>
      <c r="F28" s="9" t="s">
        <v>962</v>
      </c>
      <c r="G28" s="9" t="s">
        <v>174</v>
      </c>
      <c r="H28" s="9" t="s">
        <v>22</v>
      </c>
      <c r="I28" s="9" t="s">
        <v>157</v>
      </c>
      <c r="J28" s="86">
        <v>1</v>
      </c>
      <c r="K28" s="9" t="s">
        <v>175</v>
      </c>
      <c r="L28" s="96"/>
    </row>
    <row r="29" spans="1:12" ht="30.1" customHeight="1" x14ac:dyDescent="0.25">
      <c r="A29" s="155">
        <v>28</v>
      </c>
      <c r="B29" s="149" t="s">
        <v>176</v>
      </c>
      <c r="C29" s="105" t="s">
        <v>177</v>
      </c>
      <c r="D29" s="105" t="s">
        <v>18</v>
      </c>
      <c r="E29" s="105" t="s">
        <v>156</v>
      </c>
      <c r="F29" s="105" t="s">
        <v>963</v>
      </c>
      <c r="G29" s="105" t="s">
        <v>178</v>
      </c>
      <c r="H29" s="105" t="s">
        <v>179</v>
      </c>
      <c r="I29" s="105" t="s">
        <v>180</v>
      </c>
      <c r="J29" s="106">
        <v>1</v>
      </c>
      <c r="K29" s="9"/>
      <c r="L29" s="96"/>
    </row>
    <row r="30" spans="1:12" ht="30.1" customHeight="1" x14ac:dyDescent="0.25">
      <c r="A30" s="155">
        <v>29</v>
      </c>
      <c r="B30" s="146" t="s">
        <v>181</v>
      </c>
      <c r="C30" s="100" t="s">
        <v>182</v>
      </c>
      <c r="D30" s="100" t="s">
        <v>18</v>
      </c>
      <c r="E30" s="100" t="s">
        <v>95</v>
      </c>
      <c r="F30" s="100" t="s">
        <v>964</v>
      </c>
      <c r="G30" s="100" t="s">
        <v>183</v>
      </c>
      <c r="H30" s="100" t="s">
        <v>139</v>
      </c>
      <c r="I30" s="100" t="s">
        <v>96</v>
      </c>
      <c r="J30" s="101">
        <v>30</v>
      </c>
      <c r="K30" s="9" t="s">
        <v>788</v>
      </c>
      <c r="L30" s="96"/>
    </row>
    <row r="31" spans="1:12" ht="30.1" customHeight="1" x14ac:dyDescent="0.25">
      <c r="A31" s="155">
        <v>30</v>
      </c>
      <c r="B31" s="145" t="s">
        <v>184</v>
      </c>
      <c r="C31" s="9" t="s">
        <v>185</v>
      </c>
      <c r="D31" s="9" t="s">
        <v>18</v>
      </c>
      <c r="E31" s="9" t="s">
        <v>73</v>
      </c>
      <c r="F31" s="9" t="s">
        <v>965</v>
      </c>
      <c r="G31" s="9" t="s">
        <v>186</v>
      </c>
      <c r="H31" s="9" t="s">
        <v>152</v>
      </c>
      <c r="I31" s="9" t="s">
        <v>832</v>
      </c>
      <c r="J31" s="86">
        <v>1</v>
      </c>
      <c r="K31" s="9" t="s">
        <v>187</v>
      </c>
      <c r="L31" s="96" t="s">
        <v>879</v>
      </c>
    </row>
    <row r="32" spans="1:12" ht="30.1" customHeight="1" x14ac:dyDescent="0.25">
      <c r="A32" s="155">
        <v>31</v>
      </c>
      <c r="B32" s="145" t="s">
        <v>188</v>
      </c>
      <c r="C32" s="9" t="s">
        <v>189</v>
      </c>
      <c r="D32" s="9" t="s">
        <v>18</v>
      </c>
      <c r="E32" s="9" t="s">
        <v>73</v>
      </c>
      <c r="F32" s="141">
        <v>3007290035</v>
      </c>
      <c r="G32" s="9">
        <v>30</v>
      </c>
      <c r="H32" s="9" t="s">
        <v>22</v>
      </c>
      <c r="I32" s="9" t="s">
        <v>832</v>
      </c>
      <c r="J32" s="86">
        <v>1</v>
      </c>
      <c r="K32" s="9"/>
      <c r="L32" s="96"/>
    </row>
    <row r="33" spans="1:18" ht="30.1" customHeight="1" x14ac:dyDescent="0.25">
      <c r="A33" s="155">
        <v>32</v>
      </c>
      <c r="B33" s="145" t="s">
        <v>190</v>
      </c>
      <c r="C33" s="9" t="s">
        <v>84</v>
      </c>
      <c r="D33" s="9" t="s">
        <v>18</v>
      </c>
      <c r="E33" s="9" t="s">
        <v>73</v>
      </c>
      <c r="F33" s="142">
        <v>3173214269</v>
      </c>
      <c r="G33" s="9">
        <v>12</v>
      </c>
      <c r="H33" s="9" t="s">
        <v>22</v>
      </c>
      <c r="I33" s="9" t="s">
        <v>832</v>
      </c>
      <c r="J33" s="86" t="s">
        <v>191</v>
      </c>
      <c r="K33" s="9" t="s">
        <v>192</v>
      </c>
      <c r="L33" s="96"/>
    </row>
    <row r="34" spans="1:18" ht="30.1" customHeight="1" x14ac:dyDescent="0.25">
      <c r="A34" s="155">
        <v>33</v>
      </c>
      <c r="B34" s="145" t="s">
        <v>194</v>
      </c>
      <c r="C34" s="9" t="s">
        <v>195</v>
      </c>
      <c r="D34" s="9" t="s">
        <v>196</v>
      </c>
      <c r="E34" s="9" t="s">
        <v>73</v>
      </c>
      <c r="F34" s="9">
        <v>3135152783</v>
      </c>
      <c r="G34" s="9" t="s">
        <v>198</v>
      </c>
      <c r="H34" s="9" t="s">
        <v>199</v>
      </c>
      <c r="I34" s="9" t="s">
        <v>832</v>
      </c>
      <c r="J34" s="86">
        <v>4</v>
      </c>
      <c r="K34" s="9" t="s">
        <v>200</v>
      </c>
      <c r="L34" s="96"/>
    </row>
    <row r="35" spans="1:18" ht="30.1" customHeight="1" x14ac:dyDescent="0.25">
      <c r="A35" s="155">
        <v>34</v>
      </c>
      <c r="B35" s="150" t="s">
        <v>201</v>
      </c>
      <c r="C35" s="9" t="s">
        <v>202</v>
      </c>
      <c r="D35" s="9" t="s">
        <v>196</v>
      </c>
      <c r="E35" s="9" t="s">
        <v>197</v>
      </c>
      <c r="F35" s="9" t="s">
        <v>966</v>
      </c>
      <c r="G35" s="96" t="s">
        <v>203</v>
      </c>
      <c r="H35" s="9" t="s">
        <v>204</v>
      </c>
      <c r="I35" s="9" t="s">
        <v>832</v>
      </c>
      <c r="J35" s="86">
        <v>3</v>
      </c>
      <c r="K35" s="9" t="s">
        <v>205</v>
      </c>
      <c r="L35" s="96"/>
    </row>
    <row r="36" spans="1:18" ht="30.1" customHeight="1" x14ac:dyDescent="0.25">
      <c r="A36" s="155">
        <v>35</v>
      </c>
      <c r="B36" s="147" t="s">
        <v>206</v>
      </c>
      <c r="C36" s="8" t="s">
        <v>207</v>
      </c>
      <c r="D36" s="8" t="s">
        <v>100</v>
      </c>
      <c r="E36" s="8" t="s">
        <v>208</v>
      </c>
      <c r="F36" s="8">
        <v>3184441237</v>
      </c>
      <c r="G36" s="8">
        <v>20</v>
      </c>
      <c r="H36" s="8" t="s">
        <v>22</v>
      </c>
      <c r="I36" s="8" t="s">
        <v>209</v>
      </c>
      <c r="J36" s="87">
        <v>1</v>
      </c>
      <c r="K36" s="8"/>
      <c r="L36" s="9"/>
    </row>
    <row r="37" spans="1:18" ht="66.099999999999994" customHeight="1" x14ac:dyDescent="0.25">
      <c r="A37" s="155">
        <v>36</v>
      </c>
      <c r="B37" s="145" t="s">
        <v>210</v>
      </c>
      <c r="C37" s="9" t="s">
        <v>211</v>
      </c>
      <c r="D37" s="9" t="s">
        <v>29</v>
      </c>
      <c r="E37" s="9" t="s">
        <v>54</v>
      </c>
      <c r="F37" s="141" t="s">
        <v>967</v>
      </c>
      <c r="G37" s="96" t="s">
        <v>1039</v>
      </c>
      <c r="H37" s="9" t="s">
        <v>22</v>
      </c>
      <c r="I37" s="96" t="s">
        <v>1005</v>
      </c>
      <c r="J37" s="86">
        <v>21</v>
      </c>
      <c r="K37" s="96" t="s">
        <v>1040</v>
      </c>
      <c r="L37" s="96"/>
    </row>
    <row r="38" spans="1:18" ht="30.1" customHeight="1" x14ac:dyDescent="0.25">
      <c r="A38" s="155">
        <v>37</v>
      </c>
      <c r="B38" s="145" t="s">
        <v>212</v>
      </c>
      <c r="C38" s="9" t="s">
        <v>42</v>
      </c>
      <c r="D38" s="9" t="s">
        <v>29</v>
      </c>
      <c r="E38" s="9" t="s">
        <v>54</v>
      </c>
      <c r="F38" s="9" t="s">
        <v>968</v>
      </c>
      <c r="G38" s="96">
        <v>12</v>
      </c>
      <c r="H38" s="9" t="s">
        <v>22</v>
      </c>
      <c r="I38" s="96"/>
      <c r="J38" s="86">
        <v>1</v>
      </c>
      <c r="K38" s="96" t="s">
        <v>205</v>
      </c>
      <c r="L38" s="96"/>
    </row>
    <row r="39" spans="1:18" ht="30.1" customHeight="1" x14ac:dyDescent="0.25">
      <c r="A39" s="155">
        <v>38</v>
      </c>
      <c r="B39" s="145" t="s">
        <v>213</v>
      </c>
      <c r="C39" s="9" t="s">
        <v>214</v>
      </c>
      <c r="D39" s="9" t="s">
        <v>29</v>
      </c>
      <c r="E39" s="9" t="s">
        <v>54</v>
      </c>
      <c r="F39" s="9" t="s">
        <v>969</v>
      </c>
      <c r="G39" s="96">
        <v>12</v>
      </c>
      <c r="H39" s="9" t="s">
        <v>22</v>
      </c>
      <c r="I39" s="96"/>
      <c r="J39" s="86">
        <v>1</v>
      </c>
      <c r="K39" s="96" t="s">
        <v>205</v>
      </c>
      <c r="L39" s="96"/>
    </row>
    <row r="40" spans="1:18" ht="30.1" customHeight="1" x14ac:dyDescent="0.25">
      <c r="A40" s="155">
        <v>39</v>
      </c>
      <c r="B40" s="145" t="s">
        <v>215</v>
      </c>
      <c r="C40" s="9" t="s">
        <v>216</v>
      </c>
      <c r="D40" s="9" t="s">
        <v>29</v>
      </c>
      <c r="E40" s="9" t="s">
        <v>73</v>
      </c>
      <c r="F40" s="9">
        <v>3008151227</v>
      </c>
      <c r="G40" s="96">
        <v>12</v>
      </c>
      <c r="H40" s="9" t="s">
        <v>22</v>
      </c>
      <c r="I40" s="96" t="s">
        <v>832</v>
      </c>
      <c r="J40" s="86">
        <v>2</v>
      </c>
      <c r="K40" s="96" t="s">
        <v>205</v>
      </c>
      <c r="L40" s="96"/>
    </row>
    <row r="41" spans="1:18" ht="30.1" customHeight="1" x14ac:dyDescent="0.25">
      <c r="A41" s="155">
        <v>40</v>
      </c>
      <c r="B41" s="145" t="s">
        <v>217</v>
      </c>
      <c r="C41" s="9" t="s">
        <v>218</v>
      </c>
      <c r="D41" s="9" t="s">
        <v>72</v>
      </c>
      <c r="E41" s="9" t="s">
        <v>73</v>
      </c>
      <c r="F41" s="137">
        <v>7850717</v>
      </c>
      <c r="G41" s="9" t="s">
        <v>169</v>
      </c>
      <c r="H41" s="96" t="s">
        <v>219</v>
      </c>
      <c r="I41" s="96" t="s">
        <v>832</v>
      </c>
      <c r="J41" s="86" t="s">
        <v>220</v>
      </c>
      <c r="K41" s="96"/>
      <c r="L41" s="96" t="s">
        <v>889</v>
      </c>
    </row>
    <row r="42" spans="1:18" ht="30.1" customHeight="1" x14ac:dyDescent="0.25">
      <c r="A42" s="195">
        <v>41</v>
      </c>
      <c r="B42" s="145" t="s">
        <v>221</v>
      </c>
      <c r="C42" s="9" t="s">
        <v>222</v>
      </c>
      <c r="D42" s="9" t="s">
        <v>72</v>
      </c>
      <c r="E42" s="9" t="s">
        <v>73</v>
      </c>
      <c r="F42" s="9" t="s">
        <v>973</v>
      </c>
      <c r="G42" s="9" t="s">
        <v>1036</v>
      </c>
      <c r="H42" s="9" t="s">
        <v>1037</v>
      </c>
      <c r="I42" s="9" t="s">
        <v>832</v>
      </c>
      <c r="J42" s="86"/>
      <c r="K42" s="196" t="s">
        <v>1038</v>
      </c>
      <c r="L42" s="96"/>
    </row>
    <row r="43" spans="1:18" ht="52.5" customHeight="1" x14ac:dyDescent="0.25">
      <c r="A43" s="155">
        <v>42</v>
      </c>
      <c r="B43" s="151" t="s">
        <v>223</v>
      </c>
      <c r="C43" s="113" t="s">
        <v>1082</v>
      </c>
      <c r="D43" s="8" t="s">
        <v>100</v>
      </c>
      <c r="E43" s="8" t="s">
        <v>128</v>
      </c>
      <c r="F43" s="8" t="s">
        <v>974</v>
      </c>
      <c r="G43" s="8" t="s">
        <v>950</v>
      </c>
      <c r="H43" s="8" t="s">
        <v>224</v>
      </c>
      <c r="I43" s="8" t="s">
        <v>129</v>
      </c>
      <c r="J43" s="87" t="s">
        <v>225</v>
      </c>
      <c r="K43" s="8" t="s">
        <v>226</v>
      </c>
      <c r="L43" s="116" t="s">
        <v>970</v>
      </c>
    </row>
    <row r="44" spans="1:18" ht="30.1" customHeight="1" x14ac:dyDescent="0.25">
      <c r="A44" s="155">
        <v>43</v>
      </c>
      <c r="B44" s="152" t="s">
        <v>58</v>
      </c>
      <c r="C44" s="21" t="s">
        <v>227</v>
      </c>
      <c r="D44" s="21" t="s">
        <v>18</v>
      </c>
      <c r="E44" s="21" t="s">
        <v>228</v>
      </c>
      <c r="F44" s="141" t="s">
        <v>975</v>
      </c>
      <c r="G44" s="21" t="s">
        <v>22</v>
      </c>
      <c r="H44" s="21">
        <v>12</v>
      </c>
      <c r="I44" s="21" t="s">
        <v>242</v>
      </c>
      <c r="J44" s="107" t="s">
        <v>229</v>
      </c>
      <c r="K44" s="21" t="s">
        <v>794</v>
      </c>
      <c r="L44" s="21"/>
    </row>
    <row r="45" spans="1:18" ht="30.1" customHeight="1" x14ac:dyDescent="0.25">
      <c r="A45" s="155">
        <v>44</v>
      </c>
      <c r="B45" s="153" t="s">
        <v>834</v>
      </c>
      <c r="C45" s="92" t="s">
        <v>835</v>
      </c>
      <c r="D45" s="92"/>
      <c r="E45" s="92" t="s">
        <v>73</v>
      </c>
      <c r="F45" s="92"/>
      <c r="G45" s="92" t="s">
        <v>836</v>
      </c>
      <c r="H45" s="92" t="s">
        <v>837</v>
      </c>
      <c r="I45" s="92" t="s">
        <v>832</v>
      </c>
      <c r="J45" s="108">
        <v>11</v>
      </c>
      <c r="K45" s="92" t="s">
        <v>838</v>
      </c>
      <c r="L45" s="92"/>
    </row>
    <row r="46" spans="1:18" ht="30.1" customHeight="1" x14ac:dyDescent="0.25">
      <c r="A46" s="155">
        <v>45</v>
      </c>
      <c r="B46" s="152" t="s">
        <v>847</v>
      </c>
      <c r="C46" s="21" t="s">
        <v>848</v>
      </c>
      <c r="D46" s="21" t="s">
        <v>100</v>
      </c>
      <c r="E46" s="21" t="s">
        <v>73</v>
      </c>
      <c r="F46" s="21"/>
      <c r="G46" s="21" t="s">
        <v>849</v>
      </c>
      <c r="H46" s="21" t="s">
        <v>850</v>
      </c>
      <c r="I46" s="21" t="s">
        <v>832</v>
      </c>
      <c r="J46" s="107">
        <v>15</v>
      </c>
      <c r="K46" s="21"/>
      <c r="L46" s="21"/>
      <c r="M46" s="114"/>
      <c r="N46" s="114"/>
      <c r="O46" s="114"/>
    </row>
    <row r="47" spans="1:18" s="79" customFormat="1" ht="30.1" customHeight="1" x14ac:dyDescent="0.25">
      <c r="A47" s="155">
        <v>46</v>
      </c>
      <c r="B47" s="154" t="s">
        <v>815</v>
      </c>
      <c r="C47" s="129" t="s">
        <v>366</v>
      </c>
      <c r="D47" s="129" t="s">
        <v>155</v>
      </c>
      <c r="E47" s="129">
        <v>34958357</v>
      </c>
      <c r="F47" s="141" t="s">
        <v>976</v>
      </c>
      <c r="G47" s="129" t="s">
        <v>866</v>
      </c>
      <c r="H47" s="129" t="s">
        <v>867</v>
      </c>
      <c r="I47" s="129" t="s">
        <v>45</v>
      </c>
      <c r="J47" s="109">
        <v>11</v>
      </c>
      <c r="K47" s="90" t="s">
        <v>851</v>
      </c>
      <c r="L47" s="91" t="s">
        <v>868</v>
      </c>
      <c r="M47" s="128"/>
      <c r="N47" s="128"/>
      <c r="O47" s="128"/>
    </row>
    <row r="48" spans="1:18" ht="44.35" customHeight="1" x14ac:dyDescent="0.25">
      <c r="A48" s="155">
        <v>47</v>
      </c>
      <c r="B48" s="129" t="s">
        <v>857</v>
      </c>
      <c r="C48" s="129" t="s">
        <v>858</v>
      </c>
      <c r="D48" s="129" t="s">
        <v>100</v>
      </c>
      <c r="E48" s="129" t="s">
        <v>382</v>
      </c>
      <c r="F48" s="141" t="s">
        <v>977</v>
      </c>
      <c r="G48" s="129" t="s">
        <v>859</v>
      </c>
      <c r="H48" s="129" t="s">
        <v>860</v>
      </c>
      <c r="I48" s="129" t="s">
        <v>385</v>
      </c>
      <c r="J48" s="109">
        <v>14</v>
      </c>
      <c r="K48" s="157" t="s">
        <v>861</v>
      </c>
      <c r="L48" s="130" t="s">
        <v>862</v>
      </c>
      <c r="M48" s="131"/>
      <c r="N48" s="128"/>
      <c r="O48" s="128"/>
      <c r="P48" s="128"/>
      <c r="Q48" s="128"/>
      <c r="R48" s="128"/>
    </row>
    <row r="49" spans="1:18" ht="30.1" customHeight="1" x14ac:dyDescent="0.25">
      <c r="A49" s="155">
        <v>48</v>
      </c>
      <c r="B49" s="21" t="s">
        <v>1068</v>
      </c>
      <c r="C49" s="21" t="s">
        <v>1069</v>
      </c>
      <c r="D49" s="21" t="s">
        <v>18</v>
      </c>
      <c r="E49" s="21" t="s">
        <v>145</v>
      </c>
      <c r="F49" s="21">
        <v>3007763838</v>
      </c>
      <c r="G49" s="21">
        <v>20</v>
      </c>
      <c r="H49" s="21" t="s">
        <v>22</v>
      </c>
      <c r="I49" s="21" t="s">
        <v>915</v>
      </c>
      <c r="J49" s="107">
        <v>22</v>
      </c>
      <c r="K49" s="547" t="s">
        <v>1071</v>
      </c>
      <c r="L49" s="547"/>
      <c r="N49" s="76">
        <v>20</v>
      </c>
      <c r="O49" s="76" t="s">
        <v>22</v>
      </c>
      <c r="P49" s="76" t="s">
        <v>691</v>
      </c>
      <c r="Q49" s="76" t="s">
        <v>1070</v>
      </c>
      <c r="R49" s="548">
        <v>30000</v>
      </c>
    </row>
    <row r="50" spans="1:18" ht="30.1" customHeight="1" x14ac:dyDescent="0.25">
      <c r="A50" s="155">
        <v>49</v>
      </c>
      <c r="B50" s="21"/>
      <c r="C50" s="21"/>
      <c r="D50" s="21"/>
      <c r="E50" s="21"/>
      <c r="F50" s="21"/>
      <c r="G50" s="21"/>
      <c r="H50" s="21"/>
      <c r="I50" s="21"/>
      <c r="J50" s="107"/>
      <c r="K50" s="21"/>
      <c r="L50" s="21"/>
    </row>
    <row r="51" spans="1:18" ht="30.1" customHeight="1" x14ac:dyDescent="0.25">
      <c r="A51" s="155">
        <v>50</v>
      </c>
      <c r="B51" s="21"/>
      <c r="C51" s="21"/>
      <c r="D51" s="21"/>
      <c r="E51" s="21"/>
      <c r="F51" s="21"/>
      <c r="G51" s="21"/>
      <c r="H51" s="21"/>
      <c r="I51" s="21"/>
      <c r="J51" s="107"/>
      <c r="K51" s="21"/>
      <c r="L51" s="21"/>
    </row>
    <row r="52" spans="1:18" ht="30.1" customHeight="1" x14ac:dyDescent="0.25">
      <c r="A52" s="155">
        <v>51</v>
      </c>
      <c r="B52" s="21"/>
      <c r="C52" s="21"/>
      <c r="D52" s="21"/>
      <c r="E52" s="21"/>
      <c r="F52" s="21"/>
      <c r="G52" s="21"/>
      <c r="H52" s="21"/>
      <c r="I52" s="21"/>
      <c r="J52" s="107"/>
      <c r="K52" s="21"/>
      <c r="L52" s="21"/>
    </row>
    <row r="53" spans="1:18" ht="30.1" customHeight="1" x14ac:dyDescent="0.25">
      <c r="B53" s="715" t="s">
        <v>768</v>
      </c>
      <c r="C53" s="715" t="s">
        <v>769</v>
      </c>
      <c r="D53" s="715" t="s">
        <v>28</v>
      </c>
      <c r="E53" s="718">
        <v>78037181</v>
      </c>
      <c r="F53" s="715" t="s">
        <v>43</v>
      </c>
      <c r="G53" s="186"/>
      <c r="H53" s="590" t="s">
        <v>160</v>
      </c>
      <c r="I53" s="721">
        <v>3045339349</v>
      </c>
      <c r="J53" s="724">
        <v>43296</v>
      </c>
      <c r="K53" s="725">
        <v>43297</v>
      </c>
      <c r="L53" s="724">
        <v>43327</v>
      </c>
      <c r="M53" s="59">
        <v>30</v>
      </c>
      <c r="N53" s="189" t="s">
        <v>22</v>
      </c>
      <c r="O53" s="189" t="s">
        <v>163</v>
      </c>
    </row>
    <row r="54" spans="1:18" ht="30.1" customHeight="1" x14ac:dyDescent="0.25">
      <c r="B54" s="716"/>
      <c r="C54" s="716"/>
      <c r="D54" s="716"/>
      <c r="E54" s="719"/>
      <c r="F54" s="716"/>
      <c r="G54" s="188" t="s">
        <v>160</v>
      </c>
      <c r="H54" s="591"/>
      <c r="I54" s="722"/>
      <c r="J54" s="716"/>
      <c r="K54" s="725"/>
      <c r="L54" s="726"/>
      <c r="M54" s="59">
        <v>60</v>
      </c>
      <c r="N54" s="189" t="s">
        <v>25</v>
      </c>
      <c r="O54" s="189" t="s">
        <v>163</v>
      </c>
    </row>
    <row r="55" spans="1:18" ht="30.1" customHeight="1" x14ac:dyDescent="0.25">
      <c r="B55" s="717"/>
      <c r="C55" s="717"/>
      <c r="D55" s="717"/>
      <c r="E55" s="720"/>
      <c r="F55" s="717"/>
      <c r="G55" s="187"/>
      <c r="H55" s="592"/>
      <c r="I55" s="723"/>
      <c r="J55" s="717"/>
      <c r="K55" s="725"/>
      <c r="L55" s="727"/>
      <c r="M55" s="59">
        <v>16</v>
      </c>
      <c r="N55" s="189" t="s">
        <v>24</v>
      </c>
      <c r="O55" s="189" t="s">
        <v>298</v>
      </c>
    </row>
  </sheetData>
  <autoFilter ref="B1:R55"/>
  <mergeCells count="16">
    <mergeCell ref="H53:H55"/>
    <mergeCell ref="I53:I55"/>
    <mergeCell ref="J53:J55"/>
    <mergeCell ref="K53:K55"/>
    <mergeCell ref="L53:L55"/>
    <mergeCell ref="F22:F23"/>
    <mergeCell ref="B53:B55"/>
    <mergeCell ref="C53:C55"/>
    <mergeCell ref="D53:D55"/>
    <mergeCell ref="E53:E55"/>
    <mergeCell ref="F53:F55"/>
    <mergeCell ref="A22:A23"/>
    <mergeCell ref="B22:B23"/>
    <mergeCell ref="C22:C23"/>
    <mergeCell ref="D22:D23"/>
    <mergeCell ref="E22:E2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workbookViewId="0">
      <selection activeCell="D3" sqref="D3"/>
    </sheetView>
  </sheetViews>
  <sheetFormatPr baseColWidth="10" defaultRowHeight="14.3" x14ac:dyDescent="0.25"/>
  <cols>
    <col min="1" max="1" width="7" customWidth="1"/>
    <col min="4" max="4" width="14.875" customWidth="1"/>
    <col min="5" max="5" width="17.375" customWidth="1"/>
    <col min="6" max="6" width="22.625" customWidth="1"/>
    <col min="7" max="7" width="20" bestFit="1" customWidth="1"/>
    <col min="8" max="8" width="13.125" hidden="1" customWidth="1"/>
    <col min="9" max="9" width="9.125" hidden="1" customWidth="1"/>
    <col min="10" max="11" width="4" style="7" bestFit="1" customWidth="1"/>
    <col min="12" max="12" width="4.875" style="7" bestFit="1" customWidth="1"/>
    <col min="13" max="13" width="11.125" style="7" hidden="1" customWidth="1"/>
    <col min="14" max="14" width="7.125" style="7" customWidth="1"/>
    <col min="15" max="19" width="0" hidden="1" customWidth="1"/>
    <col min="20" max="20" width="15.875" hidden="1" customWidth="1"/>
    <col min="21" max="21" width="27.375" customWidth="1"/>
    <col min="22" max="22" width="14.875" customWidth="1"/>
  </cols>
  <sheetData>
    <row r="1" spans="1:22" ht="59.95" x14ac:dyDescent="0.25">
      <c r="A1" s="14" t="s">
        <v>526</v>
      </c>
      <c r="B1" s="15" t="s">
        <v>527</v>
      </c>
      <c r="C1" s="15" t="s">
        <v>528</v>
      </c>
      <c r="D1" s="15" t="s">
        <v>529</v>
      </c>
      <c r="E1" s="15" t="s">
        <v>530</v>
      </c>
      <c r="F1" s="15" t="s">
        <v>531</v>
      </c>
      <c r="G1" s="15" t="s">
        <v>532</v>
      </c>
      <c r="H1" s="15" t="s">
        <v>533</v>
      </c>
      <c r="I1" s="15" t="s">
        <v>534</v>
      </c>
      <c r="J1" s="16" t="s">
        <v>22</v>
      </c>
      <c r="K1" s="16" t="s">
        <v>25</v>
      </c>
      <c r="L1" s="16" t="s">
        <v>24</v>
      </c>
      <c r="M1" s="16" t="s">
        <v>535</v>
      </c>
      <c r="N1" s="16" t="s">
        <v>536</v>
      </c>
      <c r="O1" s="15" t="s">
        <v>537</v>
      </c>
      <c r="P1" s="15" t="s">
        <v>538</v>
      </c>
      <c r="Q1" s="15" t="s">
        <v>539</v>
      </c>
      <c r="R1" s="15" t="s">
        <v>540</v>
      </c>
      <c r="S1" s="15" t="s">
        <v>541</v>
      </c>
      <c r="T1" s="15" t="s">
        <v>542</v>
      </c>
      <c r="U1" s="15" t="s">
        <v>5</v>
      </c>
      <c r="V1" s="15" t="s">
        <v>6</v>
      </c>
    </row>
    <row r="2" spans="1:22" ht="45" x14ac:dyDescent="0.25">
      <c r="A2" s="17">
        <v>1</v>
      </c>
      <c r="B2" s="18" t="s">
        <v>543</v>
      </c>
      <c r="C2" s="17" t="s">
        <v>544</v>
      </c>
      <c r="D2" s="18" t="s">
        <v>545</v>
      </c>
      <c r="E2" s="19">
        <v>1331512</v>
      </c>
      <c r="F2" s="20">
        <v>43225</v>
      </c>
      <c r="G2" s="20">
        <v>43280</v>
      </c>
      <c r="H2" s="2"/>
      <c r="I2" s="2">
        <v>4</v>
      </c>
      <c r="J2" s="21">
        <v>25</v>
      </c>
      <c r="K2" s="21">
        <v>4</v>
      </c>
      <c r="L2" s="21">
        <v>12</v>
      </c>
      <c r="M2" s="21"/>
      <c r="N2" s="63"/>
      <c r="O2" s="22"/>
      <c r="P2" s="22"/>
      <c r="Q2" s="22"/>
      <c r="R2" s="22"/>
      <c r="S2" s="22"/>
      <c r="T2" s="22"/>
      <c r="U2" s="22" t="s">
        <v>546</v>
      </c>
      <c r="V2" s="22" t="s">
        <v>547</v>
      </c>
    </row>
    <row r="3" spans="1:22" ht="45" x14ac:dyDescent="0.25">
      <c r="A3" s="17">
        <v>2</v>
      </c>
      <c r="B3" s="18" t="s">
        <v>548</v>
      </c>
      <c r="C3" s="17" t="s">
        <v>544</v>
      </c>
      <c r="D3" s="18" t="s">
        <v>549</v>
      </c>
      <c r="E3" s="19">
        <v>548535</v>
      </c>
      <c r="F3" s="20">
        <v>43252</v>
      </c>
      <c r="G3" s="20">
        <v>43285</v>
      </c>
      <c r="H3" s="2"/>
      <c r="I3" s="23">
        <v>1</v>
      </c>
      <c r="J3" s="21"/>
      <c r="K3" s="21"/>
      <c r="L3" s="21"/>
      <c r="M3" s="21">
        <v>1</v>
      </c>
      <c r="N3" s="63">
        <v>1</v>
      </c>
      <c r="O3" s="22"/>
      <c r="P3" s="22"/>
      <c r="Q3" s="22"/>
      <c r="R3" s="22"/>
      <c r="S3" s="22"/>
      <c r="T3" s="22"/>
      <c r="U3" s="22" t="s">
        <v>550</v>
      </c>
      <c r="V3" s="22" t="s">
        <v>551</v>
      </c>
    </row>
    <row r="4" spans="1:22" ht="45" x14ac:dyDescent="0.25">
      <c r="A4" s="17">
        <v>3</v>
      </c>
      <c r="B4" s="18" t="s">
        <v>552</v>
      </c>
      <c r="C4" s="17" t="s">
        <v>544</v>
      </c>
      <c r="D4" s="18" t="s">
        <v>553</v>
      </c>
      <c r="E4" s="19">
        <v>342000</v>
      </c>
      <c r="F4" s="20">
        <v>43250</v>
      </c>
      <c r="G4" s="20">
        <v>43280</v>
      </c>
      <c r="H4" s="2"/>
      <c r="I4" s="23">
        <v>1</v>
      </c>
      <c r="J4" s="21">
        <v>12</v>
      </c>
      <c r="K4" s="21"/>
      <c r="L4" s="21"/>
      <c r="M4" s="21"/>
      <c r="N4" s="63"/>
      <c r="O4" s="22"/>
      <c r="P4" s="22"/>
      <c r="Q4" s="22"/>
      <c r="R4" s="22"/>
      <c r="S4" s="22"/>
      <c r="T4" s="22"/>
      <c r="U4" s="22" t="s">
        <v>554</v>
      </c>
      <c r="V4" s="22" t="s">
        <v>555</v>
      </c>
    </row>
    <row r="5" spans="1:22" ht="45" x14ac:dyDescent="0.25">
      <c r="A5" s="17">
        <v>4</v>
      </c>
      <c r="B5" s="18" t="s">
        <v>556</v>
      </c>
      <c r="C5" s="17" t="s">
        <v>544</v>
      </c>
      <c r="D5" s="18" t="s">
        <v>557</v>
      </c>
      <c r="E5" s="19">
        <v>460330</v>
      </c>
      <c r="F5" s="20">
        <v>43252</v>
      </c>
      <c r="G5" s="20">
        <v>43279</v>
      </c>
      <c r="H5" s="2"/>
      <c r="I5" s="2">
        <v>1</v>
      </c>
      <c r="J5" s="21">
        <v>4</v>
      </c>
      <c r="K5" s="21">
        <v>8</v>
      </c>
      <c r="L5" s="21"/>
      <c r="M5" s="21">
        <v>1</v>
      </c>
      <c r="N5" s="63"/>
      <c r="O5" s="22"/>
      <c r="P5" s="22"/>
      <c r="Q5" s="22">
        <v>1</v>
      </c>
      <c r="R5" s="22"/>
      <c r="S5" s="22"/>
      <c r="T5" s="22"/>
      <c r="U5" s="22" t="s">
        <v>558</v>
      </c>
      <c r="V5" s="24">
        <v>7823773</v>
      </c>
    </row>
    <row r="6" spans="1:22" ht="45" x14ac:dyDescent="0.25">
      <c r="A6" s="53">
        <v>5</v>
      </c>
      <c r="B6" s="54" t="s">
        <v>559</v>
      </c>
      <c r="C6" s="53" t="s">
        <v>544</v>
      </c>
      <c r="D6" s="54" t="s">
        <v>560</v>
      </c>
      <c r="E6" s="55">
        <v>835054</v>
      </c>
      <c r="F6" s="56">
        <v>43252</v>
      </c>
      <c r="G6" s="56">
        <v>43294</v>
      </c>
      <c r="H6" s="3"/>
      <c r="I6" s="3">
        <v>1</v>
      </c>
      <c r="J6" s="57"/>
      <c r="K6" s="57">
        <v>8</v>
      </c>
      <c r="L6" s="57">
        <v>8</v>
      </c>
      <c r="M6" s="57"/>
      <c r="N6" s="63">
        <v>1</v>
      </c>
      <c r="O6" s="58"/>
      <c r="P6" s="58"/>
      <c r="Q6" s="58"/>
      <c r="R6" s="58"/>
      <c r="S6" s="58"/>
      <c r="T6" s="58"/>
      <c r="U6" s="58" t="s">
        <v>561</v>
      </c>
      <c r="V6" s="58" t="s">
        <v>562</v>
      </c>
    </row>
    <row r="7" spans="1:22" ht="45" x14ac:dyDescent="0.25">
      <c r="A7" s="17">
        <v>6</v>
      </c>
      <c r="B7" s="18" t="s">
        <v>563</v>
      </c>
      <c r="C7" s="17" t="s">
        <v>544</v>
      </c>
      <c r="D7" s="18" t="s">
        <v>564</v>
      </c>
      <c r="E7" s="19">
        <v>266835</v>
      </c>
      <c r="F7" s="20">
        <v>43257</v>
      </c>
      <c r="G7" s="20">
        <v>43284</v>
      </c>
      <c r="H7" s="2"/>
      <c r="I7" s="23">
        <v>1</v>
      </c>
      <c r="J7" s="21">
        <v>8</v>
      </c>
      <c r="K7" s="21"/>
      <c r="L7" s="21"/>
      <c r="M7" s="21">
        <v>1</v>
      </c>
      <c r="N7" s="63"/>
      <c r="O7" s="22"/>
      <c r="P7" s="22">
        <v>1</v>
      </c>
      <c r="Q7" s="22"/>
      <c r="R7" s="22"/>
      <c r="S7" s="22"/>
      <c r="T7" s="22"/>
      <c r="U7" s="22" t="s">
        <v>565</v>
      </c>
      <c r="V7" s="25" t="s">
        <v>566</v>
      </c>
    </row>
    <row r="8" spans="1:22" ht="45" x14ac:dyDescent="0.25">
      <c r="A8" s="17">
        <v>7</v>
      </c>
      <c r="B8" s="18" t="s">
        <v>567</v>
      </c>
      <c r="C8" s="17" t="s">
        <v>544</v>
      </c>
      <c r="D8" s="18" t="s">
        <v>568</v>
      </c>
      <c r="E8" s="19">
        <v>181084</v>
      </c>
      <c r="F8" s="20">
        <v>43252</v>
      </c>
      <c r="G8" s="20">
        <v>43274</v>
      </c>
      <c r="H8" s="2"/>
      <c r="I8" s="2">
        <v>1</v>
      </c>
      <c r="J8" s="21">
        <v>4</v>
      </c>
      <c r="K8" s="21"/>
      <c r="L8" s="21"/>
      <c r="M8" s="21">
        <v>1</v>
      </c>
      <c r="N8" s="63"/>
      <c r="O8" s="22"/>
      <c r="P8" s="22">
        <v>1</v>
      </c>
      <c r="Q8" s="22">
        <v>1</v>
      </c>
      <c r="R8" s="22"/>
      <c r="S8" s="22"/>
      <c r="T8" s="22"/>
      <c r="U8" s="22" t="s">
        <v>569</v>
      </c>
      <c r="V8" s="25" t="s">
        <v>570</v>
      </c>
    </row>
    <row r="9" spans="1:22" ht="45" x14ac:dyDescent="0.25">
      <c r="A9" s="17">
        <v>8</v>
      </c>
      <c r="B9" s="18" t="s">
        <v>571</v>
      </c>
      <c r="C9" s="17" t="s">
        <v>544</v>
      </c>
      <c r="D9" s="18" t="s">
        <v>572</v>
      </c>
      <c r="E9" s="19">
        <v>306089</v>
      </c>
      <c r="F9" s="20">
        <v>43249</v>
      </c>
      <c r="G9" s="20">
        <v>43273</v>
      </c>
      <c r="H9" s="2"/>
      <c r="I9" s="2">
        <v>1</v>
      </c>
      <c r="J9" s="21">
        <v>8</v>
      </c>
      <c r="K9" s="21"/>
      <c r="L9" s="21"/>
      <c r="M9" s="21">
        <v>1</v>
      </c>
      <c r="N9" s="63"/>
      <c r="O9" s="22"/>
      <c r="P9" s="22"/>
      <c r="Q9" s="22"/>
      <c r="R9" s="22"/>
      <c r="S9" s="22"/>
      <c r="T9" s="22"/>
      <c r="U9" s="22" t="s">
        <v>573</v>
      </c>
      <c r="V9" s="25" t="s">
        <v>574</v>
      </c>
    </row>
    <row r="10" spans="1:22" ht="69.3" x14ac:dyDescent="0.25">
      <c r="A10" s="17">
        <v>9</v>
      </c>
      <c r="B10" s="18" t="s">
        <v>575</v>
      </c>
      <c r="C10" s="17" t="s">
        <v>544</v>
      </c>
      <c r="D10" s="18" t="s">
        <v>576</v>
      </c>
      <c r="E10" s="19">
        <v>8286992</v>
      </c>
      <c r="F10" s="20">
        <v>43252</v>
      </c>
      <c r="G10" s="20">
        <v>43282</v>
      </c>
      <c r="H10" s="2">
        <v>24</v>
      </c>
      <c r="I10" s="2">
        <v>4</v>
      </c>
      <c r="J10" s="21">
        <v>12</v>
      </c>
      <c r="K10" s="21">
        <v>24</v>
      </c>
      <c r="L10" s="21">
        <v>4</v>
      </c>
      <c r="M10" s="21"/>
      <c r="N10" s="63"/>
      <c r="O10" s="22"/>
      <c r="P10" s="22">
        <v>1</v>
      </c>
      <c r="Q10" s="22"/>
      <c r="R10" s="22">
        <v>120</v>
      </c>
      <c r="S10" s="22"/>
      <c r="T10" s="22"/>
      <c r="U10" s="22" t="s">
        <v>577</v>
      </c>
      <c r="V10" s="25" t="s">
        <v>578</v>
      </c>
    </row>
    <row r="11" spans="1:22" ht="57.75" x14ac:dyDescent="0.25">
      <c r="A11" s="17">
        <v>10</v>
      </c>
      <c r="B11" s="18" t="s">
        <v>579</v>
      </c>
      <c r="C11" s="17" t="s">
        <v>544</v>
      </c>
      <c r="D11" s="18" t="s">
        <v>580</v>
      </c>
      <c r="E11" s="19">
        <v>4224316</v>
      </c>
      <c r="F11" s="20">
        <v>43252</v>
      </c>
      <c r="G11" s="20">
        <v>43281</v>
      </c>
      <c r="H11" s="2">
        <v>12</v>
      </c>
      <c r="I11" s="2">
        <v>4</v>
      </c>
      <c r="J11" s="21">
        <v>8</v>
      </c>
      <c r="K11" s="21">
        <v>10</v>
      </c>
      <c r="L11" s="21"/>
      <c r="M11" s="21"/>
      <c r="N11" s="63"/>
      <c r="O11" s="22"/>
      <c r="P11" s="22">
        <v>1</v>
      </c>
      <c r="Q11" s="22"/>
      <c r="R11" s="22">
        <v>90</v>
      </c>
      <c r="S11" s="22"/>
      <c r="T11" s="22"/>
      <c r="U11" s="22" t="s">
        <v>581</v>
      </c>
      <c r="V11" s="25" t="s">
        <v>582</v>
      </c>
    </row>
    <row r="12" spans="1:22" ht="46.2" x14ac:dyDescent="0.25">
      <c r="A12" s="17">
        <v>11</v>
      </c>
      <c r="B12" s="18" t="s">
        <v>583</v>
      </c>
      <c r="C12" s="17" t="s">
        <v>544</v>
      </c>
      <c r="D12" s="18" t="s">
        <v>584</v>
      </c>
      <c r="E12" s="19">
        <v>256500</v>
      </c>
      <c r="F12" s="20">
        <v>43244</v>
      </c>
      <c r="G12" s="20">
        <v>43277</v>
      </c>
      <c r="H12" s="2"/>
      <c r="I12" s="2"/>
      <c r="J12" s="21">
        <v>9</v>
      </c>
      <c r="K12" s="21"/>
      <c r="L12" s="21"/>
      <c r="M12" s="21"/>
      <c r="N12" s="63"/>
      <c r="O12" s="22"/>
      <c r="P12" s="22"/>
      <c r="Q12" s="22"/>
      <c r="R12" s="22"/>
      <c r="S12" s="22"/>
      <c r="T12" s="22"/>
      <c r="U12" s="22" t="s">
        <v>585</v>
      </c>
      <c r="V12" s="25" t="s">
        <v>586</v>
      </c>
    </row>
    <row r="13" spans="1:22" ht="46.2" x14ac:dyDescent="0.25">
      <c r="A13" s="17">
        <v>12</v>
      </c>
      <c r="B13" s="18" t="s">
        <v>587</v>
      </c>
      <c r="C13" s="17" t="s">
        <v>544</v>
      </c>
      <c r="D13" s="18" t="s">
        <v>588</v>
      </c>
      <c r="E13" s="19">
        <v>339800</v>
      </c>
      <c r="F13" s="20">
        <v>43252</v>
      </c>
      <c r="G13" s="20">
        <v>43277</v>
      </c>
      <c r="H13" s="2"/>
      <c r="I13" s="23">
        <v>1</v>
      </c>
      <c r="J13" s="21"/>
      <c r="K13" s="21"/>
      <c r="L13" s="21"/>
      <c r="M13" s="21"/>
      <c r="N13" s="63">
        <v>8</v>
      </c>
      <c r="O13" s="22"/>
      <c r="P13" s="22"/>
      <c r="Q13" s="22"/>
      <c r="R13" s="22"/>
      <c r="S13" s="22"/>
      <c r="T13" s="22"/>
      <c r="U13" s="22" t="s">
        <v>589</v>
      </c>
      <c r="V13" s="25" t="s">
        <v>590</v>
      </c>
    </row>
    <row r="14" spans="1:22" ht="69.3" x14ac:dyDescent="0.25">
      <c r="A14" s="17">
        <v>15</v>
      </c>
      <c r="B14" s="18" t="s">
        <v>591</v>
      </c>
      <c r="C14" s="17" t="s">
        <v>592</v>
      </c>
      <c r="D14" s="18" t="s">
        <v>593</v>
      </c>
      <c r="E14" s="19">
        <v>4843540</v>
      </c>
      <c r="F14" s="20">
        <v>43252</v>
      </c>
      <c r="G14" s="20">
        <v>43281</v>
      </c>
      <c r="H14" s="2">
        <v>12</v>
      </c>
      <c r="I14" s="2">
        <v>4</v>
      </c>
      <c r="J14" s="21">
        <v>12</v>
      </c>
      <c r="K14" s="21">
        <v>24</v>
      </c>
      <c r="L14" s="21">
        <v>12</v>
      </c>
      <c r="M14" s="21">
        <v>1</v>
      </c>
      <c r="N14" s="63"/>
      <c r="O14" s="22"/>
      <c r="P14" s="22">
        <v>1</v>
      </c>
      <c r="Q14" s="22"/>
      <c r="R14" s="22">
        <v>30</v>
      </c>
      <c r="S14" s="22"/>
      <c r="T14" s="22"/>
      <c r="U14" s="22" t="s">
        <v>594</v>
      </c>
      <c r="V14" s="25" t="s">
        <v>595</v>
      </c>
    </row>
    <row r="15" spans="1:22" ht="69.3" x14ac:dyDescent="0.25">
      <c r="A15" s="17">
        <v>16</v>
      </c>
      <c r="B15" s="18" t="s">
        <v>596</v>
      </c>
      <c r="C15" s="17" t="s">
        <v>592</v>
      </c>
      <c r="D15" s="18" t="s">
        <v>597</v>
      </c>
      <c r="E15" s="19">
        <v>4391458</v>
      </c>
      <c r="F15" s="20">
        <v>43252</v>
      </c>
      <c r="G15" s="20">
        <v>43281</v>
      </c>
      <c r="H15" s="2">
        <v>12</v>
      </c>
      <c r="I15" s="2">
        <v>2</v>
      </c>
      <c r="J15" s="21">
        <v>12</v>
      </c>
      <c r="K15" s="21">
        <v>12</v>
      </c>
      <c r="L15" s="21">
        <v>8</v>
      </c>
      <c r="M15" s="21"/>
      <c r="N15" s="63"/>
      <c r="O15" s="22"/>
      <c r="P15" s="22">
        <v>1</v>
      </c>
      <c r="Q15" s="22"/>
      <c r="R15" s="22">
        <v>90</v>
      </c>
      <c r="S15" s="22"/>
      <c r="T15" s="22"/>
      <c r="U15" s="22" t="s">
        <v>598</v>
      </c>
      <c r="V15" s="25" t="s">
        <v>599</v>
      </c>
    </row>
    <row r="16" spans="1:22" ht="46.2" x14ac:dyDescent="0.25">
      <c r="A16" s="17">
        <v>17</v>
      </c>
      <c r="B16" s="18" t="s">
        <v>600</v>
      </c>
      <c r="C16" s="17" t="s">
        <v>592</v>
      </c>
      <c r="D16" s="18" t="s">
        <v>601</v>
      </c>
      <c r="E16" s="19">
        <v>6403182</v>
      </c>
      <c r="F16" s="20">
        <v>43252</v>
      </c>
      <c r="G16" s="20">
        <v>43282</v>
      </c>
      <c r="H16" s="2">
        <v>24</v>
      </c>
      <c r="I16" s="2">
        <v>2</v>
      </c>
      <c r="J16" s="21"/>
      <c r="K16" s="21"/>
      <c r="L16" s="21"/>
      <c r="M16" s="21">
        <v>1</v>
      </c>
      <c r="N16" s="63"/>
      <c r="O16" s="22"/>
      <c r="P16" s="22">
        <v>1</v>
      </c>
      <c r="Q16" s="22"/>
      <c r="R16" s="22"/>
      <c r="S16" s="22"/>
      <c r="T16" s="22"/>
      <c r="U16" s="22" t="s">
        <v>602</v>
      </c>
      <c r="V16" s="22">
        <v>3008775742</v>
      </c>
    </row>
    <row r="17" spans="1:22" ht="80.849999999999994" x14ac:dyDescent="0.25">
      <c r="A17" s="17">
        <v>18</v>
      </c>
      <c r="B17" s="18" t="s">
        <v>603</v>
      </c>
      <c r="C17" s="17" t="s">
        <v>592</v>
      </c>
      <c r="D17" s="18" t="s">
        <v>604</v>
      </c>
      <c r="E17" s="19">
        <v>12775078</v>
      </c>
      <c r="F17" s="20">
        <v>43252</v>
      </c>
      <c r="G17" s="20">
        <v>43282</v>
      </c>
      <c r="H17" s="2">
        <v>24</v>
      </c>
      <c r="I17" s="2">
        <v>4</v>
      </c>
      <c r="J17" s="21">
        <v>24</v>
      </c>
      <c r="K17" s="21">
        <v>24</v>
      </c>
      <c r="L17" s="21"/>
      <c r="M17" s="21"/>
      <c r="N17" s="63"/>
      <c r="O17" s="22"/>
      <c r="P17" s="22">
        <v>1</v>
      </c>
      <c r="Q17" s="22"/>
      <c r="R17" s="22">
        <v>120</v>
      </c>
      <c r="S17" s="22">
        <v>4</v>
      </c>
      <c r="T17" s="22"/>
      <c r="U17" s="22" t="s">
        <v>605</v>
      </c>
      <c r="V17" s="25" t="s">
        <v>606</v>
      </c>
    </row>
    <row r="18" spans="1:22" ht="69.3" x14ac:dyDescent="0.25">
      <c r="A18" s="17">
        <v>19</v>
      </c>
      <c r="B18" s="18" t="s">
        <v>607</v>
      </c>
      <c r="C18" s="17" t="s">
        <v>592</v>
      </c>
      <c r="D18" s="18" t="s">
        <v>608</v>
      </c>
      <c r="E18" s="19">
        <v>7862936</v>
      </c>
      <c r="F18" s="20">
        <v>43252</v>
      </c>
      <c r="G18" s="20">
        <v>43282</v>
      </c>
      <c r="H18" s="2">
        <v>24</v>
      </c>
      <c r="I18" s="2">
        <v>1</v>
      </c>
      <c r="J18" s="21">
        <v>12</v>
      </c>
      <c r="K18" s="21">
        <v>12</v>
      </c>
      <c r="L18" s="21">
        <v>8</v>
      </c>
      <c r="M18" s="21"/>
      <c r="N18" s="63"/>
      <c r="O18" s="22"/>
      <c r="P18" s="22">
        <v>1</v>
      </c>
      <c r="Q18" s="22"/>
      <c r="R18" s="22">
        <v>90</v>
      </c>
      <c r="S18" s="22"/>
      <c r="T18" s="22"/>
      <c r="U18" s="22" t="s">
        <v>609</v>
      </c>
      <c r="V18" s="25" t="s">
        <v>610</v>
      </c>
    </row>
    <row r="19" spans="1:22" ht="57.75" x14ac:dyDescent="0.25">
      <c r="A19" s="17">
        <v>20</v>
      </c>
      <c r="B19" s="18" t="s">
        <v>611</v>
      </c>
      <c r="C19" s="17" t="s">
        <v>612</v>
      </c>
      <c r="D19" s="18" t="s">
        <v>613</v>
      </c>
      <c r="E19" s="19">
        <v>3472828</v>
      </c>
      <c r="F19" s="20">
        <v>43252</v>
      </c>
      <c r="G19" s="20">
        <v>43281</v>
      </c>
      <c r="H19" s="2">
        <v>12</v>
      </c>
      <c r="I19" s="2">
        <v>1</v>
      </c>
      <c r="J19" s="21">
        <v>12</v>
      </c>
      <c r="K19" s="21">
        <v>12</v>
      </c>
      <c r="L19" s="21"/>
      <c r="M19" s="21">
        <v>1</v>
      </c>
      <c r="N19" s="63"/>
      <c r="O19" s="22"/>
      <c r="P19" s="22">
        <v>1</v>
      </c>
      <c r="Q19" s="22"/>
      <c r="R19" s="22"/>
      <c r="S19" s="22"/>
      <c r="T19" s="22"/>
      <c r="U19" s="22" t="s">
        <v>614</v>
      </c>
      <c r="V19" s="25" t="s">
        <v>615</v>
      </c>
    </row>
    <row r="20" spans="1:22" ht="46.2" x14ac:dyDescent="0.25">
      <c r="A20" s="17">
        <v>21</v>
      </c>
      <c r="B20" s="18" t="s">
        <v>616</v>
      </c>
      <c r="C20" s="17" t="s">
        <v>592</v>
      </c>
      <c r="D20" s="18" t="s">
        <v>617</v>
      </c>
      <c r="E20" s="19">
        <v>2808880</v>
      </c>
      <c r="F20" s="20">
        <v>43252</v>
      </c>
      <c r="G20" s="20">
        <v>43281</v>
      </c>
      <c r="H20" s="2">
        <v>6</v>
      </c>
      <c r="I20" s="2">
        <v>2</v>
      </c>
      <c r="J20" s="21">
        <v>12</v>
      </c>
      <c r="K20" s="21"/>
      <c r="L20" s="21">
        <v>12</v>
      </c>
      <c r="M20" s="21">
        <v>1</v>
      </c>
      <c r="N20" s="63">
        <v>8</v>
      </c>
      <c r="O20" s="22"/>
      <c r="P20" s="22"/>
      <c r="Q20" s="22"/>
      <c r="R20" s="22"/>
      <c r="S20" s="22"/>
      <c r="T20" s="22"/>
      <c r="U20" s="22" t="s">
        <v>618</v>
      </c>
      <c r="V20" s="25" t="s">
        <v>619</v>
      </c>
    </row>
    <row r="21" spans="1:22" ht="46.2" x14ac:dyDescent="0.25">
      <c r="A21" s="17">
        <v>22</v>
      </c>
      <c r="B21" s="18" t="s">
        <v>620</v>
      </c>
      <c r="C21" s="17" t="s">
        <v>592</v>
      </c>
      <c r="D21" s="18" t="s">
        <v>621</v>
      </c>
      <c r="E21" s="19">
        <v>313710</v>
      </c>
      <c r="F21" s="20">
        <v>43252</v>
      </c>
      <c r="G21" s="20">
        <v>43281</v>
      </c>
      <c r="H21" s="2"/>
      <c r="I21" s="23">
        <v>1</v>
      </c>
      <c r="J21" s="21"/>
      <c r="K21" s="21">
        <v>1</v>
      </c>
      <c r="L21" s="21"/>
      <c r="M21" s="21"/>
      <c r="N21" s="63"/>
      <c r="O21" s="22"/>
      <c r="P21" s="22"/>
      <c r="Q21" s="22"/>
      <c r="R21" s="22">
        <v>30</v>
      </c>
      <c r="S21" s="22"/>
      <c r="T21" s="22"/>
      <c r="U21" s="22" t="s">
        <v>622</v>
      </c>
      <c r="V21" s="25" t="s">
        <v>623</v>
      </c>
    </row>
    <row r="22" spans="1:22" ht="57.75" x14ac:dyDescent="0.25">
      <c r="A22" s="17">
        <v>23</v>
      </c>
      <c r="B22" s="18" t="s">
        <v>624</v>
      </c>
      <c r="C22" s="17" t="s">
        <v>612</v>
      </c>
      <c r="D22" s="18" t="s">
        <v>625</v>
      </c>
      <c r="E22" s="19">
        <v>5539800</v>
      </c>
      <c r="F22" s="20">
        <v>43252</v>
      </c>
      <c r="G22" s="20">
        <v>43281</v>
      </c>
      <c r="H22" s="2">
        <v>12</v>
      </c>
      <c r="I22" s="2">
        <v>3</v>
      </c>
      <c r="J22" s="21">
        <v>24</v>
      </c>
      <c r="K22" s="21"/>
      <c r="L22" s="21">
        <v>24</v>
      </c>
      <c r="M22" s="21"/>
      <c r="N22" s="63">
        <v>8</v>
      </c>
      <c r="O22" s="22"/>
      <c r="P22" s="22">
        <v>1</v>
      </c>
      <c r="Q22" s="22"/>
      <c r="R22" s="22"/>
      <c r="S22" s="22"/>
      <c r="T22" s="22"/>
      <c r="U22" s="22" t="s">
        <v>626</v>
      </c>
      <c r="V22" s="25" t="s">
        <v>627</v>
      </c>
    </row>
    <row r="23" spans="1:22" ht="69.3" x14ac:dyDescent="0.25">
      <c r="A23" s="17">
        <v>24</v>
      </c>
      <c r="B23" s="18" t="s">
        <v>628</v>
      </c>
      <c r="C23" s="17" t="s">
        <v>592</v>
      </c>
      <c r="D23" s="18" t="s">
        <v>629</v>
      </c>
      <c r="E23" s="19">
        <v>4126198</v>
      </c>
      <c r="F23" s="20">
        <v>43252</v>
      </c>
      <c r="G23" s="20">
        <v>43281</v>
      </c>
      <c r="H23" s="2">
        <v>12</v>
      </c>
      <c r="I23" s="2">
        <v>2</v>
      </c>
      <c r="J23" s="21">
        <v>12</v>
      </c>
      <c r="K23" s="21">
        <v>4</v>
      </c>
      <c r="L23" s="21">
        <v>12</v>
      </c>
      <c r="M23" s="21"/>
      <c r="N23" s="63"/>
      <c r="O23" s="22"/>
      <c r="P23" s="22">
        <v>1</v>
      </c>
      <c r="Q23" s="22"/>
      <c r="R23" s="22">
        <v>30</v>
      </c>
      <c r="S23" s="22"/>
      <c r="T23" s="22"/>
      <c r="U23" s="22" t="s">
        <v>630</v>
      </c>
      <c r="V23" s="22">
        <v>3014896546</v>
      </c>
    </row>
    <row r="24" spans="1:22" ht="69.3" x14ac:dyDescent="0.25">
      <c r="A24" s="17">
        <v>25</v>
      </c>
      <c r="B24" s="18" t="s">
        <v>631</v>
      </c>
      <c r="C24" s="17" t="s">
        <v>632</v>
      </c>
      <c r="D24" s="18" t="s">
        <v>633</v>
      </c>
      <c r="E24" s="19">
        <v>8537430</v>
      </c>
      <c r="F24" s="20">
        <v>43252</v>
      </c>
      <c r="G24" s="20">
        <v>43282</v>
      </c>
      <c r="H24" s="2">
        <v>24</v>
      </c>
      <c r="I24" s="2">
        <v>4</v>
      </c>
      <c r="J24" s="21">
        <v>12</v>
      </c>
      <c r="K24" s="21">
        <v>12</v>
      </c>
      <c r="L24" s="21">
        <v>8</v>
      </c>
      <c r="M24" s="21"/>
      <c r="N24" s="63"/>
      <c r="O24" s="22"/>
      <c r="P24" s="22">
        <v>1</v>
      </c>
      <c r="Q24" s="22"/>
      <c r="R24" s="22">
        <v>180</v>
      </c>
      <c r="S24" s="22"/>
      <c r="T24" s="22"/>
      <c r="U24" s="22" t="s">
        <v>634</v>
      </c>
      <c r="V24" s="25" t="s">
        <v>635</v>
      </c>
    </row>
    <row r="25" spans="1:22" ht="57.75" x14ac:dyDescent="0.25">
      <c r="A25" s="17">
        <v>26</v>
      </c>
      <c r="B25" s="18" t="s">
        <v>636</v>
      </c>
      <c r="C25" s="17" t="s">
        <v>592</v>
      </c>
      <c r="D25" s="18" t="s">
        <v>637</v>
      </c>
      <c r="E25" s="19">
        <v>3944348</v>
      </c>
      <c r="F25" s="20">
        <v>43252</v>
      </c>
      <c r="G25" s="20">
        <v>43281</v>
      </c>
      <c r="H25" s="2">
        <v>12</v>
      </c>
      <c r="I25" s="2">
        <v>2</v>
      </c>
      <c r="J25" s="21">
        <v>12</v>
      </c>
      <c r="K25" s="21"/>
      <c r="L25" s="21">
        <v>8</v>
      </c>
      <c r="M25" s="21"/>
      <c r="N25" s="63">
        <v>4</v>
      </c>
      <c r="O25" s="22"/>
      <c r="P25" s="22">
        <v>1</v>
      </c>
      <c r="Q25" s="22"/>
      <c r="R25" s="22"/>
      <c r="S25" s="22"/>
      <c r="T25" s="22"/>
      <c r="U25" s="22" t="s">
        <v>638</v>
      </c>
      <c r="V25" s="25" t="s">
        <v>639</v>
      </c>
    </row>
    <row r="26" spans="1:22" ht="69.3" x14ac:dyDescent="0.25">
      <c r="A26" s="17">
        <v>27</v>
      </c>
      <c r="B26" s="18" t="s">
        <v>640</v>
      </c>
      <c r="C26" s="17" t="s">
        <v>592</v>
      </c>
      <c r="D26" s="18" t="s">
        <v>641</v>
      </c>
      <c r="E26" s="19">
        <v>3487692</v>
      </c>
      <c r="F26" s="20">
        <v>43252</v>
      </c>
      <c r="G26" s="20">
        <v>43281</v>
      </c>
      <c r="H26" s="2">
        <v>12</v>
      </c>
      <c r="I26" s="2">
        <v>4</v>
      </c>
      <c r="J26" s="21">
        <v>12</v>
      </c>
      <c r="K26" s="21">
        <v>12</v>
      </c>
      <c r="L26" s="21">
        <v>8</v>
      </c>
      <c r="M26" s="21">
        <v>1</v>
      </c>
      <c r="N26" s="63"/>
      <c r="O26" s="22"/>
      <c r="P26" s="22">
        <v>1</v>
      </c>
      <c r="Q26" s="22"/>
      <c r="R26" s="22">
        <v>60</v>
      </c>
      <c r="S26" s="22"/>
      <c r="T26" s="22"/>
      <c r="U26" s="22" t="s">
        <v>594</v>
      </c>
      <c r="V26" s="25" t="s">
        <v>642</v>
      </c>
    </row>
    <row r="27" spans="1:22" ht="46.2" x14ac:dyDescent="0.25">
      <c r="A27" s="17">
        <v>28</v>
      </c>
      <c r="B27" s="18" t="s">
        <v>643</v>
      </c>
      <c r="C27" s="17" t="s">
        <v>544</v>
      </c>
      <c r="D27" s="18" t="s">
        <v>644</v>
      </c>
      <c r="E27" s="19">
        <v>39254</v>
      </c>
      <c r="F27" s="20">
        <v>43258</v>
      </c>
      <c r="G27" s="20">
        <v>43269</v>
      </c>
      <c r="H27" s="2"/>
      <c r="I27" s="2">
        <v>1</v>
      </c>
      <c r="J27" s="21"/>
      <c r="K27" s="21"/>
      <c r="L27" s="21"/>
      <c r="M27" s="21"/>
      <c r="N27" s="63"/>
      <c r="O27" s="22"/>
      <c r="P27" s="22">
        <v>1</v>
      </c>
      <c r="Q27" s="22"/>
      <c r="R27" s="22"/>
      <c r="S27" s="22"/>
      <c r="T27" s="22"/>
      <c r="U27" s="26" t="s">
        <v>645</v>
      </c>
      <c r="V27" s="22">
        <v>3008402712</v>
      </c>
    </row>
    <row r="28" spans="1:22" ht="46.2" x14ac:dyDescent="0.25">
      <c r="A28" s="17">
        <v>29</v>
      </c>
      <c r="B28" s="18" t="s">
        <v>646</v>
      </c>
      <c r="C28" s="17" t="s">
        <v>592</v>
      </c>
      <c r="D28" s="18" t="s">
        <v>647</v>
      </c>
      <c r="E28" s="19">
        <v>228000</v>
      </c>
      <c r="F28" s="20">
        <v>43270</v>
      </c>
      <c r="G28" s="20">
        <v>43293</v>
      </c>
      <c r="H28" s="2"/>
      <c r="I28" s="23">
        <v>1</v>
      </c>
      <c r="J28" s="21">
        <v>8</v>
      </c>
      <c r="K28" s="21"/>
      <c r="L28" s="21"/>
      <c r="M28" s="21"/>
      <c r="N28" s="63"/>
      <c r="O28" s="22"/>
      <c r="P28" s="22"/>
      <c r="Q28" s="22"/>
      <c r="R28" s="22"/>
      <c r="S28" s="22"/>
      <c r="T28" s="22"/>
      <c r="U28" s="22" t="s">
        <v>648</v>
      </c>
      <c r="V28" s="22">
        <v>3135550508</v>
      </c>
    </row>
    <row r="29" spans="1:22" ht="57.75" x14ac:dyDescent="0.25">
      <c r="A29" s="17">
        <v>30</v>
      </c>
      <c r="B29" s="18" t="s">
        <v>649</v>
      </c>
      <c r="C29" s="17" t="s">
        <v>544</v>
      </c>
      <c r="D29" s="18" t="s">
        <v>650</v>
      </c>
      <c r="E29" s="19">
        <v>1439773</v>
      </c>
      <c r="F29" s="20">
        <v>43246</v>
      </c>
      <c r="G29" s="20">
        <v>43270</v>
      </c>
      <c r="H29" s="2"/>
      <c r="I29" s="2">
        <v>1</v>
      </c>
      <c r="J29" s="21"/>
      <c r="K29" s="21"/>
      <c r="L29" s="21"/>
      <c r="M29" s="21"/>
      <c r="N29" s="63"/>
      <c r="O29" s="27">
        <v>10</v>
      </c>
      <c r="P29" s="22"/>
      <c r="Q29" s="22"/>
      <c r="R29" s="22"/>
      <c r="S29" s="22">
        <v>18</v>
      </c>
      <c r="T29" s="22">
        <v>5</v>
      </c>
      <c r="U29" s="22" t="s">
        <v>651</v>
      </c>
      <c r="V29" s="25" t="s">
        <v>652</v>
      </c>
    </row>
    <row r="30" spans="1:22" ht="57.75" x14ac:dyDescent="0.25">
      <c r="A30" s="17">
        <v>31</v>
      </c>
      <c r="B30" s="18" t="s">
        <v>653</v>
      </c>
      <c r="C30" s="17" t="s">
        <v>544</v>
      </c>
      <c r="D30" s="18" t="s">
        <v>654</v>
      </c>
      <c r="E30" s="19">
        <v>482109</v>
      </c>
      <c r="F30" s="20">
        <v>43251</v>
      </c>
      <c r="G30" s="20">
        <v>43276</v>
      </c>
      <c r="H30" s="2"/>
      <c r="I30" s="23">
        <v>1</v>
      </c>
      <c r="J30" s="21"/>
      <c r="K30" s="21"/>
      <c r="L30" s="21"/>
      <c r="M30" s="21"/>
      <c r="N30" s="63"/>
      <c r="O30" s="22">
        <v>11</v>
      </c>
      <c r="P30" s="22"/>
      <c r="Q30" s="22"/>
      <c r="R30" s="22"/>
      <c r="S30" s="22"/>
      <c r="T30" s="22"/>
      <c r="U30" s="22" t="s">
        <v>655</v>
      </c>
      <c r="V30" s="25" t="s">
        <v>656</v>
      </c>
    </row>
    <row r="31" spans="1:22" ht="46.2" x14ac:dyDescent="0.25">
      <c r="A31" s="17">
        <v>32</v>
      </c>
      <c r="B31" s="18" t="s">
        <v>657</v>
      </c>
      <c r="C31" s="17" t="s">
        <v>544</v>
      </c>
      <c r="D31" s="18" t="s">
        <v>588</v>
      </c>
      <c r="E31" s="19">
        <v>339800</v>
      </c>
      <c r="F31" s="20">
        <v>43260</v>
      </c>
      <c r="G31" s="20">
        <v>43286</v>
      </c>
      <c r="H31" s="2"/>
      <c r="I31" s="23">
        <v>1</v>
      </c>
      <c r="J31" s="21"/>
      <c r="K31" s="21"/>
      <c r="L31" s="21"/>
      <c r="M31" s="21"/>
      <c r="N31" s="63">
        <v>8</v>
      </c>
      <c r="O31" s="22"/>
      <c r="P31" s="22"/>
      <c r="Q31" s="22"/>
      <c r="R31" s="22"/>
      <c r="S31" s="22"/>
      <c r="T31" s="22"/>
      <c r="U31" s="22" t="s">
        <v>658</v>
      </c>
      <c r="V31" s="22">
        <v>3135580474</v>
      </c>
    </row>
    <row r="32" spans="1:22" ht="46.2" x14ac:dyDescent="0.25">
      <c r="A32" s="17">
        <v>33</v>
      </c>
      <c r="B32" s="18" t="s">
        <v>659</v>
      </c>
      <c r="C32" s="17" t="s">
        <v>544</v>
      </c>
      <c r="D32" s="18" t="s">
        <v>660</v>
      </c>
      <c r="E32" s="19">
        <v>228000</v>
      </c>
      <c r="F32" s="20">
        <v>43260</v>
      </c>
      <c r="G32" s="20">
        <v>43286</v>
      </c>
      <c r="H32" s="2"/>
      <c r="I32" s="23">
        <v>1</v>
      </c>
      <c r="J32" s="21"/>
      <c r="K32" s="21"/>
      <c r="L32" s="21">
        <v>8</v>
      </c>
      <c r="M32" s="21"/>
      <c r="N32" s="63"/>
      <c r="O32" s="22"/>
      <c r="P32" s="22">
        <v>1</v>
      </c>
      <c r="Q32" s="22"/>
      <c r="R32" s="22"/>
      <c r="S32" s="22"/>
      <c r="T32" s="22"/>
      <c r="U32" s="22" t="s">
        <v>661</v>
      </c>
      <c r="V32" s="22">
        <v>3007220264</v>
      </c>
    </row>
    <row r="33" spans="1:22" ht="46.2" x14ac:dyDescent="0.25">
      <c r="A33" s="17">
        <v>34</v>
      </c>
      <c r="B33" s="18" t="s">
        <v>662</v>
      </c>
      <c r="C33" s="17" t="s">
        <v>544</v>
      </c>
      <c r="D33" s="18" t="s">
        <v>663</v>
      </c>
      <c r="E33" s="19">
        <v>345830</v>
      </c>
      <c r="F33" s="20">
        <v>43263</v>
      </c>
      <c r="G33" s="20">
        <v>43273</v>
      </c>
      <c r="H33" s="2"/>
      <c r="I33" s="2"/>
      <c r="J33" s="21"/>
      <c r="K33" s="21"/>
      <c r="L33" s="21"/>
      <c r="M33" s="21"/>
      <c r="N33" s="63"/>
      <c r="O33" s="22">
        <v>10</v>
      </c>
      <c r="P33" s="22"/>
      <c r="Q33" s="22"/>
      <c r="R33" s="22"/>
      <c r="S33" s="22">
        <v>10</v>
      </c>
      <c r="T33" s="22">
        <v>10</v>
      </c>
      <c r="U33" s="22" t="s">
        <v>664</v>
      </c>
      <c r="V33" s="22" t="s">
        <v>665</v>
      </c>
    </row>
    <row r="34" spans="1:22" ht="46.2" x14ac:dyDescent="0.25">
      <c r="A34" s="17">
        <v>35</v>
      </c>
      <c r="B34" s="18" t="s">
        <v>543</v>
      </c>
      <c r="C34" s="17" t="s">
        <v>544</v>
      </c>
      <c r="D34" s="18" t="s">
        <v>666</v>
      </c>
      <c r="E34" s="19">
        <v>1309482</v>
      </c>
      <c r="F34" s="20">
        <v>43263</v>
      </c>
      <c r="G34" s="20">
        <v>43285</v>
      </c>
      <c r="H34" s="2"/>
      <c r="I34" s="2"/>
      <c r="J34" s="21">
        <v>18</v>
      </c>
      <c r="K34" s="21">
        <v>18</v>
      </c>
      <c r="L34" s="21">
        <v>9</v>
      </c>
      <c r="M34" s="21"/>
      <c r="N34" s="63"/>
      <c r="O34" s="22"/>
      <c r="P34" s="22"/>
      <c r="Q34" s="22"/>
      <c r="R34" s="22"/>
      <c r="S34" s="22"/>
      <c r="T34" s="22"/>
      <c r="U34" s="22" t="s">
        <v>667</v>
      </c>
      <c r="V34" s="22" t="s">
        <v>668</v>
      </c>
    </row>
    <row r="35" spans="1:22" ht="46.2" x14ac:dyDescent="0.25">
      <c r="A35" s="17">
        <v>36</v>
      </c>
      <c r="B35" s="18" t="s">
        <v>669</v>
      </c>
      <c r="C35" s="17" t="s">
        <v>544</v>
      </c>
      <c r="D35" s="18" t="s">
        <v>670</v>
      </c>
      <c r="E35" s="19">
        <v>312490</v>
      </c>
      <c r="F35" s="20">
        <v>43269</v>
      </c>
      <c r="G35" s="20">
        <v>43287</v>
      </c>
      <c r="H35" s="2"/>
      <c r="I35" s="2"/>
      <c r="J35" s="21"/>
      <c r="K35" s="21"/>
      <c r="L35" s="21"/>
      <c r="M35" s="21"/>
      <c r="N35" s="63"/>
      <c r="O35" s="22">
        <v>12</v>
      </c>
      <c r="P35" s="22"/>
      <c r="Q35" s="22"/>
      <c r="R35" s="22"/>
      <c r="S35" s="22"/>
      <c r="T35" s="22"/>
      <c r="U35" s="22" t="s">
        <v>671</v>
      </c>
      <c r="V35" s="22" t="s">
        <v>672</v>
      </c>
    </row>
    <row r="36" spans="1:22" ht="46.2" x14ac:dyDescent="0.25">
      <c r="A36" s="17">
        <v>37</v>
      </c>
      <c r="B36" s="18" t="s">
        <v>673</v>
      </c>
      <c r="C36" s="17" t="s">
        <v>544</v>
      </c>
      <c r="D36" s="18" t="s">
        <v>674</v>
      </c>
      <c r="E36" s="19">
        <v>78089</v>
      </c>
      <c r="F36" s="20">
        <v>43265</v>
      </c>
      <c r="G36" s="20">
        <v>43272</v>
      </c>
      <c r="H36" s="2"/>
      <c r="I36" s="2">
        <v>1</v>
      </c>
      <c r="J36" s="21"/>
      <c r="K36" s="21"/>
      <c r="L36" s="21"/>
      <c r="M36" s="21">
        <v>1</v>
      </c>
      <c r="N36" s="63"/>
      <c r="O36" s="22"/>
      <c r="P36" s="22"/>
      <c r="Q36" s="22"/>
      <c r="R36" s="22"/>
      <c r="S36" s="22"/>
      <c r="T36" s="22"/>
      <c r="U36" s="22" t="s">
        <v>675</v>
      </c>
      <c r="V36" s="22" t="s">
        <v>676</v>
      </c>
    </row>
    <row r="37" spans="1:22" ht="46.2" x14ac:dyDescent="0.25">
      <c r="A37" s="28">
        <v>38</v>
      </c>
      <c r="B37" s="29" t="s">
        <v>677</v>
      </c>
      <c r="C37" s="28" t="s">
        <v>544</v>
      </c>
      <c r="D37" s="29" t="s">
        <v>678</v>
      </c>
      <c r="E37" s="30">
        <v>39254</v>
      </c>
      <c r="F37" s="31">
        <v>43286</v>
      </c>
      <c r="G37" s="31">
        <v>43286</v>
      </c>
      <c r="H37" s="2"/>
      <c r="I37" s="2">
        <v>1</v>
      </c>
      <c r="J37" s="21"/>
      <c r="K37" s="21"/>
      <c r="L37" s="21"/>
      <c r="M37" s="21"/>
      <c r="N37" s="63"/>
      <c r="O37" s="22"/>
      <c r="P37" s="22"/>
      <c r="Q37" s="22"/>
      <c r="R37" s="22"/>
      <c r="S37" s="22"/>
      <c r="T37" s="22"/>
      <c r="U37" s="22" t="s">
        <v>679</v>
      </c>
      <c r="V37" s="22">
        <v>3205612980</v>
      </c>
    </row>
    <row r="38" spans="1:22" ht="46.2" x14ac:dyDescent="0.25">
      <c r="A38" s="28">
        <v>39</v>
      </c>
      <c r="B38" s="29" t="s">
        <v>680</v>
      </c>
      <c r="C38" s="28" t="s">
        <v>592</v>
      </c>
      <c r="D38" s="29" t="s">
        <v>681</v>
      </c>
      <c r="E38" s="30">
        <v>491752</v>
      </c>
      <c r="F38" s="31">
        <v>43271</v>
      </c>
      <c r="G38" s="31">
        <v>43277</v>
      </c>
      <c r="H38" s="2"/>
      <c r="I38" s="2"/>
      <c r="J38" s="21"/>
      <c r="K38" s="21"/>
      <c r="L38" s="21"/>
      <c r="M38" s="21"/>
      <c r="N38" s="63"/>
      <c r="O38" s="22"/>
      <c r="P38" s="22"/>
      <c r="Q38" s="22"/>
      <c r="R38" s="22"/>
      <c r="S38" s="22"/>
      <c r="T38" s="22">
        <v>6</v>
      </c>
      <c r="U38" s="22" t="s">
        <v>682</v>
      </c>
      <c r="V38" s="22">
        <v>3162549475</v>
      </c>
    </row>
    <row r="39" spans="1:22" ht="34.65" x14ac:dyDescent="0.25">
      <c r="A39" s="28">
        <v>40</v>
      </c>
      <c r="B39" s="29" t="s">
        <v>607</v>
      </c>
      <c r="C39" s="28" t="s">
        <v>592</v>
      </c>
      <c r="D39" s="29" t="s">
        <v>683</v>
      </c>
      <c r="E39" s="30">
        <v>7332</v>
      </c>
      <c r="F39" s="28"/>
      <c r="G39" s="28"/>
      <c r="H39" s="2"/>
      <c r="I39" s="2"/>
      <c r="J39" s="21"/>
      <c r="K39" s="21"/>
      <c r="L39" s="21"/>
      <c r="M39" s="21"/>
      <c r="N39" s="63"/>
      <c r="O39" s="22"/>
      <c r="P39" s="22"/>
      <c r="Q39" s="22"/>
      <c r="R39" s="22"/>
      <c r="S39" s="22"/>
      <c r="T39" s="22">
        <v>7</v>
      </c>
      <c r="U39" s="22" t="s">
        <v>684</v>
      </c>
      <c r="V39" s="22" t="s">
        <v>685</v>
      </c>
    </row>
    <row r="40" spans="1:22" x14ac:dyDescent="0.25">
      <c r="A40" s="17"/>
      <c r="B40" s="18"/>
      <c r="C40" s="17"/>
      <c r="D40" s="18"/>
      <c r="E40" s="19"/>
      <c r="F40" s="20"/>
      <c r="G40" s="20"/>
      <c r="H40" s="2"/>
      <c r="I40" s="2"/>
      <c r="J40" s="32"/>
      <c r="K40" s="32"/>
      <c r="L40" s="32"/>
      <c r="M40" s="32"/>
      <c r="N40" s="13"/>
      <c r="O40" s="2"/>
      <c r="P40" s="2"/>
      <c r="Q40" s="2"/>
      <c r="R40" s="2"/>
      <c r="S40" s="2"/>
      <c r="T40" s="2"/>
    </row>
    <row r="41" spans="1:22" x14ac:dyDescent="0.25">
      <c r="F41" s="33"/>
      <c r="G41" s="33"/>
      <c r="H41" s="34">
        <f>SUM(H2:H36)</f>
        <v>222</v>
      </c>
      <c r="I41" s="34">
        <f t="shared" ref="I41:T41" si="0">SUM(I2:I36)</f>
        <v>59</v>
      </c>
      <c r="J41" s="35">
        <f t="shared" si="0"/>
        <v>272</v>
      </c>
      <c r="K41" s="35">
        <f t="shared" si="0"/>
        <v>185</v>
      </c>
      <c r="L41" s="35">
        <f t="shared" si="0"/>
        <v>141</v>
      </c>
      <c r="M41" s="35">
        <f t="shared" si="0"/>
        <v>11</v>
      </c>
      <c r="N41" s="35">
        <f t="shared" si="0"/>
        <v>38</v>
      </c>
      <c r="O41" s="34">
        <f>SUM(O2:O36)</f>
        <v>43</v>
      </c>
      <c r="P41" s="34">
        <f t="shared" si="0"/>
        <v>17</v>
      </c>
      <c r="Q41" s="34">
        <f t="shared" si="0"/>
        <v>2</v>
      </c>
      <c r="R41" s="34">
        <f t="shared" si="0"/>
        <v>840</v>
      </c>
      <c r="S41" s="34">
        <f t="shared" si="0"/>
        <v>32</v>
      </c>
      <c r="T41" s="34">
        <f t="shared" si="0"/>
        <v>15</v>
      </c>
    </row>
    <row r="42" spans="1:22" s="10" customFormat="1" x14ac:dyDescent="0.25">
      <c r="F42" s="12"/>
      <c r="G42" s="12"/>
      <c r="H42" s="12"/>
      <c r="I42" s="12"/>
      <c r="J42" s="36"/>
      <c r="K42" s="36"/>
      <c r="L42" s="36"/>
      <c r="M42" s="36"/>
      <c r="N42" s="36"/>
      <c r="O42" s="12"/>
      <c r="P42" s="12"/>
      <c r="Q42" s="12"/>
      <c r="R42" s="12"/>
      <c r="S42" s="12"/>
      <c r="T42" s="12"/>
    </row>
    <row r="43" spans="1:22" s="10" customFormat="1" x14ac:dyDescent="0.25">
      <c r="F43" s="12"/>
      <c r="G43" s="12"/>
      <c r="H43" s="12"/>
      <c r="I43" s="12"/>
      <c r="J43" s="36"/>
      <c r="K43" s="36"/>
      <c r="L43" s="36"/>
      <c r="M43" s="36"/>
      <c r="N43" s="36"/>
      <c r="O43" s="12"/>
      <c r="P43" s="12"/>
      <c r="Q43" s="12"/>
      <c r="R43" s="12"/>
      <c r="S43" s="12"/>
      <c r="T43" s="1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D18" sqref="D18"/>
    </sheetView>
  </sheetViews>
  <sheetFormatPr baseColWidth="10" defaultRowHeight="14.3" x14ac:dyDescent="0.25"/>
  <cols>
    <col min="1" max="1" width="18.375" customWidth="1"/>
    <col min="2" max="2" width="21.875" customWidth="1"/>
    <col min="3" max="3" width="7.625" customWidth="1"/>
    <col min="6" max="6" width="23.375" customWidth="1"/>
    <col min="12" max="12" width="17.875" customWidth="1"/>
    <col min="13" max="13" width="18.125" customWidth="1"/>
  </cols>
  <sheetData>
    <row r="1" spans="1:14" ht="14.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4" ht="14.95" customHeight="1" x14ac:dyDescent="0.25">
      <c r="A2" s="43" t="s">
        <v>757</v>
      </c>
      <c r="B2" s="43" t="s">
        <v>758</v>
      </c>
      <c r="C2" s="40" t="s">
        <v>28</v>
      </c>
      <c r="D2" s="43">
        <v>32697886</v>
      </c>
      <c r="E2" s="43" t="s">
        <v>100</v>
      </c>
      <c r="F2" s="51" t="s">
        <v>759</v>
      </c>
      <c r="G2" s="43" t="s">
        <v>760</v>
      </c>
      <c r="H2" s="37">
        <v>43208</v>
      </c>
      <c r="I2" s="38">
        <v>43270</v>
      </c>
      <c r="J2" s="39">
        <v>43299</v>
      </c>
      <c r="K2" s="11">
        <v>30</v>
      </c>
      <c r="L2" s="41" t="s">
        <v>22</v>
      </c>
      <c r="M2" s="42" t="s">
        <v>102</v>
      </c>
    </row>
    <row r="3" spans="1:14" x14ac:dyDescent="0.25">
      <c r="A3" s="47" t="s">
        <v>761</v>
      </c>
      <c r="B3" s="47" t="s">
        <v>762</v>
      </c>
      <c r="C3" s="48" t="s">
        <v>28</v>
      </c>
      <c r="D3" s="49"/>
      <c r="E3" s="49" t="s">
        <v>763</v>
      </c>
      <c r="F3" s="52" t="s">
        <v>734</v>
      </c>
      <c r="G3" s="44" t="s">
        <v>764</v>
      </c>
      <c r="H3" s="46">
        <v>43208</v>
      </c>
      <c r="I3" s="46">
        <v>43213</v>
      </c>
      <c r="J3" s="46">
        <v>43274</v>
      </c>
      <c r="K3" s="44">
        <v>20</v>
      </c>
      <c r="L3" s="44" t="s">
        <v>22</v>
      </c>
      <c r="M3" s="45" t="s">
        <v>102</v>
      </c>
      <c r="N3" s="50" t="s">
        <v>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M4" sqref="M4"/>
    </sheetView>
  </sheetViews>
  <sheetFormatPr baseColWidth="10" defaultRowHeight="14.3" x14ac:dyDescent="0.25"/>
  <cols>
    <col min="1" max="1" width="19.25" customWidth="1"/>
    <col min="2" max="2" width="24.75" customWidth="1"/>
  </cols>
  <sheetData>
    <row r="1" spans="1:16" ht="39.75" customHeight="1" x14ac:dyDescent="0.25">
      <c r="A1" s="159"/>
      <c r="B1" s="159"/>
      <c r="C1" s="160"/>
      <c r="D1" s="161"/>
      <c r="E1" s="161"/>
      <c r="F1" s="161"/>
      <c r="G1" s="161"/>
      <c r="H1" s="161"/>
      <c r="I1" s="162"/>
      <c r="J1" s="162"/>
      <c r="K1" s="162"/>
      <c r="L1" s="159"/>
      <c r="M1" s="161"/>
      <c r="N1" s="159"/>
      <c r="O1" s="159"/>
      <c r="P1" s="163"/>
    </row>
    <row r="2" spans="1:16" ht="45" x14ac:dyDescent="0.25">
      <c r="A2" s="164" t="s">
        <v>978</v>
      </c>
      <c r="B2" s="165" t="s">
        <v>979</v>
      </c>
      <c r="C2" s="166" t="s">
        <v>28</v>
      </c>
      <c r="D2" s="167">
        <v>49689874</v>
      </c>
      <c r="E2" s="167" t="s">
        <v>100</v>
      </c>
      <c r="F2" s="168" t="s">
        <v>980</v>
      </c>
      <c r="G2" s="167">
        <v>3107336187</v>
      </c>
      <c r="H2" s="164"/>
      <c r="I2" s="169">
        <v>43260</v>
      </c>
      <c r="J2" s="169">
        <v>43262</v>
      </c>
      <c r="K2" s="169">
        <v>43281</v>
      </c>
      <c r="L2" s="164"/>
      <c r="M2" s="167">
        <v>15</v>
      </c>
      <c r="N2" s="164" t="s">
        <v>22</v>
      </c>
      <c r="O2" s="164" t="s">
        <v>102</v>
      </c>
    </row>
    <row r="3" spans="1:16" ht="45" x14ac:dyDescent="0.25">
      <c r="A3" s="167" t="s">
        <v>245</v>
      </c>
      <c r="B3" s="165" t="s">
        <v>99</v>
      </c>
      <c r="C3" s="166" t="s">
        <v>28</v>
      </c>
      <c r="D3" s="167"/>
      <c r="E3" s="167" t="s">
        <v>981</v>
      </c>
      <c r="F3" s="168" t="s">
        <v>983</v>
      </c>
      <c r="G3" s="167">
        <v>3205169422</v>
      </c>
      <c r="H3" s="165" t="s">
        <v>982</v>
      </c>
      <c r="I3" s="169">
        <v>43265</v>
      </c>
      <c r="J3" s="169">
        <v>43282</v>
      </c>
      <c r="K3" s="169">
        <v>43311</v>
      </c>
      <c r="L3" s="170">
        <v>43373</v>
      </c>
      <c r="M3" s="167">
        <v>30</v>
      </c>
      <c r="N3" s="164" t="s">
        <v>22</v>
      </c>
      <c r="O3" s="164" t="s">
        <v>102</v>
      </c>
    </row>
    <row r="4" spans="1:16" ht="75.099999999999994" x14ac:dyDescent="0.25">
      <c r="A4" s="208" t="s">
        <v>985</v>
      </c>
      <c r="B4" s="208" t="s">
        <v>986</v>
      </c>
      <c r="C4" s="209" t="s">
        <v>28</v>
      </c>
      <c r="D4" s="208">
        <v>50940510</v>
      </c>
      <c r="E4" s="208" t="s">
        <v>18</v>
      </c>
      <c r="F4" s="210" t="s">
        <v>987</v>
      </c>
      <c r="G4" s="211" t="s">
        <v>988</v>
      </c>
      <c r="H4" s="208"/>
      <c r="I4" s="212">
        <v>43277</v>
      </c>
      <c r="J4" s="212">
        <v>43277</v>
      </c>
      <c r="K4" s="173">
        <v>43307</v>
      </c>
      <c r="L4" s="171"/>
      <c r="M4" s="172" t="s">
        <v>21</v>
      </c>
      <c r="N4" s="171" t="s">
        <v>22</v>
      </c>
      <c r="O4" s="171" t="s">
        <v>96</v>
      </c>
    </row>
    <row r="5" spans="1:16" ht="17.350000000000001" customHeight="1" x14ac:dyDescent="0.25">
      <c r="A5" s="213"/>
      <c r="B5" s="213"/>
      <c r="C5" s="213"/>
      <c r="D5" s="213"/>
      <c r="E5" s="214"/>
      <c r="F5" s="215"/>
      <c r="G5" s="213"/>
      <c r="H5" s="215"/>
      <c r="I5" s="207"/>
      <c r="J5" s="20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workbookViewId="0">
      <selection activeCell="D5" sqref="D5"/>
    </sheetView>
  </sheetViews>
  <sheetFormatPr baseColWidth="10" defaultColWidth="11.375" defaultRowHeight="30.1" customHeight="1" x14ac:dyDescent="0.25"/>
  <cols>
    <col min="1" max="1" width="20.25" style="132" customWidth="1"/>
    <col min="2" max="2" width="23.625" style="132" customWidth="1"/>
    <col min="3" max="3" width="11.375" style="132"/>
    <col min="4" max="4" width="36.125" style="132" customWidth="1"/>
    <col min="5" max="16384" width="11.375" style="132"/>
  </cols>
  <sheetData>
    <row r="1" spans="1:15" ht="30.1" customHeight="1" x14ac:dyDescent="0.25">
      <c r="A1" s="565" t="s">
        <v>402</v>
      </c>
      <c r="B1" s="176" t="s">
        <v>403</v>
      </c>
      <c r="C1" s="563">
        <v>3014095228</v>
      </c>
      <c r="D1" s="206" t="s">
        <v>1078</v>
      </c>
      <c r="E1" s="133" t="s">
        <v>1079</v>
      </c>
      <c r="F1" s="133" t="s">
        <v>1084</v>
      </c>
      <c r="G1" s="729" t="s">
        <v>1083</v>
      </c>
      <c r="H1" s="133"/>
      <c r="I1" s="133"/>
      <c r="J1" s="133"/>
      <c r="K1" s="133"/>
      <c r="L1" s="133"/>
      <c r="M1" s="133"/>
      <c r="N1" s="133"/>
      <c r="O1" s="133"/>
    </row>
    <row r="2" spans="1:15" ht="30.1" customHeight="1" x14ac:dyDescent="0.25">
      <c r="A2" s="564" t="s">
        <v>404</v>
      </c>
      <c r="B2" s="174" t="s">
        <v>405</v>
      </c>
      <c r="C2" s="563">
        <v>3107027557</v>
      </c>
      <c r="D2" s="206" t="s">
        <v>1077</v>
      </c>
      <c r="E2" s="133" t="s">
        <v>1079</v>
      </c>
      <c r="F2" s="133" t="s">
        <v>1084</v>
      </c>
      <c r="G2" s="729"/>
      <c r="H2" s="133"/>
      <c r="I2" s="133"/>
      <c r="J2" s="133"/>
      <c r="K2" s="133"/>
      <c r="L2" s="133"/>
      <c r="M2" s="133"/>
      <c r="N2" s="133"/>
      <c r="O2" s="133"/>
    </row>
    <row r="3" spans="1:15" ht="30.1" customHeight="1" x14ac:dyDescent="0.25">
      <c r="A3" s="564" t="s">
        <v>869</v>
      </c>
      <c r="B3" s="174" t="s">
        <v>870</v>
      </c>
      <c r="C3" s="563">
        <v>3145171025</v>
      </c>
      <c r="D3" s="206"/>
      <c r="E3" s="133" t="s">
        <v>1080</v>
      </c>
      <c r="F3" s="133"/>
      <c r="G3" s="729"/>
      <c r="H3" s="133"/>
      <c r="I3" s="133"/>
      <c r="J3" s="133"/>
      <c r="K3" s="133"/>
      <c r="L3" s="133"/>
      <c r="M3" s="133"/>
      <c r="N3" s="133"/>
      <c r="O3" s="133"/>
    </row>
    <row r="4" spans="1:15" ht="30.1" customHeight="1" x14ac:dyDescent="0.25"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</row>
    <row r="5" spans="1:15" ht="30.1" customHeight="1" x14ac:dyDescent="0.25">
      <c r="A5" s="177"/>
      <c r="B5" s="177"/>
      <c r="C5" s="178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</row>
    <row r="6" spans="1:15" ht="30.1" customHeight="1" x14ac:dyDescent="0.25">
      <c r="A6" s="177"/>
      <c r="B6" s="177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</row>
    <row r="7" spans="1:15" ht="30.1" customHeight="1" x14ac:dyDescent="0.25">
      <c r="A7" s="134"/>
      <c r="B7" s="134"/>
      <c r="C7" s="134"/>
      <c r="D7" s="134"/>
      <c r="E7" s="134"/>
      <c r="F7" s="134"/>
      <c r="G7" s="134"/>
      <c r="H7" s="135"/>
      <c r="I7" s="136"/>
      <c r="J7" s="728"/>
      <c r="K7" s="728"/>
      <c r="L7" s="728"/>
      <c r="M7" s="728"/>
      <c r="N7" s="133"/>
      <c r="O7" s="133"/>
    </row>
    <row r="8" spans="1:15" ht="30.1" customHeight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15" ht="30.1" customHeight="1" x14ac:dyDescent="0.25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</row>
    <row r="10" spans="1:15" ht="30.1" customHeight="1" x14ac:dyDescent="0.25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1" spans="1:15" ht="30.1" customHeight="1" x14ac:dyDescent="0.25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4" spans="1:15" ht="30.1" customHeight="1" x14ac:dyDescent="0.25">
      <c r="A14" s="36"/>
      <c r="B14" s="36"/>
      <c r="C14" s="36"/>
      <c r="D14" s="179"/>
      <c r="E14" s="36"/>
      <c r="F14" s="36"/>
      <c r="G14" s="36"/>
      <c r="H14" s="180"/>
      <c r="I14" s="133"/>
    </row>
    <row r="15" spans="1:15" ht="30.1" customHeight="1" x14ac:dyDescent="0.25">
      <c r="A15" s="133"/>
      <c r="B15" s="133"/>
      <c r="C15" s="133"/>
      <c r="D15" s="133"/>
      <c r="E15" s="133"/>
      <c r="F15" s="133"/>
      <c r="G15" s="133"/>
      <c r="H15" s="133"/>
      <c r="I15" s="133"/>
    </row>
  </sheetData>
  <mergeCells count="2">
    <mergeCell ref="J7:M7"/>
    <mergeCell ref="G1:G3"/>
  </mergeCells>
  <pageMargins left="0.7" right="0.7" top="0.75" bottom="0.75" header="0.3" footer="0.3"/>
  <pageSetup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O2" sqref="O2"/>
    </sheetView>
  </sheetViews>
  <sheetFormatPr baseColWidth="10" defaultColWidth="11.375" defaultRowHeight="14.3" x14ac:dyDescent="0.25"/>
  <cols>
    <col min="1" max="1" width="11.375" style="132"/>
    <col min="2" max="2" width="18.125" style="132" customWidth="1"/>
    <col min="3" max="4" width="11.375" style="132"/>
    <col min="5" max="5" width="16.25" style="132" customWidth="1"/>
    <col min="6" max="16384" width="11.375" style="132"/>
  </cols>
  <sheetData>
    <row r="1" spans="1:16" ht="135" customHeight="1" x14ac:dyDescent="0.25">
      <c r="A1" s="9" t="s">
        <v>158</v>
      </c>
      <c r="B1" s="9" t="s">
        <v>159</v>
      </c>
      <c r="C1" s="9" t="s">
        <v>18</v>
      </c>
      <c r="D1" s="9" t="s">
        <v>160</v>
      </c>
      <c r="E1" s="140">
        <v>3126882922</v>
      </c>
      <c r="F1" s="9" t="s">
        <v>161</v>
      </c>
      <c r="G1" s="9" t="s">
        <v>162</v>
      </c>
      <c r="H1" s="9" t="s">
        <v>941</v>
      </c>
      <c r="I1" s="86">
        <v>1</v>
      </c>
      <c r="J1" s="9" t="s">
        <v>164</v>
      </c>
      <c r="K1" s="9" t="s">
        <v>942</v>
      </c>
      <c r="L1" s="203"/>
      <c r="M1" s="203"/>
      <c r="N1" s="203"/>
    </row>
    <row r="2" spans="1:16" ht="27.7" customHeight="1" x14ac:dyDescent="0.25">
      <c r="A2" s="198" t="s">
        <v>768</v>
      </c>
      <c r="B2" s="198" t="s">
        <v>769</v>
      </c>
      <c r="C2" s="198" t="s">
        <v>28</v>
      </c>
      <c r="D2" s="199">
        <v>78037181</v>
      </c>
      <c r="E2" s="198" t="s">
        <v>43</v>
      </c>
      <c r="F2" s="129" t="s">
        <v>160</v>
      </c>
      <c r="G2" s="198" t="s">
        <v>160</v>
      </c>
      <c r="H2" s="200">
        <v>3045339349</v>
      </c>
      <c r="I2" s="201">
        <v>43296</v>
      </c>
      <c r="J2" s="201">
        <v>43297</v>
      </c>
      <c r="K2" s="201">
        <v>43327</v>
      </c>
      <c r="L2" s="202">
        <v>16</v>
      </c>
      <c r="M2" s="129" t="s">
        <v>24</v>
      </c>
      <c r="N2" s="129" t="s">
        <v>298</v>
      </c>
      <c r="O2" s="132" t="s">
        <v>1059</v>
      </c>
      <c r="P2" s="132" t="s">
        <v>1058</v>
      </c>
    </row>
    <row r="3" spans="1:16" ht="26.35" customHeight="1" x14ac:dyDescent="0.25">
      <c r="A3" s="198" t="s">
        <v>362</v>
      </c>
      <c r="B3" s="198" t="s">
        <v>363</v>
      </c>
      <c r="C3" s="198"/>
      <c r="D3" s="198"/>
      <c r="E3" s="203" t="s">
        <v>24</v>
      </c>
      <c r="F3" s="204">
        <v>20</v>
      </c>
      <c r="G3" s="203"/>
      <c r="H3" s="203"/>
      <c r="I3" s="205" t="s">
        <v>298</v>
      </c>
      <c r="J3" s="204" t="s">
        <v>24</v>
      </c>
      <c r="K3" s="206"/>
      <c r="L3" s="206"/>
      <c r="M3" s="206"/>
      <c r="N3" s="206"/>
    </row>
    <row r="4" spans="1:16" ht="30.1" x14ac:dyDescent="0.25">
      <c r="A4" s="198" t="s">
        <v>359</v>
      </c>
      <c r="B4" s="198" t="s">
        <v>360</v>
      </c>
      <c r="C4" s="198"/>
      <c r="D4" s="198"/>
      <c r="E4" s="203" t="s">
        <v>24</v>
      </c>
      <c r="F4" s="204">
        <v>20</v>
      </c>
      <c r="G4" s="203"/>
      <c r="H4" s="203"/>
      <c r="I4" s="205" t="s">
        <v>298</v>
      </c>
      <c r="J4" s="204" t="s">
        <v>24</v>
      </c>
      <c r="K4" s="206"/>
      <c r="L4" s="206"/>
      <c r="M4" s="206"/>
      <c r="N4" s="2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MONTERIA</vt:lpstr>
      <vt:lpstr>MPIOS</vt:lpstr>
      <vt:lpstr>NUEVA EPS MTR</vt:lpstr>
      <vt:lpstr>NUEVA EPS MPIOS</vt:lpstr>
      <vt:lpstr>PERMANENTES</vt:lpstr>
      <vt:lpstr>INGRESOS PROMOSALUD 16 JULIO</vt:lpstr>
      <vt:lpstr>PENDIENTES DE MPIOS</vt:lpstr>
      <vt:lpstr>pacientes para el lunes</vt:lpstr>
      <vt:lpstr>PTES FONO PR</vt:lpstr>
      <vt:lpstr>PTES FONO CIENAGA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2018-08-08T16:01:30Z</cp:lastPrinted>
  <dcterms:created xsi:type="dcterms:W3CDTF">2018-06-28T17:29:48Z</dcterms:created>
  <dcterms:modified xsi:type="dcterms:W3CDTF">2019-02-20T15:26:21Z</dcterms:modified>
</cp:coreProperties>
</file>