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INGRESOS\2018\"/>
    </mc:Choice>
  </mc:AlternateContent>
  <bookViews>
    <workbookView xWindow="0" yWindow="0" windowWidth="21600" windowHeight="9330" activeTab="3"/>
  </bookViews>
  <sheets>
    <sheet name="MONTERIA" sheetId="9" r:id="rId1"/>
    <sheet name="MPIOS" sheetId="10" r:id="rId2"/>
    <sheet name="NEP MPIOS" sheetId="4" r:id="rId3"/>
    <sheet name="NEP MTR" sheetId="3" r:id="rId4"/>
    <sheet name="PERMANENTES" sheetId="11" r:id="rId5"/>
    <sheet name="HORARIO" sheetId="8" r:id="rId6"/>
    <sheet name="ANGELY" sheetId="12" r:id="rId7"/>
    <sheet name="Hoja1" sheetId="13" r:id="rId8"/>
  </sheets>
  <definedNames>
    <definedName name="_xlnm._FilterDatabase" localSheetId="0" hidden="1">MONTERIA!$B$1:$R$102</definedName>
    <definedName name="_xlnm._FilterDatabase" localSheetId="1" hidden="1">MPIOS!$B$1:$T$76</definedName>
    <definedName name="_xlnm._FilterDatabase" localSheetId="2" hidden="1">'NEP MPIOS'!$A$1:$N$154</definedName>
    <definedName name="_xlnm._FilterDatabase" localSheetId="3" hidden="1">'NEP MTR'!$A$1:$M$93</definedName>
    <definedName name="_xlnm._FilterDatabase" localSheetId="4" hidden="1">PERMANENTES!$B$1:$Q$113</definedName>
    <definedName name="x_x__MailAutoSig" localSheetId="1">MPIOS!$B$32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5" i="11" l="1"/>
  <c r="H140" i="4"/>
  <c r="H128" i="4"/>
  <c r="H124" i="4"/>
  <c r="H120" i="4"/>
  <c r="H117" i="4"/>
  <c r="H113" i="4"/>
  <c r="H110" i="4"/>
  <c r="H107" i="4"/>
  <c r="H104" i="4"/>
  <c r="H102" i="4"/>
  <c r="H97" i="4"/>
  <c r="H84" i="4"/>
  <c r="H154" i="4"/>
  <c r="H147" i="4"/>
  <c r="H74" i="4"/>
  <c r="H34" i="4"/>
  <c r="H29" i="4"/>
  <c r="H93" i="3" l="1"/>
</calcChain>
</file>

<file path=xl/comments1.xml><?xml version="1.0" encoding="utf-8"?>
<comments xmlns="http://schemas.openxmlformats.org/spreadsheetml/2006/main">
  <authors>
    <author>Windows User</author>
  </authors>
  <commentList>
    <comment ref="B79" authorId="0" shapeId="0">
      <text>
        <r>
          <rPr>
            <b/>
            <sz val="9"/>
            <color indexed="10"/>
            <rFont val="Tahoma"/>
            <family val="2"/>
          </rPr>
          <t>Windows User:</t>
        </r>
        <r>
          <rPr>
            <sz val="9"/>
            <color indexed="10"/>
            <rFont val="Tahoma"/>
            <family val="2"/>
          </rPr>
          <t xml:space="preserve">
PDTE REVISAR CARPETA PARA SOLICITAR LA JEFE KELLY TF-TO-TL ANTES DEL 25/11/2018</t>
        </r>
      </text>
    </comment>
  </commentList>
</comments>
</file>

<file path=xl/sharedStrings.xml><?xml version="1.0" encoding="utf-8"?>
<sst xmlns="http://schemas.openxmlformats.org/spreadsheetml/2006/main" count="2844" uniqueCount="1366">
  <si>
    <t>TELEFONO</t>
  </si>
  <si>
    <t>FECHA DE INICIO</t>
  </si>
  <si>
    <t>FECHA DE EGRESO</t>
  </si>
  <si>
    <t>OBSERVACIONES</t>
  </si>
  <si>
    <t>TF</t>
  </si>
  <si>
    <t>FONO</t>
  </si>
  <si>
    <t>TR</t>
  </si>
  <si>
    <t>CLAUDIA ROMAN</t>
  </si>
  <si>
    <t>AURA DE LA ESPRIELLA</t>
  </si>
  <si>
    <t>TO</t>
  </si>
  <si>
    <t>CERETE</t>
  </si>
  <si>
    <t>BRINY JALAL</t>
  </si>
  <si>
    <t>APELLIDOS</t>
  </si>
  <si>
    <t>MUNICIPIO</t>
  </si>
  <si>
    <t>SESIONES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</si>
  <si>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</si>
  <si>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</si>
  <si>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</si>
  <si>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</si>
  <si>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</si>
  <si>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</si>
  <si>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</si>
  <si>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</si>
  <si>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</si>
  <si>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</si>
  <si>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</si>
  <si>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</si>
  <si>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</si>
  <si>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 xml:space="preserve">NOMBRE </t>
  </si>
  <si>
    <t>PAQUETE</t>
  </si>
  <si>
    <t xml:space="preserve">TERAPEUTA </t>
  </si>
  <si>
    <t>OBSERVACION</t>
  </si>
  <si>
    <t>VICTORIA ELENA</t>
  </si>
  <si>
    <t>DIAZ DE HOYOS</t>
  </si>
  <si>
    <t>CRONICO</t>
  </si>
  <si>
    <t>VICTORIA CONCEPCION</t>
  </si>
  <si>
    <t>PADILLA VIDAL</t>
  </si>
  <si>
    <t>LEAN DE JESUS</t>
  </si>
  <si>
    <t>RHENALS POLO</t>
  </si>
  <si>
    <t>JOSE JOAQUIN</t>
  </si>
  <si>
    <t>GARCES DELGADO</t>
  </si>
  <si>
    <t>ELVIRA ROMERO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</si>
  <si>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</si>
  <si>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</si>
  <si>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</si>
  <si>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</si>
  <si>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</si>
  <si>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</si>
  <si>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</si>
  <si>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</si>
  <si>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</si>
  <si>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CARLOTA </t>
  </si>
  <si>
    <t>MOLINA PAEZ</t>
  </si>
  <si>
    <t>AHYDA MARIA</t>
  </si>
  <si>
    <t>KARDUSS DE BAUTISTA</t>
  </si>
  <si>
    <t xml:space="preserve">JAIME ANTONIO </t>
  </si>
  <si>
    <t>AURA MONTALVO</t>
  </si>
  <si>
    <t>MARINA ROSA</t>
  </si>
  <si>
    <t>ALVAREZ DE FLORES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</si>
  <si>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</si>
  <si>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</si>
  <si>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</si>
  <si>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</si>
  <si>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</si>
  <si>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</si>
  <si>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</si>
  <si>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</si>
  <si>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</si>
  <si>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</si>
  <si>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</si>
  <si>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</si>
  <si>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</si>
  <si>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</si>
  <si>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</si>
  <si>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</si>
  <si>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</si>
  <si>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</si>
  <si>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</si>
  <si>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</si>
  <si>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</si>
  <si>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</si>
  <si>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</si>
  <si>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</si>
  <si>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</si>
  <si>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</si>
  <si>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</si>
  <si>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</si>
  <si>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</si>
  <si>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</si>
  <si>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 xml:space="preserve">VICTOR ALFONSO </t>
  </si>
  <si>
    <t>BRAVO RIOS</t>
  </si>
  <si>
    <t>JUANA EVANGELISTA</t>
  </si>
  <si>
    <t>CORREA DE REYES</t>
  </si>
  <si>
    <t xml:space="preserve">LILIA ESTHER </t>
  </si>
  <si>
    <t>SAAVEDRA SARMIENTO</t>
  </si>
  <si>
    <t>RODY ARIEL</t>
  </si>
  <si>
    <t>FUENTES LICONA</t>
  </si>
  <si>
    <t xml:space="preserve">RUGERO MANUEL </t>
  </si>
  <si>
    <t>HERNANDEZ SIBAJA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</si>
  <si>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</si>
  <si>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</si>
  <si>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</si>
  <si>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</si>
  <si>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</si>
  <si>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</si>
  <si>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</si>
  <si>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</si>
  <si>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</si>
  <si>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</si>
  <si>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</si>
  <si>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</si>
  <si>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</si>
  <si>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>CAMPO DURAN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</si>
  <si>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</si>
  <si>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</si>
  <si>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</si>
  <si>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</si>
  <si>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</si>
  <si>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</si>
  <si>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</si>
  <si>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</si>
  <si>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</si>
  <si>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</si>
  <si>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</si>
  <si>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</si>
  <si>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</si>
  <si>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</si>
  <si>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LINA LARA</t>
  </si>
  <si>
    <t xml:space="preserve">NEDDY LUZ </t>
  </si>
  <si>
    <t xml:space="preserve">SUAREZ </t>
  </si>
  <si>
    <t>DIOSELINA ROSA</t>
  </si>
  <si>
    <t>ORTEGA BARRIOS</t>
  </si>
  <si>
    <t>PUEBLO NUEVO</t>
  </si>
  <si>
    <t>LUISA ARGUMEDO</t>
  </si>
  <si>
    <t>MARCELINA DEL CARMEN</t>
  </si>
  <si>
    <t>GALINDO DE ECHEVERRI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</si>
  <si>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</si>
  <si>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</si>
  <si>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</si>
  <si>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</si>
  <si>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</si>
  <si>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</si>
  <si>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</si>
  <si>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</si>
  <si>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</si>
  <si>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 xml:space="preserve">VANESA 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</si>
  <si>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</si>
  <si>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</si>
  <si>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</si>
  <si>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</si>
  <si>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</si>
  <si>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</si>
  <si>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</si>
  <si>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</si>
  <si>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</si>
  <si>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</si>
  <si>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</si>
  <si>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</si>
  <si>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</si>
  <si>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</si>
  <si>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ELIZABETH DELS.</t>
  </si>
  <si>
    <t>PAYAREZ DE VILLADIEGO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</si>
  <si>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</si>
  <si>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</si>
  <si>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</si>
  <si>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</si>
  <si>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</si>
  <si>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</si>
  <si>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</si>
  <si>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</si>
  <si>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</si>
  <si>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</si>
  <si>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</si>
  <si>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</si>
  <si>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</si>
  <si>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</si>
  <si>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</si>
  <si>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</si>
  <si>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</si>
  <si>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</si>
  <si>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</si>
  <si>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</si>
  <si>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</si>
  <si>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RHENALS TORDECILLA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</si>
  <si>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</si>
  <si>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</si>
  <si>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</si>
  <si>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</si>
  <si>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</si>
  <si>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</si>
  <si>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</si>
  <si>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</si>
  <si>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</si>
  <si>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</si>
  <si>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</si>
  <si>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</si>
  <si>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</si>
  <si>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</si>
  <si>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JOSE ARCELIO</t>
  </si>
  <si>
    <t>GARCES MESTRA</t>
  </si>
  <si>
    <t>DORA VICTORIA</t>
  </si>
  <si>
    <t>MERCADO DE BUELVAS</t>
  </si>
  <si>
    <t>MANUEL DE JESUS</t>
  </si>
  <si>
    <t>ALVAREZ RODRIGUEZ</t>
  </si>
  <si>
    <t xml:space="preserve">MARIA JOSEFA 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</si>
  <si>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</si>
  <si>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</si>
  <si>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</si>
  <si>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</si>
  <si>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</si>
  <si>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</si>
  <si>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</si>
  <si>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TRAQUEOS.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</si>
  <si>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</si>
  <si>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</si>
  <si>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</si>
  <si>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</si>
  <si>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</si>
  <si>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</si>
  <si>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</si>
  <si>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</si>
  <si>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</si>
  <si>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</si>
  <si>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>LUIS GONZAGA</t>
  </si>
  <si>
    <t>GUILLEN POLO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</si>
  <si>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</si>
  <si>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</si>
  <si>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</si>
  <si>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</si>
  <si>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</si>
  <si>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</si>
  <si>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</si>
  <si>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</si>
  <si>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</si>
  <si>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</si>
  <si>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</si>
  <si>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</si>
  <si>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EVENTO</t>
  </si>
  <si>
    <t>ALFREDO RAMON</t>
  </si>
  <si>
    <t>SIERRA RIVERA</t>
  </si>
  <si>
    <t>JAIFA</t>
  </si>
  <si>
    <t>NADER DE CHEJNE</t>
  </si>
  <si>
    <t>TIBY AMIGO</t>
  </si>
  <si>
    <t xml:space="preserve">PENDIENTE, REALIZAR SEGUIMIENTO A LA TF </t>
  </si>
  <si>
    <t xml:space="preserve">RUBY DEL CARMEN </t>
  </si>
  <si>
    <t>IVONNE MERCADO</t>
  </si>
  <si>
    <t>SOL ANYELA</t>
  </si>
  <si>
    <t>ANA LUCIA</t>
  </si>
  <si>
    <t>MARTINEZ PEREZ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</si>
  <si>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</si>
  <si>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</si>
  <si>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</si>
  <si>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</si>
  <si>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</si>
  <si>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</si>
  <si>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</si>
  <si>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>YANETH DEL CARMEN</t>
  </si>
  <si>
    <t>ROMERO GUERRERO</t>
  </si>
  <si>
    <t xml:space="preserve">JAMER </t>
  </si>
  <si>
    <t>LUGO PAEZ</t>
  </si>
  <si>
    <t>JENNIFER MARTINEZ</t>
  </si>
  <si>
    <t>DIRECCIÓN</t>
  </si>
  <si>
    <t>CALLE 15  #26-20 B/SAN PEDRO</t>
  </si>
  <si>
    <t>TIPO DE TERAPIA</t>
  </si>
  <si>
    <t>CLL 62 A #8-41</t>
  </si>
  <si>
    <t>calle  17 #8-51</t>
  </si>
  <si>
    <t>B/LA ESPERANZA CRA 12 #9-85</t>
  </si>
  <si>
    <t>B/CANDELARIA CLL 24 CRA 11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</si>
  <si>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</si>
  <si>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</si>
  <si>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</si>
  <si>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</si>
  <si>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</si>
  <si>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</si>
  <si>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</si>
  <si>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</si>
  <si>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</si>
  <si>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CRA 5B#14-60</t>
  </si>
  <si>
    <t>CLL 20 #1J-03</t>
  </si>
  <si>
    <t>CRA 5 #6-70 PABLO VI</t>
  </si>
  <si>
    <t>CALLE 15-11 B/CENTRO</t>
  </si>
  <si>
    <t>B/SANTA TERESA</t>
  </si>
  <si>
    <t>LICETH ACOSTA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</si>
  <si>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</si>
  <si>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</si>
  <si>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</si>
  <si>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</si>
  <si>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</si>
  <si>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</si>
  <si>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12 #8-07</t>
  </si>
  <si>
    <t>CLL 2 B # 26-38 B/CANDELARIA</t>
  </si>
  <si>
    <t>PEDRO MARTIR</t>
  </si>
  <si>
    <t>VIDAL MIELES</t>
  </si>
  <si>
    <t>CLL 4 #20-36 B/SANTA TERESA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</si>
  <si>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</si>
  <si>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</si>
  <si>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</si>
  <si>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</si>
  <si>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</si>
  <si>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</si>
  <si>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CALLE 25 #10C-42</t>
  </si>
  <si>
    <t xml:space="preserve">CALLE 9 #7-81 </t>
  </si>
  <si>
    <t>CRA 11 #20-22 B/CORINTO</t>
  </si>
  <si>
    <t>RABO LARGO</t>
  </si>
  <si>
    <t>CRA 17 CALLE 16 ETAPA 3</t>
  </si>
  <si>
    <t>CRA 20 #8A-40B/SANTA TERESA</t>
  </si>
  <si>
    <t>CALLE 10 #17-21 B/SAN DIEGO</t>
  </si>
  <si>
    <t>VIA CAÑO DEL PADRE MANGUELITO</t>
  </si>
  <si>
    <t>CRA 25 #17-46</t>
  </si>
  <si>
    <t>LAS MARCELITAS RABO LARGO</t>
  </si>
  <si>
    <t>CORREGIMIENTO SAN ISIDRO</t>
  </si>
  <si>
    <t>VEREDA CARRILLO</t>
  </si>
  <si>
    <t>VDA EL TAPON CERETE</t>
  </si>
  <si>
    <t>3145240242 NEDYS-3157604475</t>
  </si>
  <si>
    <t>CALLE 14 #13-1</t>
  </si>
  <si>
    <t>CRA 1 #1-8B/SAN JOSE</t>
  </si>
  <si>
    <t>CRA 8 #14-24</t>
  </si>
  <si>
    <t xml:space="preserve">TF </t>
  </si>
  <si>
    <t>ALLENDE ANTONIO</t>
  </si>
  <si>
    <t>VIDAL DURANGO</t>
  </si>
  <si>
    <t>SAN RAFAEL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</si>
  <si>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</si>
  <si>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</si>
  <si>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</si>
  <si>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</si>
  <si>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</si>
  <si>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</si>
  <si>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CRA 9 #10A B/LAS BRISAS</t>
  </si>
  <si>
    <t>CRA 25 # 7 A-149</t>
  </si>
  <si>
    <t>ISLA MARGARITA</t>
  </si>
  <si>
    <t>CORREGIMIENTO LA DOCTRINA</t>
  </si>
  <si>
    <t>CORREGIMIENTO TIERRALTICA</t>
  </si>
  <si>
    <t>DEL TORO YANEZ</t>
  </si>
  <si>
    <t>CARMELO ANTONIO</t>
  </si>
  <si>
    <t>VDA BUENOS AIRES LA MANTA</t>
  </si>
  <si>
    <t>MARIELA ESTHER</t>
  </si>
  <si>
    <t>ARIAS DE FRANCO</t>
  </si>
  <si>
    <t>CRA 9 #7-71 B/LA CRUZ</t>
  </si>
  <si>
    <t>VDA NUEVA ESPERANZA</t>
  </si>
  <si>
    <t>B/FATIMA</t>
  </si>
  <si>
    <t>DG 4 #8-33B/SANTA LUCIA</t>
  </si>
  <si>
    <t>CALLE 14 F # 138-78</t>
  </si>
  <si>
    <t>B/SANTA LUCIA</t>
  </si>
  <si>
    <t>B/VENEZUELA</t>
  </si>
  <si>
    <t>CRA 4 #7C-4 B/SANTO DOMINGO</t>
  </si>
  <si>
    <t>DUVELINA</t>
  </si>
  <si>
    <t>RAMOS DE BELLO</t>
  </si>
  <si>
    <t>CRA 11 #21-68 B/POLO</t>
  </si>
  <si>
    <t>B/NAZARETH</t>
  </si>
  <si>
    <t>B/ROSARIO</t>
  </si>
  <si>
    <t>CALLE ABAJO 6-17</t>
  </si>
  <si>
    <t>TREBOL CALLE 13 D #12A-69</t>
  </si>
  <si>
    <t>VDA LA APARTADA</t>
  </si>
  <si>
    <t>CRA15 # 16-50</t>
  </si>
  <si>
    <t>SAN CARLOS</t>
  </si>
  <si>
    <t>VDA LA COROZA ABAJO</t>
  </si>
  <si>
    <t>VDA EL HATO</t>
  </si>
  <si>
    <t>DG 8 TV 4 B/POLICARPA</t>
  </si>
  <si>
    <t>B/URBINA CRA 16 # 15-02</t>
  </si>
  <si>
    <t>CRA 7 #10-58 B/BUENAVISTA</t>
  </si>
  <si>
    <t>URB. SAMARIA CRA 13 #10B-62</t>
  </si>
  <si>
    <t>MZ 78 LT 6 B/LA PRADERA</t>
  </si>
  <si>
    <t xml:space="preserve">B/LA GRANJA DG 15 TV 5 </t>
  </si>
  <si>
    <t>CRA 15 #38-52 B/LA FLORESTA</t>
  </si>
  <si>
    <t>3008023402-3157336698</t>
  </si>
  <si>
    <t xml:space="preserve">CRA 71 # 94-124 TORRE 1 </t>
  </si>
  <si>
    <t>B/POLICARPA</t>
  </si>
  <si>
    <t>CRA 9 #22A-39 B/CASTELLANA</t>
  </si>
  <si>
    <t>B/CENTRO</t>
  </si>
  <si>
    <t>CALLE 14 S #7-50 B/LOS RECUERDOS</t>
  </si>
  <si>
    <t>B/LA GRANJA DG 23 #3-84</t>
  </si>
  <si>
    <t>3205410403-3145789258</t>
  </si>
  <si>
    <t>CRA 9 #14-3B/LACHARME</t>
  </si>
  <si>
    <t>CALLE 42 #1C-30</t>
  </si>
  <si>
    <t>3132694065-7842507</t>
  </si>
  <si>
    <t>CRA 15 #29-36 B/EL EDEN</t>
  </si>
  <si>
    <t>CALLE 25 #18B-06</t>
  </si>
  <si>
    <t>CRA 3 #22-23B/CHUCHURUBI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</si>
  <si>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</si>
  <si>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</si>
  <si>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</si>
  <si>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</si>
  <si>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</si>
  <si>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</si>
  <si>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</si>
  <si>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3205728380-3114099369</t>
  </si>
  <si>
    <t>CRA 2 W #35-28 B/ JUAN XXIII</t>
  </si>
  <si>
    <t>MA 7 LT 3 B/VILLA ANA</t>
  </si>
  <si>
    <t>3217398203-3006083323</t>
  </si>
  <si>
    <t>CALLE 40M #7-53 B/NARIÑO</t>
  </si>
  <si>
    <t>B/MOGAMBITO</t>
  </si>
  <si>
    <t>CRA 7 #124-39 B/ LOS CEDROS</t>
  </si>
  <si>
    <t>DG 18 #04-78 B/LA GRANJA</t>
  </si>
  <si>
    <t>MZ 88 LT 5 ETPA 3 B/LA P´RADERA</t>
  </si>
  <si>
    <t>DG 24 #4-68 B/LA GRANJA</t>
  </si>
  <si>
    <t>LUCIA HERNANDEZ</t>
  </si>
  <si>
    <t xml:space="preserve">ANA JOSEFA </t>
  </si>
  <si>
    <t>ALVARADO DEL TORO</t>
  </si>
  <si>
    <t>CRA 8 # 7-81 B/  LOS ANGELES</t>
  </si>
  <si>
    <t xml:space="preserve">Vda Murcielagal </t>
  </si>
  <si>
    <t>OSPINA ROMERO</t>
  </si>
  <si>
    <t>SANDRA ACEVEDO</t>
  </si>
  <si>
    <t>EDITH GAMARRA</t>
  </si>
  <si>
    <t>#</t>
  </si>
  <si>
    <t>NOMBRE</t>
  </si>
  <si>
    <t>APELLIDO</t>
  </si>
  <si>
    <t>TIPO ID</t>
  </si>
  <si>
    <t>NUMERO ID</t>
  </si>
  <si>
    <t>EPS</t>
  </si>
  <si>
    <t>DIRECCION</t>
  </si>
  <si>
    <t>FECHA DE ENTREGA</t>
  </si>
  <si>
    <t xml:space="preserve">SESIONES </t>
  </si>
  <si>
    <t>TERAPIAS AUTORIZADAS</t>
  </si>
  <si>
    <t>FRECUENCIA TTO</t>
  </si>
  <si>
    <t>EDELMIRA ROSA</t>
  </si>
  <si>
    <t>CC</t>
  </si>
  <si>
    <t>PROMOSALUD</t>
  </si>
  <si>
    <t>MZ 8 LT 13 B/SANTA FE</t>
  </si>
  <si>
    <t>SALUDVIDA</t>
  </si>
  <si>
    <t xml:space="preserve">LUIS ALBERTO </t>
  </si>
  <si>
    <t>BULA SALAZAR</t>
  </si>
  <si>
    <t>B/LA GRANJA DGNAL 22 4-45</t>
  </si>
  <si>
    <t>HECTOR FABIO</t>
  </si>
  <si>
    <t>JALLER SUAREZ</t>
  </si>
  <si>
    <t>20 SS X MES</t>
  </si>
  <si>
    <t>CARMEN MARIA</t>
  </si>
  <si>
    <t>ENAMORADO VERTEL</t>
  </si>
  <si>
    <t>B/LOS NOGALES  MZ L LOTE 8</t>
  </si>
  <si>
    <t>3145847837-3207061617</t>
  </si>
  <si>
    <t>RONAL DAVID</t>
  </si>
  <si>
    <t>BALLESTEROS VASQUEZ</t>
  </si>
  <si>
    <t>B/NUEVA ESP. MZ. 21 LOTE 25</t>
  </si>
  <si>
    <t>24SXMESX4M</t>
  </si>
  <si>
    <t>HELDA ROSA</t>
  </si>
  <si>
    <t>ROMERO DE OTERO</t>
  </si>
  <si>
    <t>CESAR</t>
  </si>
  <si>
    <t>YANES GARCIA</t>
  </si>
  <si>
    <t>B/LA GLORIA TORRE 31 APTO 102</t>
  </si>
  <si>
    <t>20 SS X MES X 3 MESES</t>
  </si>
  <si>
    <t>15 ss mes x 4 meses</t>
  </si>
  <si>
    <t>SANITAS</t>
  </si>
  <si>
    <t>CRA 13 W #27-45 B/EL DORADO</t>
  </si>
  <si>
    <t xml:space="preserve">YARA </t>
  </si>
  <si>
    <t>BARRIENTOS VALVERDE</t>
  </si>
  <si>
    <t>B/SANTA FE MZ12 LT 9</t>
  </si>
  <si>
    <t>35 SS PENDIENTES</t>
  </si>
  <si>
    <t>LUIS FERNANDO</t>
  </si>
  <si>
    <t>ANDRES GUILLERMO</t>
  </si>
  <si>
    <t>THERAN PETRO</t>
  </si>
  <si>
    <t>TI</t>
  </si>
  <si>
    <t>KM 23 VIA PLANETA RICA</t>
  </si>
  <si>
    <t>3XSEMX6M</t>
  </si>
  <si>
    <t>SE INICIA DESPUES DE SU RECEPCIÓN DEBIDO A QUE TIENE 6 SS PENDIENTES DE LA ORDEN ANTERIOR</t>
  </si>
  <si>
    <t>RC</t>
  </si>
  <si>
    <t>COLSANITAS</t>
  </si>
  <si>
    <t>UNICOR</t>
  </si>
  <si>
    <t xml:space="preserve">SOCORRO </t>
  </si>
  <si>
    <t>PASTRANA MARTINEZ</t>
  </si>
  <si>
    <t>B/LA PRADERA MZ  126 LT 7 ET 13</t>
  </si>
  <si>
    <t>MACEA PEREZ</t>
  </si>
  <si>
    <t>B/SANTA FE MZ35 LT 2</t>
  </si>
  <si>
    <t>ILCIA MARIA</t>
  </si>
  <si>
    <t>CUADRADO GOMEZ</t>
  </si>
  <si>
    <t>CALLE 10 # 20-80 B/SANTA FE</t>
  </si>
  <si>
    <t xml:space="preserve">MILLAN SIERRA </t>
  </si>
  <si>
    <t>MORENO</t>
  </si>
  <si>
    <t xml:space="preserve">B/ CANTACLARO la UNIÓN MZ 193 LT 18 APTO 2  </t>
  </si>
  <si>
    <t>3117393863/ 3195177595</t>
  </si>
  <si>
    <t>16 SS X MES X 4 MESES</t>
  </si>
  <si>
    <t>MYRYAM ODILI</t>
  </si>
  <si>
    <t>PINEDA DORIA</t>
  </si>
  <si>
    <t>B/LA PRADERA MZ 109 Lt 9 etapa 2</t>
  </si>
  <si>
    <t>GEORGINA SOFIA</t>
  </si>
  <si>
    <t>ALVAREZ ARCIA</t>
  </si>
  <si>
    <t>B/LA UNION CANTACALRO MZ 192 LT 17</t>
  </si>
  <si>
    <t>3145600618-3106003836</t>
  </si>
  <si>
    <t>20 SS DE CADA UNA POR MES</t>
  </si>
  <si>
    <t>MARIA PRIMERA</t>
  </si>
  <si>
    <t>REYES VARGAS</t>
  </si>
  <si>
    <t xml:space="preserve">B/LOS RECUERDOS MZ A TORRE 2 </t>
  </si>
  <si>
    <t>TF 20, TO 8, TL 10 POR MES, X 4 MESES ENTREGA DE PLAN CASERO</t>
  </si>
  <si>
    <t xml:space="preserve">ISAIAS </t>
  </si>
  <si>
    <t>DIAZ SANCHEZ</t>
  </si>
  <si>
    <t>B/EL DORADO CALLE 25 # 11AW-36</t>
  </si>
  <si>
    <t>3058697820-7840043</t>
  </si>
  <si>
    <t>12X MES X 3 MESES</t>
  </si>
  <si>
    <t>MUTUALSER</t>
  </si>
  <si>
    <t>SAN BERNARDO</t>
  </si>
  <si>
    <t>JULISA ORTEGA</t>
  </si>
  <si>
    <t>15 SS MENSUALES X 3 MESES</t>
  </si>
  <si>
    <t>3224515743-7644176</t>
  </si>
  <si>
    <t>CRA 11 # 16-116 B/EL EDEN</t>
  </si>
  <si>
    <t>MARTINEZ DE PEREZ</t>
  </si>
  <si>
    <t>BLANCA ROSA</t>
  </si>
  <si>
    <t>MARIA BERTHEL</t>
  </si>
  <si>
    <t>TF 30 SS X MES X 3 MESES</t>
  </si>
  <si>
    <t>B/SAN SEBASTIAN</t>
  </si>
  <si>
    <t>NARVAEZ CORREA</t>
  </si>
  <si>
    <t>DOMINGA</t>
  </si>
  <si>
    <t>PTE QUE CADA 2 SS DEBE PAGAR UN BONO DE 33.300</t>
  </si>
  <si>
    <t xml:space="preserve">SIN CORTE HASTA TERMINAR </t>
  </si>
  <si>
    <t>CAROLINA BARCO</t>
  </si>
  <si>
    <t xml:space="preserve">B/LAURELES  CLL 23 CRA 24 </t>
  </si>
  <si>
    <t>BRAVO BANDA</t>
  </si>
  <si>
    <t>LUCIANA</t>
  </si>
  <si>
    <t>60 SS X MES  X 3 MESES</t>
  </si>
  <si>
    <t>40 SS X MES X 3 MESES</t>
  </si>
  <si>
    <t>B/SANTA TERESA CALLE 21 #8A-13</t>
  </si>
  <si>
    <t>GARCIA YANEZ</t>
  </si>
  <si>
    <t xml:space="preserve">DIEGO RAUL </t>
  </si>
  <si>
    <t>JESSICA RIVERA</t>
  </si>
  <si>
    <t xml:space="preserve">B/JERUSALEN CLLE 23 CRA 10 </t>
  </si>
  <si>
    <t>ARBOLEDA LOPEZ</t>
  </si>
  <si>
    <t>LORGIA DEL CARMEN</t>
  </si>
  <si>
    <t xml:space="preserve">JOSE DAVID </t>
  </si>
  <si>
    <t>16 SS AL MES X 6 MESES</t>
  </si>
  <si>
    <t>INGRID VIOLETH</t>
  </si>
  <si>
    <t>VDA EL VIRAL CRA 3 CALLE 5 #1-53</t>
  </si>
  <si>
    <t>GUZMAN GARCIA</t>
  </si>
  <si>
    <t xml:space="preserve">AMERICA ROSA </t>
  </si>
  <si>
    <t>TIBISAY AMIGO</t>
  </si>
  <si>
    <t>Paciente con corte mesual  TF 20- TO 20 Y FONO 12    X 4 MESES whatsapp</t>
  </si>
  <si>
    <t>3157962661-3217061636</t>
  </si>
  <si>
    <t>CALLE 18 #13-51</t>
  </si>
  <si>
    <t>ANGULO LOPEZ</t>
  </si>
  <si>
    <t>MARIA CONSUELO</t>
  </si>
  <si>
    <t>NOEL ALARCON</t>
  </si>
  <si>
    <t>KELLY DURANGO</t>
  </si>
  <si>
    <t>PUERTO LIBERTADOR</t>
  </si>
  <si>
    <t>ROMERO CORENA</t>
  </si>
  <si>
    <t>JUAN GUILLERMO</t>
  </si>
  <si>
    <t xml:space="preserve">SANCHEZ BUELVAS </t>
  </si>
  <si>
    <t xml:space="preserve">EULOGIA VICTORIA </t>
  </si>
  <si>
    <t>BUENAVISTA B/LOS ALMENDROS</t>
  </si>
  <si>
    <t>BUENAVISTA</t>
  </si>
  <si>
    <t>MARTINEZ MEDRANO</t>
  </si>
  <si>
    <t xml:space="preserve">GLORIA STELLA </t>
  </si>
  <si>
    <t xml:space="preserve">B/EL RETIRO CLL 7 CR 9 </t>
  </si>
  <si>
    <t>HERNANDEZ PERNETT</t>
  </si>
  <si>
    <t>ALBA MARINA</t>
  </si>
  <si>
    <t xml:space="preserve">PROMOSALUD </t>
  </si>
  <si>
    <t xml:space="preserve">CORREGIMIENTO BERASTEGUI </t>
  </si>
  <si>
    <t>ARGEL TORRES</t>
  </si>
  <si>
    <t xml:space="preserve">ANGELY DEL CARMEN </t>
  </si>
  <si>
    <t>ENTREGA DE EVIDENCIAS</t>
  </si>
  <si>
    <t>TERAPEUTA ENCARGADO</t>
  </si>
  <si>
    <t xml:space="preserve">MANUEL FELIPE </t>
  </si>
  <si>
    <t>OLMOS GONZALES</t>
  </si>
  <si>
    <t>JAIME PETRO</t>
  </si>
  <si>
    <t>DIGNA ISABEL</t>
  </si>
  <si>
    <t>DIAZ REYES</t>
  </si>
  <si>
    <t>3116691187 (NANCY HRNA) 7641600-3114017147</t>
  </si>
  <si>
    <t>JIMMY IGNACIO</t>
  </si>
  <si>
    <t>HOYOS MONTESINOS</t>
  </si>
  <si>
    <t>RAQUEL</t>
  </si>
  <si>
    <t>TOVAR DE RAMIREZ</t>
  </si>
  <si>
    <t>3107075188 (amparo ramirez)</t>
  </si>
  <si>
    <t xml:space="preserve">WALBERTO </t>
  </si>
  <si>
    <t>VELEZ TRESPALACIOS</t>
  </si>
  <si>
    <t xml:space="preserve">SANITAS </t>
  </si>
  <si>
    <t>3016099592-3012168910</t>
  </si>
  <si>
    <t xml:space="preserve">HERENIA ROSA </t>
  </si>
  <si>
    <t>SEGURA  DE HERNANDEZ</t>
  </si>
  <si>
    <t xml:space="preserve">LUIS MIGUEL </t>
  </si>
  <si>
    <t xml:space="preserve">DIAZ GUTIERREZ </t>
  </si>
  <si>
    <t>IVONE MERCADO</t>
  </si>
  <si>
    <t xml:space="preserve">JADER LUIS </t>
  </si>
  <si>
    <t>MORENO BRAVO</t>
  </si>
  <si>
    <t xml:space="preserve">DEIMER JOSE </t>
  </si>
  <si>
    <t xml:space="preserve">CAUSIL POLO </t>
  </si>
  <si>
    <t>HOGAR DE PASO</t>
  </si>
  <si>
    <t>SOL ANYEL</t>
  </si>
  <si>
    <t>DARLY ISABEL</t>
  </si>
  <si>
    <t>ROSARIO ROSARIO</t>
  </si>
  <si>
    <t>TUCHIN</t>
  </si>
  <si>
    <t>MANUEL GREGORIO</t>
  </si>
  <si>
    <t xml:space="preserve">BARBOZA MENDOZA </t>
  </si>
  <si>
    <t>DANYS MAILER</t>
  </si>
  <si>
    <t>SUAREZ RUBIO</t>
  </si>
  <si>
    <t xml:space="preserve">OSVALDO ENRIQUE </t>
  </si>
  <si>
    <t>PACHECO PULGARIN</t>
  </si>
  <si>
    <t>TR C/8H</t>
  </si>
  <si>
    <t xml:space="preserve">ORFELINA </t>
  </si>
  <si>
    <t>ALVAREZ MORENO</t>
  </si>
  <si>
    <t xml:space="preserve">3184374454 HIJO ERIBERTO </t>
  </si>
  <si>
    <t>continuan orden jefe carmen</t>
  </si>
  <si>
    <t xml:space="preserve">FANNY ESTER </t>
  </si>
  <si>
    <t xml:space="preserve">SUAREZ VERTEL </t>
  </si>
  <si>
    <t xml:space="preserve">3045741119 HERMANA MARY </t>
  </si>
  <si>
    <t>continuan orden jefe carmen BRIANA</t>
  </si>
  <si>
    <t>HIDALGO ELIAS</t>
  </si>
  <si>
    <t>VELEZ SIMONDS</t>
  </si>
  <si>
    <t>PERMANENTE</t>
  </si>
  <si>
    <t xml:space="preserve">JORGE ELIAS </t>
  </si>
  <si>
    <t>SAEZ RUIZ</t>
  </si>
  <si>
    <t>LISETH ACOSTA</t>
  </si>
  <si>
    <t xml:space="preserve">LA FONOAUDIOLOGA REPORTA QUE EL PACIENTE SE ENCUIENTRA EN REGULARES CONDICIONES, CON BAJA SAT </t>
  </si>
  <si>
    <t xml:space="preserve">JOSE FERNANDO </t>
  </si>
  <si>
    <t>CASTILLO MARTINEZ</t>
  </si>
  <si>
    <t>NAFER ENRIQUE</t>
  </si>
  <si>
    <t>ZUÑIGA RAMIREZ</t>
  </si>
  <si>
    <t xml:space="preserve"> </t>
  </si>
  <si>
    <t xml:space="preserve">ANSELMO JOSE </t>
  </si>
  <si>
    <t>PERALTA LOPEZ</t>
  </si>
  <si>
    <t>3105116392                 (elina lopez)-3508909991</t>
  </si>
  <si>
    <t>RUTH MARINA</t>
  </si>
  <si>
    <t>BOLAÑOS DE GARCES</t>
  </si>
  <si>
    <t>3104648678 (HIJA AMANDA)</t>
  </si>
  <si>
    <t>PACIENTE QUE INGRESA EL 01/09/2018  X 6 MESES, HASTA EL 28/02/2019 con tf 20 y tl 20 mensuales</t>
  </si>
  <si>
    <t>LISVELLY</t>
  </si>
  <si>
    <t xml:space="preserve">SENAIRA </t>
  </si>
  <si>
    <t>DOMICO BAILARIN</t>
  </si>
  <si>
    <t>JOSEFA NOLIS</t>
  </si>
  <si>
    <t>CANTERO MARTINEZ</t>
  </si>
  <si>
    <t>3106026392-3128649046</t>
  </si>
  <si>
    <t xml:space="preserve">autorizacion previa  ----- </t>
  </si>
  <si>
    <t>COGOLLO BERROCAL</t>
  </si>
  <si>
    <t>HOSPITALIZADO 03/08/2018 Y  REINGRESO 18/08/2018</t>
  </si>
  <si>
    <t xml:space="preserve">GABRIEL </t>
  </si>
  <si>
    <t>SPATH ASAB</t>
  </si>
  <si>
    <t>SUSANA DEL PILAR</t>
  </si>
  <si>
    <t>BURGOS DE GARCIA</t>
  </si>
  <si>
    <t>HASTA EL 08 DE NOVIEMBRE</t>
  </si>
  <si>
    <t>LEONILDE POLIGENIA</t>
  </si>
  <si>
    <t>GARCIA BRAVO</t>
  </si>
  <si>
    <t>3045202887 HIJO ADELSON</t>
  </si>
  <si>
    <t xml:space="preserve">TIBY AMIGO </t>
  </si>
  <si>
    <t xml:space="preserve">ALICIA </t>
  </si>
  <si>
    <t>ARGEL LOPEZ</t>
  </si>
  <si>
    <t>LORICA/SITIO NUEVO</t>
  </si>
  <si>
    <t>3145729298-3218195872</t>
  </si>
  <si>
    <t xml:space="preserve">SALOME </t>
  </si>
  <si>
    <t>SALGADO</t>
  </si>
  <si>
    <t>TF-TR</t>
  </si>
  <si>
    <t>DEFINIR CONTINUIDAD</t>
  </si>
  <si>
    <t>ALVARO ENRIQUE</t>
  </si>
  <si>
    <t xml:space="preserve"> SALGADO RUBIO</t>
  </si>
  <si>
    <t xml:space="preserve">EMILIO JOSE </t>
  </si>
  <si>
    <t xml:space="preserve">CHAVEZ MEJIA </t>
  </si>
  <si>
    <t>3207970830 ANA CAMILA HERMANA</t>
  </si>
  <si>
    <t>PEDIR ORDEN JEFE CARMEN</t>
  </si>
  <si>
    <t>LINA MARCELA</t>
  </si>
  <si>
    <t>TAMARA ORTIZ</t>
  </si>
  <si>
    <t xml:space="preserve">POR ORDEN DE BRIANA EL DIA 27/07/2018, QUIEN INFORMA Q LA PACIENTE ES PERMANENTE Y DEBEN CONTINUAR LAS SESIONES </t>
  </si>
  <si>
    <t>CAMILA ANDREA</t>
  </si>
  <si>
    <t>ORTEGA PACHECO</t>
  </si>
  <si>
    <t xml:space="preserve">PAOLA </t>
  </si>
  <si>
    <t>HERNANDEZ</t>
  </si>
  <si>
    <t>PALENCIA GALVIS</t>
  </si>
  <si>
    <t xml:space="preserve">ROBERT DE JESUS </t>
  </si>
  <si>
    <t>GALVAN PETRO</t>
  </si>
  <si>
    <t xml:space="preserve">MIRIAM LUCIA </t>
  </si>
  <si>
    <t>GOMEZ DE FLOREZ</t>
  </si>
  <si>
    <t>LORIZ</t>
  </si>
  <si>
    <t>KARDUZ KANDALAFT</t>
  </si>
  <si>
    <t>COOMEVA</t>
  </si>
  <si>
    <t>3003225812-3135030967</t>
  </si>
  <si>
    <t>OTERO DE IBETT</t>
  </si>
  <si>
    <t>FI:29/08/2018 AL 30 DE SEPTIEMBRE 2018….. SE FACTURAN 2 EN AGOSTO Y 10 EN SEPTIEMRBE</t>
  </si>
  <si>
    <t>HORA</t>
  </si>
  <si>
    <t>AIDEE</t>
  </si>
  <si>
    <t>RAMOS ROMERO</t>
  </si>
  <si>
    <t>TF 12 SS X MES X 3 MESES</t>
  </si>
  <si>
    <t xml:space="preserve">MIRIAM </t>
  </si>
  <si>
    <t>SALCEDO MUÑOZ</t>
  </si>
  <si>
    <t>TRANSV 13 B # 63-14</t>
  </si>
  <si>
    <t>30 SS C/UX MES X 3 MESES CORTE MENSUAL</t>
  </si>
  <si>
    <t>DE ORO REGINO</t>
  </si>
  <si>
    <t>AYAPEL</t>
  </si>
  <si>
    <t xml:space="preserve">B/7 DE AGOSTO CALLE 8 # 11-75 </t>
  </si>
  <si>
    <t>3176770188-3126401307</t>
  </si>
  <si>
    <t>STEFANY LOZANO</t>
  </si>
  <si>
    <t>orden de 60 c/u x 3 meses valida por septiembre, octubre y noviembre.</t>
  </si>
  <si>
    <t>LUCIA RAQUEL</t>
  </si>
  <si>
    <t>ANAYA DE QUINTERO</t>
  </si>
  <si>
    <t>CALLE 12 #11-59 CENTRO</t>
  </si>
  <si>
    <t xml:space="preserve">ADRIANO </t>
  </si>
  <si>
    <t>VANEGAS</t>
  </si>
  <si>
    <t>LA GRANJA</t>
  </si>
  <si>
    <t>20 SS X MES X 2 MESES DE C/U</t>
  </si>
  <si>
    <t xml:space="preserve">SUSANA MARIA </t>
  </si>
  <si>
    <t>RODRIGUEZ BANDA</t>
  </si>
  <si>
    <t>CALLE 5 #17 B/SAN RAFAEL</t>
  </si>
  <si>
    <t xml:space="preserve">BLANCA LILIA </t>
  </si>
  <si>
    <t>COGOLLO HERRERA</t>
  </si>
  <si>
    <t>B/SANTA FE MZ 21 LT 4</t>
  </si>
  <si>
    <t>NOBLE GUARDIOLA</t>
  </si>
  <si>
    <t>B/SAN ROQUE CALLE 12 #16-22</t>
  </si>
  <si>
    <t>PENDIENTE DEFINIR CONTINUIDAD  SE ENCUENTRA EN URGENCIAS DESDE LA PRIMERA SEMANA DE SEP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</si>
  <si>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</si>
  <si>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</si>
  <si>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</si>
  <si>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</si>
  <si>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</si>
  <si>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</si>
  <si>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</si>
  <si>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</si>
  <si>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</si>
  <si>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</si>
  <si>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</si>
  <si>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ECHEVARRIA</t>
  </si>
  <si>
    <t>DIAGNOSTICO</t>
  </si>
  <si>
    <t>EDUARDO DEMETRIO</t>
  </si>
  <si>
    <t>SOFAN ASIAS</t>
  </si>
  <si>
    <t>EPOC-IRC-DEMENCIA SENIL-ARTRITIS-HTA</t>
  </si>
  <si>
    <t xml:space="preserve">B/LA PRADERA MZ 65 LT 4 ETAPA 7 </t>
  </si>
  <si>
    <t>3053954181 (NELLY HIJA)-3127560678 BETTI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</si>
  <si>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</si>
  <si>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</si>
  <si>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</si>
  <si>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</si>
  <si>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</si>
  <si>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</si>
  <si>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NEUMONIA</t>
  </si>
  <si>
    <t>12 X MES X 6 MESES</t>
  </si>
  <si>
    <t>180 SS TF Y TO X 6 MESES FI:10/09/2018 FE 09/03/2019</t>
  </si>
  <si>
    <t>3107094691-7811468</t>
  </si>
  <si>
    <t>CRA 3 # 43-66</t>
  </si>
  <si>
    <t>EPOC</t>
  </si>
  <si>
    <t>CALLE 20 CRA 15 B/BRISALIA PLANETA RICA 3003157807</t>
  </si>
  <si>
    <t>SECUELAS ACV</t>
  </si>
  <si>
    <t>TRANSV 27 A #31-3 MZ 59 LT 20 B/CANTACLARO</t>
  </si>
  <si>
    <t>3135916872-3107385599</t>
  </si>
  <si>
    <t>ISABELLA PAOLA</t>
  </si>
  <si>
    <t>SERPA MORENO</t>
  </si>
  <si>
    <t>PCI</t>
  </si>
  <si>
    <t>POLINEUROPATIA</t>
  </si>
  <si>
    <t>12 SS X MES X 3 MESES</t>
  </si>
  <si>
    <t>AYDA ROSA</t>
  </si>
  <si>
    <t>DORIA PUENTES</t>
  </si>
  <si>
    <t>ACV</t>
  </si>
  <si>
    <t xml:space="preserve">B/BIENESTAR SOCIAL CALLE 19 A # 12-45 </t>
  </si>
  <si>
    <t>3116021035-3126090333-3005418548</t>
  </si>
  <si>
    <t>20 SS AL MES X 4 MESES</t>
  </si>
  <si>
    <t>GABRIEL</t>
  </si>
  <si>
    <t>VARGAS BALLESTEROS</t>
  </si>
  <si>
    <t>TEC MODERO</t>
  </si>
  <si>
    <t>EL PLAYON</t>
  </si>
  <si>
    <t>3116253722-3126683067-3116992108</t>
  </si>
  <si>
    <t>20SS AL MES X 2 MESES</t>
  </si>
  <si>
    <t>VARGAS TOVAR</t>
  </si>
  <si>
    <t>EPILEPSIA</t>
  </si>
  <si>
    <t>MZ 45 LT 14 B/ VILLA MELISA</t>
  </si>
  <si>
    <t>TF 12 SS X 6 MESES</t>
  </si>
  <si>
    <r>
      <t xml:space="preserve">3X 12 SS AL MES POR X6M     </t>
    </r>
    <r>
      <rPr>
        <b/>
        <sz val="11"/>
        <color theme="1"/>
        <rFont val="Calibri"/>
        <family val="2"/>
        <scheme val="minor"/>
      </rPr>
      <t>CON CTORTE MENSUAL</t>
    </r>
  </si>
  <si>
    <t>DENNIS MARIA</t>
  </si>
  <si>
    <t>ANAYA ORTEGA</t>
  </si>
  <si>
    <t>ORDEN NUEVA  DE TO 8 SS VALIDA  22/08/2018 AL 21/09/2018</t>
  </si>
  <si>
    <r>
      <t xml:space="preserve"> FI 22/08/2018 ---</t>
    </r>
    <r>
      <rPr>
        <b/>
        <i/>
        <sz val="12"/>
        <color theme="1"/>
        <rFont val="Calibri"/>
        <family val="2"/>
        <scheme val="minor"/>
      </rPr>
      <t xml:space="preserve">FE  21/11/2018 </t>
    </r>
    <r>
      <rPr>
        <sz val="12"/>
        <color theme="1"/>
        <rFont val="Calibri"/>
        <family val="2"/>
        <scheme val="minor"/>
      </rPr>
      <t xml:space="preserve">--- TF 90  -- TR 60----   TL  36                                                                                                                         </t>
    </r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</si>
  <si>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</si>
  <si>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</si>
  <si>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</si>
  <si>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</si>
  <si>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</si>
  <si>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</si>
  <si>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</si>
  <si>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 xml:space="preserve">DIAGNOSTICO </t>
  </si>
  <si>
    <t>ESCLEROSIS MULTIPLE</t>
  </si>
  <si>
    <t>IRENE MARIA</t>
  </si>
  <si>
    <t>ABDALA MARTINEZ</t>
  </si>
  <si>
    <t xml:space="preserve">MATEO GOMEZ </t>
  </si>
  <si>
    <t>TEC</t>
  </si>
  <si>
    <t>FX CADERA DERECHA</t>
  </si>
  <si>
    <t>DEMENCIA SENIL</t>
  </si>
  <si>
    <t>HEMORRAGIA SUBARACNOIDEA</t>
  </si>
  <si>
    <t>LESION RAQUIMEDULAR C5-C6</t>
  </si>
  <si>
    <t>LESION RAQUIMEDULAR C4-C5</t>
  </si>
  <si>
    <t>TEC - POLITRUMATISMO</t>
  </si>
  <si>
    <t>3104586228-3126350322</t>
  </si>
  <si>
    <t>GONARTROSIS</t>
  </si>
  <si>
    <t>FX FEMUR</t>
  </si>
  <si>
    <t>HEMIPLEJIA</t>
  </si>
  <si>
    <t>PARALISIS DE CUERDAS VUCALES</t>
  </si>
  <si>
    <t>SECCION TRAQUEAL</t>
  </si>
  <si>
    <t>B/EL MOGAMBO MZ. 11 LOTE 04</t>
  </si>
  <si>
    <t>HERIDA POR PROYECTIL ARMA DE FUEGO</t>
  </si>
  <si>
    <t>HIPOXIA CEREBRAL</t>
  </si>
  <si>
    <t>MENINGITIS+LEUCEMIA</t>
  </si>
  <si>
    <t>SECUELAS DE HIPOXIA CEREBRAL</t>
  </si>
  <si>
    <t>PARAPLEJIA</t>
  </si>
  <si>
    <t>ENCEFALOPATIA</t>
  </si>
  <si>
    <t>PARALISIS FACIAL</t>
  </si>
  <si>
    <t xml:space="preserve">CUADRIPARESIA </t>
  </si>
  <si>
    <t>MIOSITIS - FIBROSIS QUISTICA</t>
  </si>
  <si>
    <t>ATAXIA CEREBELOSA</t>
  </si>
  <si>
    <t xml:space="preserve">PCI </t>
  </si>
  <si>
    <t>CUADRIPLEJIA</t>
  </si>
  <si>
    <t>ARTROSIS</t>
  </si>
  <si>
    <t>ACV - ALZHEIMER</t>
  </si>
  <si>
    <t xml:space="preserve">DB MELLITUS </t>
  </si>
  <si>
    <t>INGRESA A LA CLINICA 24/09/2018</t>
  </si>
  <si>
    <t>POP TUMOR CEREBRAL</t>
  </si>
  <si>
    <t>SECUELAS ACV - CEGUERA CRONICA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</si>
  <si>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</si>
  <si>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</si>
  <si>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</si>
  <si>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</si>
  <si>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</si>
  <si>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</si>
  <si>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</si>
  <si>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</si>
  <si>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</si>
  <si>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</si>
  <si>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</si>
  <si>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LA FECHA VARIA DEBIDO A Q DEBE SALIR CON EL CORTE DE ENFERMERIA</t>
  </si>
  <si>
    <t>PROBLEMAS PARA LA MOVILIDAD</t>
  </si>
  <si>
    <t>SECUELAS ACV- AMPUTACION INFRAPATELAR</t>
  </si>
  <si>
    <t>PARKINSON + ALZHEIMER</t>
  </si>
  <si>
    <t>SECUELAS HERIDA POR ARMA DE FUEGO</t>
  </si>
  <si>
    <t>SECUELAS HIDROCEFALIA</t>
  </si>
  <si>
    <t>ECV</t>
  </si>
  <si>
    <t>POP FX CADERA - EPOC- ACV</t>
  </si>
  <si>
    <t>RECIBIDO</t>
  </si>
  <si>
    <t>VICTOR MANUEL</t>
  </si>
  <si>
    <t>GOMEZ ALMANZA</t>
  </si>
  <si>
    <t>DG 4 #6-84 B/LA GRANJA</t>
  </si>
  <si>
    <t>MIRANDA DE TOSCANO</t>
  </si>
  <si>
    <t>3004902910-3177736938</t>
  </si>
  <si>
    <t>B/6 DE MARZO CALLE 14 # 19-25</t>
  </si>
  <si>
    <t>PDTE CONSEUIR PROFESIONAL</t>
  </si>
  <si>
    <t>la prof. Solicita TS porq sospecha de maltratocon la paciente</t>
  </si>
  <si>
    <t>NEUROSIFILIAS- HEMIPARESIA DERECHA</t>
  </si>
  <si>
    <t>CANDIDA ROSA</t>
  </si>
  <si>
    <t>MONTES DE MONTERO</t>
  </si>
  <si>
    <t>ARTROSIS PRIMARIA</t>
  </si>
  <si>
    <t>3104634108-3116691724</t>
  </si>
  <si>
    <t>B/20 DE JULIO CALLE 10 #9A-40</t>
  </si>
  <si>
    <t>INFORMA JEFE YESENIA EL 27/09/2018</t>
  </si>
  <si>
    <t>INFORMA BRIANA QUE CONTINUA CON LAS MISMAS ORDENES EL 27/09/2018</t>
  </si>
  <si>
    <t>ALEXIS</t>
  </si>
  <si>
    <t>AGAMEZ FLOREZ</t>
  </si>
  <si>
    <t>POLITRAUMATISMO</t>
  </si>
  <si>
    <t>B/NARIÑO CRA 10 A # 38-55</t>
  </si>
  <si>
    <t xml:space="preserve">LUISA MARIA </t>
  </si>
  <si>
    <t>MONTIEL NEGRETE</t>
  </si>
  <si>
    <t>B/CENTRO CRA 9 #33-60</t>
  </si>
  <si>
    <t>3135451719-3114318670</t>
  </si>
  <si>
    <t>TR C/6H X 7 DIAS</t>
  </si>
  <si>
    <t>BRIANA INFORMA QUE ES PERMANENTE 29/09/2018</t>
  </si>
  <si>
    <t>EMPERATRIZ</t>
  </si>
  <si>
    <t>GARCIA DE RAMOS</t>
  </si>
  <si>
    <t>B/la inmaculada cRa 4 g # 15 - 42</t>
  </si>
  <si>
    <t>3135985452-3145959770</t>
  </si>
  <si>
    <t>60 ss TF Y TL por 3 meses FI: 30/09/2018, FE29/12/2018</t>
  </si>
  <si>
    <t>RADICULOPATIA</t>
  </si>
  <si>
    <t>CRISTINA ISABEL</t>
  </si>
  <si>
    <t>VALETA DE TORRES</t>
  </si>
  <si>
    <t>B/20 DE ENERO</t>
  </si>
  <si>
    <t>3125110722 - 3126002123</t>
  </si>
  <si>
    <t>20 X MES X 3 MESES</t>
  </si>
  <si>
    <t>YURIS DEL CARMEN</t>
  </si>
  <si>
    <t>VARGAS LOPEZ</t>
  </si>
  <si>
    <t>B/KENNEDY CALLE 12 A #21-12</t>
  </si>
  <si>
    <t>3122467539 - 3148600851</t>
  </si>
  <si>
    <t>FADY VERGARA</t>
  </si>
  <si>
    <t>8 SS X MES X 3 MESES DE C/U</t>
  </si>
  <si>
    <t>TEOLINDA MARIA</t>
  </si>
  <si>
    <t>PEÑA NARVAEZ</t>
  </si>
  <si>
    <t>SECUELAS DE INFARTO CEREBRAL</t>
  </si>
  <si>
    <t>B/SANTA MARIA CRA 15 # 6A-41</t>
  </si>
  <si>
    <t>20 SS MES C/U X 6 MESES</t>
  </si>
  <si>
    <t>MAIRA ALEJANDRA</t>
  </si>
  <si>
    <t>PADILLA ROMERO</t>
  </si>
  <si>
    <t>DISTROFIA MUSCULAR</t>
  </si>
  <si>
    <t>CALLE 23 CRA 13 APTO 26 B/EL DORADO</t>
  </si>
  <si>
    <t>3145961484-3206708010</t>
  </si>
  <si>
    <t>YEIVIS HOYOS</t>
  </si>
  <si>
    <t>CALLE 19 #16 C -64 B/SAN ROQUE</t>
  </si>
  <si>
    <t>NO CONTAMOS CON TO EN EL MUNICIPIO</t>
  </si>
  <si>
    <t>JESUS SIERRA</t>
  </si>
  <si>
    <t>FRANCISCO  JAVIER</t>
  </si>
  <si>
    <t>GOMEZ VERGARA</t>
  </si>
  <si>
    <t>B/EL DORADO CLL 23 #9W-13</t>
  </si>
  <si>
    <t>20 ss x mes x 4 meses</t>
  </si>
  <si>
    <t>ANTONIO LUIS</t>
  </si>
  <si>
    <t>BELTRAN CUBILLOS</t>
  </si>
  <si>
    <t>CRA 15 #6-57</t>
  </si>
  <si>
    <t>3016740543-3012160777</t>
  </si>
  <si>
    <t>DELMIRO MANUEL</t>
  </si>
  <si>
    <t>VARGAS VARGAS</t>
  </si>
  <si>
    <t>VIH -MIELITIS TRASVERSA</t>
  </si>
  <si>
    <t>B/EL ALIVIO MZ C LT 47</t>
  </si>
  <si>
    <t>3107175010-3116594036</t>
  </si>
  <si>
    <t>TF 30 SS X MES X 3 MESES - CON CORTE MENSUAL</t>
  </si>
  <si>
    <t>LA UNICA Q TERMINA EL 20/12/2018 ES LA TF</t>
  </si>
  <si>
    <t>EL PUEBLITO</t>
  </si>
  <si>
    <t>YULI PALENCIA</t>
  </si>
  <si>
    <t xml:space="preserve"> FIGUEROA MARTINEZ</t>
  </si>
  <si>
    <t>SE ACOROD CON BRIANNA 08/10/2018, DEBIDO A Q BRIANA NO PIDIO LA PLANTILLA Y A Q LA TO NO HABIA TERMINADO LAS SESIONES.</t>
  </si>
  <si>
    <t xml:space="preserve">SE ACUERDA CON BRIANA 08/10/2018 QUE ESTAS TERAPIAS TERMINAN EL 20/01/2019 DEBIDO A Q INICIARON U8N MES DESPUES, </t>
  </si>
  <si>
    <t>ZUÑIGA DE ZAMBRANO</t>
  </si>
  <si>
    <t>ARLIS ADRIANA</t>
  </si>
  <si>
    <t>AGAMEZ DICKSON</t>
  </si>
  <si>
    <t>PENDIENTE CONSEGUIR FT  20 SS</t>
  </si>
  <si>
    <t>HORARIO RECEPCIÓN NEPS</t>
  </si>
  <si>
    <t>B. El Recreo  Cra 5ta No. 66-58.3126229942-3134255984</t>
  </si>
  <si>
    <t>3103520652-3002304049</t>
  </si>
  <si>
    <t>QUEJA EL 09/10/2018 MABNIEFIESTA Q ESTABLECIERON HORARIOS Y DIAS DE ATENCION Y AUN ASI EL FONO NO HA IDO</t>
  </si>
  <si>
    <t>BRIANA INFORMA QUE  LAS FONO TAMBIEN SON PERMANENTES  el 09/10/2018</t>
  </si>
  <si>
    <t xml:space="preserve">REBECA CECILIA </t>
  </si>
  <si>
    <t>TORRES REYES</t>
  </si>
  <si>
    <t>B/VILLA REAL CRA 3 A W #22-35</t>
  </si>
  <si>
    <t>3215125649-3126305175</t>
  </si>
  <si>
    <t>SESIONES TOTAL</t>
  </si>
  <si>
    <t>SESIONES MENSUAL</t>
  </si>
  <si>
    <t>16 SS C/U X 4 MESES</t>
  </si>
  <si>
    <t>SESIONES MENSUALES</t>
  </si>
  <si>
    <t>SESIONES  TOTAL</t>
  </si>
  <si>
    <t>MARIA MODESTA</t>
  </si>
  <si>
    <t>ESPITIA NORIEGA</t>
  </si>
  <si>
    <t>CA + ACV</t>
  </si>
  <si>
    <t>PCTE QUE INCIA EL 10/10/2018 CON 12 SS CONFIRMAR CONTINUIDAD?</t>
  </si>
  <si>
    <t>3107209159-3006806943</t>
  </si>
  <si>
    <t xml:space="preserve">MIGUEL VICENTE </t>
  </si>
  <si>
    <t>UPARELA PEREZ</t>
  </si>
  <si>
    <t>B/CALLE CARTAGENITA CLL9 #8-56</t>
  </si>
  <si>
    <t>DEIVER ANDRES</t>
  </si>
  <si>
    <t>ALEAN GONZALEZ</t>
  </si>
  <si>
    <t>luz dary enfermera</t>
  </si>
  <si>
    <t>ELMER ANTONIO</t>
  </si>
  <si>
    <t>ANDRADES BERONA</t>
  </si>
  <si>
    <t>SECUELAS DE TRAUMA MEDULAR</t>
  </si>
  <si>
    <t>3145141404-3225690770</t>
  </si>
  <si>
    <t>20 SS X MES X 6 MESES</t>
  </si>
  <si>
    <t>CARLOS JOSE</t>
  </si>
  <si>
    <t>MERCADO BORJA</t>
  </si>
  <si>
    <t>CRA 7 # 4-51 B/20 JULIO MOCARI</t>
  </si>
  <si>
    <t>PREVIA AUTORIZACION MENSUAL</t>
  </si>
  <si>
    <t>LOPEZ RAMOS</t>
  </si>
  <si>
    <t>CORREGIMIENTO TIERRALTA</t>
  </si>
  <si>
    <t>3045275457 - 3116746879</t>
  </si>
  <si>
    <t>20 SS X MES X 4 MESES</t>
  </si>
  <si>
    <t>WILLIAN CESAR</t>
  </si>
  <si>
    <t>JALAL AGAMEZ</t>
  </si>
  <si>
    <t>DIABETES</t>
  </si>
  <si>
    <t>B/LA CANDELARIA CLL 15 #8-56</t>
  </si>
  <si>
    <t>LA DRA BRINNY NO LO PUEDE ATENDER POS SER SU HIJA</t>
  </si>
  <si>
    <t>SE ENVIA UN ASPIRADOR EL 12/10/2018</t>
  </si>
  <si>
    <t>DANIEL DARIO</t>
  </si>
  <si>
    <t>PEREZ DE LA ROSA</t>
  </si>
  <si>
    <t>INFARTO MEDULAR</t>
  </si>
  <si>
    <t>B/SANTA LUCIA TV 2 A #26-65</t>
  </si>
  <si>
    <t>RESECCIÓN TUMORAL  CEREBRO</t>
  </si>
  <si>
    <t>autorizacion previa  ----- OCTUBRWE 12/10/2018 BRIANA INFORMA Q LAS TERAPIAS SE VAN A ENTREGAR CON LA FECHA DE LAS TERAPIAS AL COMPLETAR LOS 30 DIAS. AUNQ SE SALGA DE ENFERMERIA</t>
  </si>
  <si>
    <t>ENFERMERA ROSIRIS ARROYO</t>
  </si>
  <si>
    <t>HILDA MARIA</t>
  </si>
  <si>
    <t xml:space="preserve"> MORELOS MONTERROSA</t>
  </si>
  <si>
    <t>ISQUEMIA TRAUMATICA</t>
  </si>
  <si>
    <t xml:space="preserve">CORREGIMIENTO SANTA LUCIA </t>
  </si>
  <si>
    <t xml:space="preserve">ELIA ROSA </t>
  </si>
  <si>
    <t>MATHIEU DE MADERA</t>
  </si>
  <si>
    <t>CRA 6 # 21-63 B/LA LUCHA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</si>
  <si>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</si>
  <si>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</si>
  <si>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</si>
  <si>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</si>
  <si>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</si>
  <si>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</si>
  <si>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CALLE 36 # 10-17</t>
  </si>
  <si>
    <t>TR C/6H X 5 DIAS</t>
  </si>
  <si>
    <t>MIGUEL ALBERTO</t>
  </si>
  <si>
    <t xml:space="preserve"> YANEZ ALEMAN</t>
  </si>
  <si>
    <t>CA LARINGE</t>
  </si>
  <si>
    <t>VDA SANTA ISABEL</t>
  </si>
  <si>
    <t>348980224-3226097223</t>
  </si>
  <si>
    <t>TR C/6DIAS X 1 MES</t>
  </si>
  <si>
    <t>LA FT AURA INFORAMQUE LA APCIENTE FUE TRASLADADA AL SERVICIO DE URGENCIAS</t>
  </si>
  <si>
    <t>briana informa q pasa a permanente</t>
  </si>
  <si>
    <t xml:space="preserve">LORENY </t>
  </si>
  <si>
    <t>ANDI WILLIAM</t>
  </si>
  <si>
    <t>GOMEZ VARILLA</t>
  </si>
  <si>
    <t>VDA LOS PERICOS</t>
  </si>
  <si>
    <t xml:space="preserve">ORLANDO </t>
  </si>
  <si>
    <t>BABILONIA YEPES</t>
  </si>
  <si>
    <t>PURISIMA</t>
  </si>
  <si>
    <t>3114300528- 3235302550</t>
  </si>
  <si>
    <t>RAMIRO ROBERTO</t>
  </si>
  <si>
    <t>RAMOS HERNANDEZ</t>
  </si>
  <si>
    <t>CALLE 21 #11-88 B/JERUSALEN</t>
  </si>
  <si>
    <t>AMELIA EUGENIA</t>
  </si>
  <si>
    <t>MILANES DE LUJAN</t>
  </si>
  <si>
    <t>FX PERTROCANTERICA</t>
  </si>
  <si>
    <t xml:space="preserve">URB. MA ANGELICA, CALLE 9A #7A-60 </t>
  </si>
  <si>
    <t>3205840465-3007565277</t>
  </si>
  <si>
    <t>REGINA DEL ROSARIO</t>
  </si>
  <si>
    <t>NILMA ROSA</t>
  </si>
  <si>
    <t>CARRASCO CARMONA</t>
  </si>
  <si>
    <t>CR 15 9 A 58 BARRIO AV SANTANDER</t>
  </si>
  <si>
    <t>FELIPA BENICIA</t>
  </si>
  <si>
    <t>ARRIETA DE BERASTEGUI</t>
  </si>
  <si>
    <t>CALLE 16 #9C-22 B/SANTA PAULA</t>
  </si>
  <si>
    <t>MARCO FIDEL</t>
  </si>
  <si>
    <t>MARMOL CHAMORRRO</t>
  </si>
  <si>
    <t>VDA VILLA CLARA</t>
  </si>
  <si>
    <t>3205850263-3215867832</t>
  </si>
  <si>
    <t>EDILBERTO ANTONIO</t>
  </si>
  <si>
    <t>ALVAREZ BELLO</t>
  </si>
  <si>
    <t>INFARTO CEREBRAL</t>
  </si>
  <si>
    <t>VDA TERMOELECTRICA</t>
  </si>
  <si>
    <t>3005634189-3205030153</t>
  </si>
  <si>
    <t xml:space="preserve">MARIA DEL PILAR </t>
  </si>
  <si>
    <t>LOPEZ HERNANDEZ</t>
  </si>
  <si>
    <t>INSUFICIENCIA RENAL CRONICA</t>
  </si>
  <si>
    <t>CANTA CLARO MZ 116 LOTE 26</t>
  </si>
  <si>
    <t>3226235225-3016400000</t>
  </si>
  <si>
    <t>TF C/12 H X 30 DIAS</t>
  </si>
  <si>
    <t>VDA SAN PEDRO- CORRALES</t>
  </si>
  <si>
    <t xml:space="preserve">FLOR MARIA </t>
  </si>
  <si>
    <t>GARCIA DE BULA</t>
  </si>
  <si>
    <t>HTA</t>
  </si>
  <si>
    <t>B/PAYARICA  CALLE 17 #12-5</t>
  </si>
  <si>
    <t>PDTE ORDEN 22/10/2018, JEFE YESENIA ENTREGA PDTE LA HC</t>
  </si>
  <si>
    <t xml:space="preserve">JUDITH </t>
  </si>
  <si>
    <t>POLO ROMERO</t>
  </si>
  <si>
    <t>CRA 14 B #40-23 B/BRIZALIA</t>
  </si>
  <si>
    <t>OCTAVIO LUIS</t>
  </si>
  <si>
    <t>MONTIEL MENDEZ</t>
  </si>
  <si>
    <t>DEMENCIA+ACV</t>
  </si>
  <si>
    <t>MZ 39 LT 12 B/SANTA FE</t>
  </si>
  <si>
    <t>RAFAEL EMIRO</t>
  </si>
  <si>
    <t>HOYOS QUINTANA</t>
  </si>
  <si>
    <t>CA PROSTATA+NEUMONIA</t>
  </si>
  <si>
    <t>HOGAR DE PASO IMAT</t>
  </si>
  <si>
    <t>PDTE ORDEN 22/10/2018 CON TF 30 SS AL MES Y TL20</t>
  </si>
  <si>
    <t>HERMELINDA</t>
  </si>
  <si>
    <t>ESPITIA DORIA</t>
  </si>
  <si>
    <t>MZ 164 LT 10 B/CANTACLARO SECTOR NIPI C</t>
  </si>
  <si>
    <t>3117477372-3225105320</t>
  </si>
  <si>
    <t>FX CADERA IZQUIERDA</t>
  </si>
  <si>
    <t>HUMBERTO MANUEL</t>
  </si>
  <si>
    <t>SALGADO GUERRA</t>
  </si>
  <si>
    <t>PARALISIS DE BELL</t>
  </si>
  <si>
    <t>CALLE 70 BIS # 77J-65 SUR</t>
  </si>
  <si>
    <t>DUEÑAS PADRON</t>
  </si>
  <si>
    <t>B/VENUS CRA 19 #12-43</t>
  </si>
  <si>
    <t>SOLICITA CAMBIO DE TO</t>
  </si>
  <si>
    <t>3145264711-7857386</t>
  </si>
  <si>
    <t>ROBERTO MANUEL</t>
  </si>
  <si>
    <t>FUENTES</t>
  </si>
  <si>
    <t>3016063945-3145171025</t>
  </si>
  <si>
    <t>CALLE 7 #7A-59 B/SAN JOSE</t>
  </si>
  <si>
    <t>LAIDA JULIO</t>
  </si>
  <si>
    <t>LOPEZ LUGO</t>
  </si>
  <si>
    <t>HORARIO DE ATENCION LUNES-MARTES-MIERCOLES 1-5PM</t>
  </si>
  <si>
    <t>EDITH DEL CARMEN</t>
  </si>
  <si>
    <t>BALLESTERO DE HOYOS</t>
  </si>
  <si>
    <t>DORSALGIA</t>
  </si>
  <si>
    <t>CALLE 6 # 18-46 B/6 MARZO</t>
  </si>
  <si>
    <t>3116558216-3126717584</t>
  </si>
  <si>
    <t>DARIS VICTORIA</t>
  </si>
  <si>
    <t>BULA COGOLLO</t>
  </si>
  <si>
    <t xml:space="preserve">B/SANTA ELENA 1 MZ. Q LT 6 </t>
  </si>
  <si>
    <t>3204598419-3146182306 -3116805172</t>
  </si>
  <si>
    <t>SOLO POR UN MES 23/10/2018 AL 22/11/2018, POR AHORA CONFIRMAR CON BRIANNA LA CONTUNUIDAD</t>
  </si>
  <si>
    <t>LUZ MARINA</t>
  </si>
  <si>
    <t>CASTELLAR MEZA</t>
  </si>
  <si>
    <t>FX DE FEMUR DERECHO</t>
  </si>
  <si>
    <t>CRA 4 #95-85 B/MOCARI</t>
  </si>
  <si>
    <t>3015332180-3103611645</t>
  </si>
  <si>
    <t>MIERCOLES</t>
  </si>
  <si>
    <t>JUEVES</t>
  </si>
  <si>
    <t>INDEFINIDO                                                                        INICIA CON 20 SS A PARTIR DE 01/11/2018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</si>
  <si>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</si>
  <si>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</si>
  <si>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</si>
  <si>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</si>
  <si>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</si>
  <si>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EDUARDO DE JESUS</t>
  </si>
  <si>
    <t>CARRASCAL DIAZ</t>
  </si>
  <si>
    <t>B/PASATIEMPO CALLE 24 #19-30 CASA 2</t>
  </si>
  <si>
    <t>LUIS ALBERTO</t>
  </si>
  <si>
    <t>BENITO REVOLLO</t>
  </si>
  <si>
    <t>TRAUMATISMO MULTIPLES DE TORAX</t>
  </si>
  <si>
    <t xml:space="preserve">B/SAN FRANCISCO </t>
  </si>
  <si>
    <t>A PARTIR DEL 01 DE NOV Y HASTA EL 30 DE ABRIL 2019 SE AUMENTARAN LAS SS DE 20 SS A 40 SS MES ORDEN POR 6 MESES</t>
  </si>
  <si>
    <t xml:space="preserve">JULIO CESAR </t>
  </si>
  <si>
    <t>CORONADO PEREZ</t>
  </si>
  <si>
    <t>VDA EL VIDRIAL</t>
  </si>
  <si>
    <t>3136117314-3104689530</t>
  </si>
  <si>
    <t>CALLE 25 # 22 D -25 B/VILLA ROCIO</t>
  </si>
  <si>
    <t xml:space="preserve">PDTE  PAQUETE ANTERIOR DE 15 SS DEL </t>
  </si>
  <si>
    <t>ORDEN QUE INICIA 07/10/2018 AL 06/04/2019</t>
  </si>
  <si>
    <t>RAQUEL DE JESUS</t>
  </si>
  <si>
    <t>HERNANDEZ NORIEGA</t>
  </si>
  <si>
    <t>B/EDMUNDO Lopez</t>
  </si>
  <si>
    <t>3015813583 DAYANA NIETA</t>
  </si>
  <si>
    <t>se INCIIA NUEVA ORDEN A PARTIR DEL 04/11/2018 Y HASTA FE  03/02/2019, CON TF 20, TO 20, TL 20, X 3 MESES 60 SS EN TOTAL DE C/U.</t>
  </si>
  <si>
    <t>BRIANA INFORMA Q NOSOTROS SEGUIMOS PIDIENDO LAS TERAPIAS</t>
  </si>
  <si>
    <t>YERLIS YULIETH</t>
  </si>
  <si>
    <t>MARTINEZ MONTALVO</t>
  </si>
  <si>
    <t>PCI + NEUMONIA</t>
  </si>
  <si>
    <t>TR C/6H X 30 DIAS</t>
  </si>
  <si>
    <t>1 DIARIA X 60 DIAS</t>
  </si>
  <si>
    <t>Autorizacion valida por el mes de noviembre</t>
  </si>
  <si>
    <t>16 SS MENSUALES POR 3 MESES</t>
  </si>
  <si>
    <t>ELIZABETH SHIRLEY</t>
  </si>
  <si>
    <t>BARRETO VEGA</t>
  </si>
  <si>
    <t>calle  42 # 10a -36 b/laureles</t>
  </si>
  <si>
    <t>JORGE ELIECER</t>
  </si>
  <si>
    <t>LOPEZ SANCHEZ</t>
  </si>
  <si>
    <t>FASCITIS DIFUSA</t>
  </si>
  <si>
    <t>B/PALMIRA FRENTE A GCELCA</t>
  </si>
  <si>
    <t>LUIS ALFONSO</t>
  </si>
  <si>
    <t>NEGRETTE MATTOS</t>
  </si>
  <si>
    <t>B/EL POBLADO CALLE 20 #25B-120</t>
  </si>
  <si>
    <t xml:space="preserve">PEDRO NEL </t>
  </si>
  <si>
    <t>RACERO NARVAEZ</t>
  </si>
  <si>
    <t>San Sebastián</t>
  </si>
  <si>
    <t>312 826 3619</t>
  </si>
  <si>
    <t>MARIA JOSE GUZMAN</t>
  </si>
  <si>
    <t>SEVERIANO</t>
  </si>
  <si>
    <t>QUIÑONES BALTAZAR</t>
  </si>
  <si>
    <t>CA PROSTATA</t>
  </si>
  <si>
    <t>CL20 KR 74 109 BR SAN LUIS</t>
  </si>
  <si>
    <t>ENF. DESMIELINIZANTE</t>
  </si>
  <si>
    <t>CA COLON</t>
  </si>
  <si>
    <t>ARTRITIS REUMATOIDE</t>
  </si>
  <si>
    <t>MENINGITIS</t>
  </si>
  <si>
    <t>CONFIRMAR CONTINUIDAD</t>
  </si>
  <si>
    <t>FALLECE INFORMA FT JAIME 05/11/2018</t>
  </si>
  <si>
    <t xml:space="preserve">nov TF 12ss,  dic TF 12 ss, Enero TF 16ss.  </t>
  </si>
  <si>
    <t>SE REALIZARON EN OCTUBRE</t>
  </si>
  <si>
    <t xml:space="preserve">SE REALIZAN EN NOV, SE HABLO CON BRIANA EL 07/11/2018 </t>
  </si>
  <si>
    <t>MARCELO</t>
  </si>
  <si>
    <t>ROMERO BUELVAS</t>
  </si>
  <si>
    <t>PLANETA RICA B/LAURELES CLL 18 #4-40</t>
  </si>
  <si>
    <t>3102850208-3114187395</t>
  </si>
  <si>
    <t>12 ss mensuales c/u por 3 meses</t>
  </si>
  <si>
    <t>ISQUEMIA</t>
  </si>
  <si>
    <t>X 4MESES</t>
  </si>
  <si>
    <t>FALLECE INFORMA JEFE KELLY 08/11/2018</t>
  </si>
  <si>
    <t>paciente x 4 meses</t>
  </si>
  <si>
    <t>HERIBERTO DANIEL</t>
  </si>
  <si>
    <t xml:space="preserve"> LOPEZ MARTINEZ</t>
  </si>
  <si>
    <t>BRONCONEUMONIA</t>
  </si>
  <si>
    <t>B/LA JULIA  CALLE 21 #21-64</t>
  </si>
  <si>
    <t>3004179310-7834730</t>
  </si>
  <si>
    <t>ESPIDIA</t>
  </si>
  <si>
    <t>CARE POLO</t>
  </si>
  <si>
    <t>HEMORRAGIA SUBARACNIODEA</t>
  </si>
  <si>
    <t>SAN ANDRES DE SOTAVENTO</t>
  </si>
  <si>
    <t>VDA MALA NOCHE</t>
  </si>
  <si>
    <t>3114399841-3136089887</t>
  </si>
  <si>
    <t>ZULEIMA GOMEZ</t>
  </si>
  <si>
    <t>X 3 MESES</t>
  </si>
  <si>
    <t>MANUELA DE JESUS</t>
  </si>
  <si>
    <t>BANDA BANDA</t>
  </si>
  <si>
    <t>REMPLAZO PARCIAL DE CADERA</t>
  </si>
  <si>
    <t>CALLE CHIMA</t>
  </si>
  <si>
    <t xml:space="preserve">YULEIDIS </t>
  </si>
  <si>
    <t>PADILLA MARTINEZ</t>
  </si>
  <si>
    <t>B/CANDELARIA CLL2 a#28A-23</t>
  </si>
  <si>
    <t>VENTURA DE JESUS</t>
  </si>
  <si>
    <t>DIAZ DE SOLANO</t>
  </si>
  <si>
    <t>B/LA FLORESTA CRA 15 E #39-08</t>
  </si>
  <si>
    <t>3206531065-3126392567</t>
  </si>
  <si>
    <t>ROSINA ISABEL</t>
  </si>
  <si>
    <t>OLIVARES MORELO</t>
  </si>
  <si>
    <t>B/CENTRO CRA 8 # 27-22</t>
  </si>
  <si>
    <t>3175012708-3217096010</t>
  </si>
  <si>
    <t>1 X DIA</t>
  </si>
  <si>
    <t>X 2 MESES</t>
  </si>
  <si>
    <t>FT AURA SE COMPROMETE A TRAEER LA HC Y CC DE LA PTE  10/11/2018</t>
  </si>
  <si>
    <t>&lt;</t>
  </si>
  <si>
    <t>NO CONTAMOS CON EL PROF  ZONA DE DIFICIL ACCESO</t>
  </si>
  <si>
    <t>PDTE ORDEN DE PAQUETE NEUROLOGICO FI 17/11/2018 Y FE 10/12/2018</t>
  </si>
  <si>
    <t>ANILLO VIAL</t>
  </si>
  <si>
    <t>PAQ 1 X 3 MESES (CUENTAS PARA EL FAMILIAR)</t>
  </si>
  <si>
    <t>SE INICIA DESPUES DE LA FECHA DE ENTREGA DEBIDO A Q FINALIZO EL PAQ ANTERIOOR ELM 15/11/2018</t>
  </si>
  <si>
    <t>TR C/6 H X 3 DIAS</t>
  </si>
  <si>
    <t xml:space="preserve">NUBIA ESTHER </t>
  </si>
  <si>
    <t>BOHORQUEZ PINTO</t>
  </si>
  <si>
    <t>NEUMONIA + EPOC</t>
  </si>
  <si>
    <t xml:space="preserve">B/MINUTOS DE DIOS CALLE 30 MZ E LT 2 </t>
  </si>
  <si>
    <t>3113869531-3216475261</t>
  </si>
  <si>
    <t>TR C/12H X 5 DIAS</t>
  </si>
  <si>
    <t>DURANTE MORALES</t>
  </si>
  <si>
    <t>B/CASTELLANA CRA 11 #55-45             3106029538</t>
  </si>
  <si>
    <t xml:space="preserve">   </t>
  </si>
  <si>
    <t>SE VAN A REALIZAR TR LA DRA AURA MONTALVO</t>
  </si>
  <si>
    <t>14/11/2018 AL 13/12/2018</t>
  </si>
  <si>
    <t>T. PSICOLOGICA</t>
  </si>
  <si>
    <t>T. FISICA</t>
  </si>
  <si>
    <t>T. FONOAUDIOLOGICA</t>
  </si>
  <si>
    <t xml:space="preserve">T. OCUPACIONAL </t>
  </si>
  <si>
    <t>14/12/2018 AL 13/01/2019</t>
  </si>
  <si>
    <t>14/01/2019 AL 13/02/2019</t>
  </si>
  <si>
    <t>ANGELY ARGEL</t>
  </si>
  <si>
    <t>14/02/2019 AL 13/03/2019</t>
  </si>
  <si>
    <t>TOTAL</t>
  </si>
  <si>
    <t>MES</t>
  </si>
  <si>
    <t>14/03/2019 AL 13/04/2019</t>
  </si>
  <si>
    <t>HOSPITALIZADA DESDE EL 11/11/2018 INFORMA TL TIBY</t>
  </si>
  <si>
    <t xml:space="preserve">MARIA EFIGENIA </t>
  </si>
  <si>
    <t>HERAZO DE OTERO</t>
  </si>
  <si>
    <t>CALLE 15 # 3 21 BARRIO EL CARMEN 3014842627</t>
  </si>
  <si>
    <t>20 SS AL MES HASTA TERMINAR ORDEN  ULTIMO PAQUETE DE 10</t>
  </si>
  <si>
    <t>FALLECE INFORMA JEFE KELLY 14/11/2018</t>
  </si>
  <si>
    <t>PDTE ORDEN DE PAQUETE TQT FI 17/11/2018 Y FE 10/12/2018</t>
  </si>
  <si>
    <t xml:space="preserve">EDELMIRA RITA </t>
  </si>
  <si>
    <t>PETRO DIAZ</t>
  </si>
  <si>
    <t>B/FLORESTA CRA 15 A # 38-26</t>
  </si>
  <si>
    <t>3155303384-3014296439</t>
  </si>
  <si>
    <t>TRAQUEOSTOMIA</t>
  </si>
  <si>
    <t>FALLECE INFORMA JEFE YESENIA 15/11/2018</t>
  </si>
  <si>
    <t>SE SIGUE ATENDIENDO NORMAL INFORMA  JEFE YEN¿SENIA Y BRIANA 15/11/2018</t>
  </si>
  <si>
    <t>por girasoles</t>
  </si>
  <si>
    <t>HERNANDEZ BERRIO</t>
  </si>
  <si>
    <t>ENF. VASCULAR PERIFERICA</t>
  </si>
  <si>
    <t>KM 8 VDA LAS PULGAS</t>
  </si>
  <si>
    <t>3116883051-3126860213</t>
  </si>
  <si>
    <t>JOSEFA MARIA</t>
  </si>
  <si>
    <t>PEREZ CERPA</t>
  </si>
  <si>
    <t>ENF. RENAL CORNICA</t>
  </si>
  <si>
    <t>FALLECIO INFORMA FT ERLINDA16/11/2018</t>
  </si>
  <si>
    <t>LAS VILLAS CALLE 25 # 3W-52</t>
  </si>
  <si>
    <t>HERMES ANTONO</t>
  </si>
  <si>
    <t>PESTANA POLO</t>
  </si>
  <si>
    <t>MZ 121 LT 8 B/CANTACLARO</t>
  </si>
  <si>
    <t>15/11/2018 me la enrtega la jefe yesenia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</si>
  <si>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</si>
  <si>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</si>
  <si>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</si>
  <si>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</si>
  <si>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</si>
  <si>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</si>
  <si>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</si>
  <si>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MARIA ANDREA</t>
  </si>
  <si>
    <t>LEGUIZAMON CARVAJAL</t>
  </si>
  <si>
    <t>CALLE 36 #14B-34</t>
  </si>
  <si>
    <t xml:space="preserve">ALEJANDRO ANTONIO </t>
  </si>
  <si>
    <t>GONZALEZ PEREZ</t>
  </si>
  <si>
    <t>TR C/8 H X 30 DIAS</t>
  </si>
  <si>
    <t>TF C/12H X 30 DIAS</t>
  </si>
  <si>
    <t>b/los almendros calle 7 con 12</t>
  </si>
  <si>
    <t>3233673100 -3112721336</t>
  </si>
  <si>
    <t>JOSE ADAN</t>
  </si>
  <si>
    <t>REDONDO MORALES</t>
  </si>
  <si>
    <t>3135119068---3016843462</t>
  </si>
  <si>
    <t>TF 12 SS X MES X 4 MESES</t>
  </si>
  <si>
    <t>MANUEL MARIA</t>
  </si>
  <si>
    <t>MACHADO CASTRO</t>
  </si>
  <si>
    <t>CALLE 21 #8A-83 B/BALBOA</t>
  </si>
  <si>
    <t>GABRIEL ANGEL</t>
  </si>
  <si>
    <t>PADILLA MONTALVO</t>
  </si>
  <si>
    <t xml:space="preserve">TF 60 SS X MES X 4 MESES, </t>
  </si>
  <si>
    <t>BRIANA INFORMA QUE SE PUEDE INCIAR LAS SS CON EL CORREO ENVIADO POR MAIRA ALEJANDRA RICARDO PROMOTORA SALUD VIDA</t>
  </si>
  <si>
    <t>VIERNES</t>
  </si>
  <si>
    <t>FT CLAUDIA</t>
  </si>
  <si>
    <t>TL MARIA JO</t>
  </si>
  <si>
    <t>MARIA GUILLERMINA</t>
  </si>
  <si>
    <t>VARGAS GONZALEZ</t>
  </si>
  <si>
    <t xml:space="preserve">barrio los Robles 2 mz p lote 24 </t>
  </si>
  <si>
    <t>3145880355- 3103537488</t>
  </si>
  <si>
    <t>EUNICE MARIA</t>
  </si>
  <si>
    <t>RESTAN DE GARCIA</t>
  </si>
  <si>
    <t>ENF. CONVULSIVA</t>
  </si>
  <si>
    <t>7839577- 3173627651</t>
  </si>
  <si>
    <t xml:space="preserve"> CALLE 29 N 16-124 B/PASATIEMPO</t>
  </si>
  <si>
    <t>OBS NO SE ENTREGAN PARA NOVIEMBRE</t>
  </si>
  <si>
    <t>FALLECIO INFORMA JEFE YESENIA EL 26112018</t>
  </si>
  <si>
    <t xml:space="preserve">HERNANDO ALBERTO </t>
  </si>
  <si>
    <t>BUELVAS BUELVAS</t>
  </si>
  <si>
    <t xml:space="preserve">CA PROSTATA </t>
  </si>
  <si>
    <t xml:space="preserve">CLL 43 CRA 8 N° 7-70 B/ LOS LAURELES </t>
  </si>
  <si>
    <t>LOPEZ SIMANCA</t>
  </si>
  <si>
    <t>ISIDRO FIDEL</t>
  </si>
  <si>
    <t>B/LA FLORESTA Cra 15D #38-103</t>
  </si>
  <si>
    <t>3164917927-3014383932</t>
  </si>
  <si>
    <t>HILDA</t>
  </si>
  <si>
    <t xml:space="preserve"> VANILA DIAZ</t>
  </si>
  <si>
    <t xml:space="preserve">B/VILLA CIELO MZ 16 LT 09 </t>
  </si>
  <si>
    <t>TR C/6H X 6 DIAS</t>
  </si>
  <si>
    <t>LUZ ESTHER</t>
  </si>
  <si>
    <t>RAMOS URANGO</t>
  </si>
  <si>
    <t>B/LOS NOGALES MZ I LT 5 ETAPA 4</t>
  </si>
  <si>
    <t>3102826924-3106947896</t>
  </si>
  <si>
    <t xml:space="preserve">ADRIANA PATRICIA </t>
  </si>
  <si>
    <t>CALLE ZABALA</t>
  </si>
  <si>
    <t>Cll 11 Cr 9 # 11 - 36 B/PIÑALITO</t>
  </si>
  <si>
    <t>3205050201 – 3133274042</t>
  </si>
  <si>
    <t>NAIRA HERAZO</t>
  </si>
  <si>
    <t>PDTE ENVIO DE LA HC POR PARTE DE LA FT MONICA DE LA OSSA</t>
  </si>
  <si>
    <t>fallece info ft susana 26/11/2018</t>
  </si>
  <si>
    <t>FALLECIO INFORMA FT YENNYS EL 26/11/2018</t>
  </si>
  <si>
    <t>PDTE ORDEN ENLA CARPETA CON TF 12 SS, FI 01/12/2018 AL 31/12/2018</t>
  </si>
  <si>
    <t>PDTE ORDEN EN CARPERA POR 6 MESES FI 01/12/2018 AL 30/05/2019, CON TF 20, TO 20, TL 20, TR 20</t>
  </si>
  <si>
    <t>MARIA AURORA</t>
  </si>
  <si>
    <t>BRISAS DEL SINU MZ 5 LOTE 6</t>
  </si>
  <si>
    <t>EVER LUIS</t>
  </si>
  <si>
    <t>RODRIGUEZ ANGULO</t>
  </si>
  <si>
    <t>TRAUMATISMO RAQUIMEDULAR</t>
  </si>
  <si>
    <t>B/BOSQUE CRA 10 #9-23</t>
  </si>
  <si>
    <t>3226987190-3107425906</t>
  </si>
  <si>
    <t>SUSANA BUELVAS</t>
  </si>
  <si>
    <t>B/MOGAMBO</t>
  </si>
  <si>
    <t>SOFIA JERONIMA</t>
  </si>
  <si>
    <t>VIDAL TORRES</t>
  </si>
  <si>
    <t>3045963178 - 7927490</t>
  </si>
  <si>
    <t>20 ss al mes x 3 meses</t>
  </si>
  <si>
    <t>B/juan XXIII cra 2 oeste  # 35-60</t>
  </si>
  <si>
    <t>HINCAPIE DE VELAZQUEZ</t>
  </si>
  <si>
    <t>OSTEARTROSIS</t>
  </si>
  <si>
    <t>12 SS DICIEMBRE--------12 SS ENERO-----12 SS MARZO----- 4 SS ABRIL</t>
  </si>
  <si>
    <t>FALLECIO INFORMA BRINNY EL 27/11/2018</t>
  </si>
  <si>
    <t>JAIDER LUIS</t>
  </si>
  <si>
    <t>CANTERO LLORENTE</t>
  </si>
  <si>
    <t>LOS MONOS</t>
  </si>
  <si>
    <t>3148674744-3106458000 - 3106555447 - 3114229801</t>
  </si>
  <si>
    <t>CONFIRMAR ATENCION POR ENFERMERIA PARA SABER SI SE REENVIA O NO A LA JEFE YENNY</t>
  </si>
  <si>
    <t>PDTE ORDEN ENLA CARPETA CON TF 30 Y TR 60 PARA INICIAR EL 01/12/2018 AL 31/12/2018</t>
  </si>
  <si>
    <t xml:space="preserve">PDTE ORDEN CON TF 20 SS Y TR </t>
  </si>
  <si>
    <t>se cobra en diciemrbe con fecha de noviembre</t>
  </si>
  <si>
    <t>ELISA MARIA</t>
  </si>
  <si>
    <t>DE LA CRUZ SUAREZ</t>
  </si>
  <si>
    <t>RTC IZQ</t>
  </si>
  <si>
    <t xml:space="preserve">NUEVA ESPERANZA VIA EL CARIÑITO </t>
  </si>
  <si>
    <t xml:space="preserve">3163065224  3158445187 </t>
  </si>
  <si>
    <t>60 DEL 10/10/2018 AL 09/11/2018</t>
  </si>
  <si>
    <t>INFORMA JEFE YESENIA DEL PAQUETE COMPLETO EL 28/11/2018</t>
  </si>
  <si>
    <t>60   EN TOTAL.     TF 20 SS MES X 3 MESES FI 22/11/2018 Y FE 21/02/2019</t>
  </si>
  <si>
    <t>270 TOTAL           TR C/8H X 3 MESES  FI 22/11/2018 Y FE 21/02/2019</t>
  </si>
  <si>
    <t>EDITH CLARA</t>
  </si>
  <si>
    <t>PERIÑAN FLOREZ</t>
  </si>
  <si>
    <t>B/CANTACLARO LA UNION MZ 192 LT 12</t>
  </si>
  <si>
    <t>3113410070-3217038787</t>
  </si>
  <si>
    <t>paciente que se encuentra hospitalizada  desde aprox el 15/11/2018</t>
  </si>
  <si>
    <t xml:space="preserve">LUCINDA SOFIA </t>
  </si>
  <si>
    <t xml:space="preserve">OTERO DE VERGARA </t>
  </si>
  <si>
    <t>ACV-FX CADERA</t>
  </si>
  <si>
    <t>CLLE 22 #4Y5 CENTRO # 4-19</t>
  </si>
  <si>
    <t>SE SIGUE ATENDIENDO NORMAL INFORMA  JEFE YENSENIA Y BRIANA 15/11/2018</t>
  </si>
  <si>
    <t>se hospitalizo el 18/11/2018 hasta el 29/11/2018</t>
  </si>
  <si>
    <t>TL LEIDY</t>
  </si>
  <si>
    <t>RUTH DEL CARMEN</t>
  </si>
  <si>
    <t>BALETA NULE</t>
  </si>
  <si>
    <t>BRONQUITIS CRONICA</t>
  </si>
  <si>
    <t>B/EL EDEN DG 19 #15A-27</t>
  </si>
  <si>
    <t>3215432604-3225472898 LILIBETH</t>
  </si>
  <si>
    <t>CINDY DE LA OSSA</t>
  </si>
  <si>
    <t>VALORACION</t>
  </si>
  <si>
    <t>BRIANA RECUERDA QUE DEBES CAMBIAR LA AUTORIZACION, PORQUE ESTA REPETIDA LA TR, LE VAMOS A REALIZAR SOLO 30 TR</t>
  </si>
  <si>
    <t xml:space="preserve">digna </t>
  </si>
  <si>
    <t>maria berthel</t>
  </si>
  <si>
    <t>loriz</t>
  </si>
  <si>
    <t>lean</t>
  </si>
  <si>
    <t xml:space="preserve">josefa </t>
  </si>
  <si>
    <t xml:space="preserve">olga </t>
  </si>
  <si>
    <t>teolinda</t>
  </si>
  <si>
    <t xml:space="preserve">diego </t>
  </si>
  <si>
    <t xml:space="preserve">yesica </t>
  </si>
  <si>
    <t>remberto</t>
  </si>
  <si>
    <t>mariajose</t>
  </si>
  <si>
    <t>fallecio informa ft biabelsis el 29/11/2018</t>
  </si>
  <si>
    <t>NAIRA ERAZO</t>
  </si>
  <si>
    <t>TL 2 X DIA, 5 VECES A LA SEMANA, 40 SS AL MES X 2 MESES.   FI01/12/2018 Y FE 30/01/2019</t>
  </si>
  <si>
    <t>CASERIO MORALITO</t>
  </si>
  <si>
    <t>3214007401-3135272095-3235167595</t>
  </si>
  <si>
    <t>FALLECE INFORMA JEFE YESENIA 30/11/2018</t>
  </si>
  <si>
    <t>ZELIDETH ELIONOR</t>
  </si>
  <si>
    <t>PETRO DE ARGEL</t>
  </si>
  <si>
    <t>VERTIGO</t>
  </si>
  <si>
    <t xml:space="preserve">B/LA ESPERANZA </t>
  </si>
  <si>
    <t>3007716264 - 3002110777</t>
  </si>
  <si>
    <t>Pdte ENVIO DE LA HC POR PARTE DE LA FT brinny jalal</t>
  </si>
  <si>
    <t>FI 10/12/2018 AL 30/12/2018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</si>
</sst>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$&quot;\ #,##0;[Red]\-&quot;$&quot;\ #,##0"/>
    <numFmt numFmtId="8" formatCode="&quot;$&quot;\ #,##0.00;[Red]\-&quot;$&quot;\ #,##0.00"/>
    <numFmt numFmtId="164" formatCode="&quot;$&quot;\ #,##0"/>
    <numFmt numFmtId="165" formatCode="&quot;$&quot;\ #,##0;[Red]&quot;$&quot;\ #,##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indexed="10"/>
      <name val="Tahoma"/>
      <family val="2"/>
    </font>
    <font>
      <sz val="9"/>
      <color indexed="10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CF5E7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AF7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EFAF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53ADFF"/>
        <bgColor indexed="64"/>
      </patternFill>
    </fill>
    <fill>
      <patternFill patternType="solid">
        <fgColor rgb="FFD9EDFF"/>
        <bgColor indexed="64"/>
      </patternFill>
    </fill>
    <fill>
      <patternFill patternType="solid">
        <fgColor rgb="FFDFE7F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94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left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Fill="1" applyBorder="1" applyAlignment="1">
      <alignment vertical="center" wrapText="1"/>
    </xf>
    <xf numFmtId="6" fontId="0" fillId="0" borderId="1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3" fontId="0" fillId="0" borderId="0" xfId="0" applyNumberFormat="1" applyFont="1" applyAlignment="1">
      <alignment horizontal="center" vertical="center" wrapText="1"/>
    </xf>
    <xf numFmtId="164" fontId="0" fillId="0" borderId="0" xfId="0" applyNumberFormat="1" applyFont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6" borderId="0" xfId="0" applyFill="1"/>
    <xf numFmtId="0" fontId="3" fillId="0" borderId="0" xfId="0" applyFont="1" applyFill="1"/>
    <xf numFmtId="0" fontId="0" fillId="0" borderId="0" xfId="0" applyFill="1" applyAlignment="1">
      <alignment horizontal="center" wrapText="1"/>
    </xf>
    <xf numFmtId="0" fontId="0" fillId="0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3" xfId="0" applyFill="1" applyBorder="1" applyAlignment="1">
      <alignment horizontal="left" vertical="center" wrapText="1"/>
    </xf>
    <xf numFmtId="0" fontId="0" fillId="4" borderId="25" xfId="0" applyFill="1" applyBorder="1" applyAlignment="1">
      <alignment horizontal="left" wrapText="1"/>
    </xf>
    <xf numFmtId="0" fontId="0" fillId="4" borderId="25" xfId="0" applyFill="1" applyBorder="1" applyAlignment="1">
      <alignment horizontal="center" wrapText="1"/>
    </xf>
    <xf numFmtId="0" fontId="0" fillId="4" borderId="25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wrapText="1"/>
    </xf>
    <xf numFmtId="0" fontId="0" fillId="4" borderId="8" xfId="0" applyFill="1" applyBorder="1" applyAlignment="1">
      <alignment horizontal="left" vertical="center" wrapText="1"/>
    </xf>
    <xf numFmtId="0" fontId="0" fillId="4" borderId="11" xfId="0" applyFill="1" applyBorder="1" applyAlignment="1">
      <alignment horizontal="left" wrapText="1"/>
    </xf>
    <xf numFmtId="0" fontId="0" fillId="4" borderId="11" xfId="0" applyFill="1" applyBorder="1" applyAlignment="1">
      <alignment horizont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left" wrapText="1"/>
    </xf>
    <xf numFmtId="0" fontId="0" fillId="4" borderId="14" xfId="0" applyFill="1" applyBorder="1" applyAlignment="1">
      <alignment horizont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33" xfId="0" applyFill="1" applyBorder="1" applyAlignment="1">
      <alignment horizontal="center" wrapText="1"/>
    </xf>
    <xf numFmtId="0" fontId="0" fillId="4" borderId="43" xfId="0" applyFill="1" applyBorder="1" applyAlignment="1">
      <alignment horizontal="center" wrapText="1"/>
    </xf>
    <xf numFmtId="0" fontId="0" fillId="4" borderId="36" xfId="0" applyFill="1" applyBorder="1" applyAlignment="1">
      <alignment horizontal="center" wrapText="1"/>
    </xf>
    <xf numFmtId="0" fontId="0" fillId="4" borderId="11" xfId="0" applyFill="1" applyBorder="1" applyAlignment="1">
      <alignment horizontal="left" vertical="center" wrapText="1"/>
    </xf>
    <xf numFmtId="0" fontId="0" fillId="4" borderId="25" xfId="0" applyFill="1" applyBorder="1" applyAlignment="1">
      <alignment horizontal="left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left" vertical="center" wrapText="1"/>
    </xf>
    <xf numFmtId="0" fontId="0" fillId="4" borderId="23" xfId="0" applyFill="1" applyBorder="1" applyAlignment="1">
      <alignment horizontal="left" wrapText="1"/>
    </xf>
    <xf numFmtId="0" fontId="0" fillId="4" borderId="17" xfId="0" applyFill="1" applyBorder="1" applyAlignment="1">
      <alignment horizontal="center" vertical="center" wrapText="1"/>
    </xf>
    <xf numFmtId="0" fontId="0" fillId="4" borderId="34" xfId="0" applyFill="1" applyBorder="1" applyAlignment="1">
      <alignment horizontal="center" wrapText="1"/>
    </xf>
    <xf numFmtId="0" fontId="0" fillId="4" borderId="47" xfId="0" applyFill="1" applyBorder="1" applyAlignment="1">
      <alignment horizontal="center" wrapText="1"/>
    </xf>
    <xf numFmtId="0" fontId="0" fillId="4" borderId="8" xfId="0" applyFill="1" applyBorder="1" applyAlignment="1">
      <alignment horizontal="center" wrapText="1"/>
    </xf>
    <xf numFmtId="0" fontId="1" fillId="4" borderId="36" xfId="0" applyFont="1" applyFill="1" applyBorder="1" applyAlignment="1">
      <alignment horizontal="center" wrapText="1"/>
    </xf>
    <xf numFmtId="0" fontId="0" fillId="4" borderId="37" xfId="0" applyFill="1" applyBorder="1" applyAlignment="1">
      <alignment horizontal="center" wrapText="1"/>
    </xf>
    <xf numFmtId="0" fontId="0" fillId="4" borderId="6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wrapText="1"/>
    </xf>
    <xf numFmtId="0" fontId="2" fillId="4" borderId="6" xfId="0" applyFont="1" applyFill="1" applyBorder="1" applyAlignment="1">
      <alignment horizontal="center" vertical="center" wrapText="1"/>
    </xf>
    <xf numFmtId="0" fontId="0" fillId="4" borderId="17" xfId="0" applyFill="1" applyBorder="1" applyAlignment="1">
      <alignment horizontal="left" wrapText="1"/>
    </xf>
    <xf numFmtId="0" fontId="2" fillId="4" borderId="17" xfId="0" applyFont="1" applyFill="1" applyBorder="1" applyAlignment="1">
      <alignment horizontal="center" vertical="center" wrapText="1"/>
    </xf>
    <xf numFmtId="0" fontId="0" fillId="4" borderId="19" xfId="0" applyFill="1" applyBorder="1" applyAlignment="1">
      <alignment horizontal="left" vertical="center" wrapText="1"/>
    </xf>
    <xf numFmtId="0" fontId="0" fillId="4" borderId="26" xfId="0" applyFill="1" applyBorder="1" applyAlignment="1">
      <alignment horizontal="left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0" fontId="0" fillId="4" borderId="40" xfId="0" applyFill="1" applyBorder="1" applyAlignment="1">
      <alignment horizontal="center" wrapText="1"/>
    </xf>
    <xf numFmtId="0" fontId="0" fillId="4" borderId="41" xfId="0" applyFill="1" applyBorder="1" applyAlignment="1">
      <alignment horizontal="center" wrapText="1"/>
    </xf>
    <xf numFmtId="0" fontId="4" fillId="4" borderId="41" xfId="0" applyFont="1" applyFill="1" applyBorder="1" applyAlignment="1">
      <alignment horizontal="center" wrapText="1"/>
    </xf>
    <xf numFmtId="0" fontId="0" fillId="4" borderId="14" xfId="0" applyFill="1" applyBorder="1" applyAlignment="1">
      <alignment horizontal="left" vertical="center" wrapText="1"/>
    </xf>
    <xf numFmtId="0" fontId="0" fillId="4" borderId="42" xfId="0" applyFill="1" applyBorder="1" applyAlignment="1">
      <alignment horizontal="center" wrapText="1"/>
    </xf>
    <xf numFmtId="0" fontId="0" fillId="4" borderId="39" xfId="0" applyFill="1" applyBorder="1" applyAlignment="1">
      <alignment horizontal="center" wrapText="1"/>
    </xf>
    <xf numFmtId="0" fontId="0" fillId="7" borderId="32" xfId="0" applyFill="1" applyBorder="1" applyAlignment="1">
      <alignment horizontal="left" vertical="center"/>
    </xf>
    <xf numFmtId="0" fontId="0" fillId="7" borderId="26" xfId="0" applyFill="1" applyBorder="1" applyAlignment="1">
      <alignment horizontal="left" vertical="center"/>
    </xf>
    <xf numFmtId="0" fontId="0" fillId="7" borderId="6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wrapText="1"/>
    </xf>
    <xf numFmtId="0" fontId="0" fillId="7" borderId="8" xfId="0" applyFill="1" applyBorder="1" applyAlignment="1">
      <alignment horizontal="left" vertical="center" wrapText="1"/>
    </xf>
    <xf numFmtId="0" fontId="0" fillId="7" borderId="14" xfId="0" applyFill="1" applyBorder="1" applyAlignment="1">
      <alignment horizontal="left" wrapText="1"/>
    </xf>
    <xf numFmtId="0" fontId="2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wrapText="1"/>
    </xf>
    <xf numFmtId="0" fontId="0" fillId="7" borderId="2" xfId="0" applyFill="1" applyBorder="1" applyAlignment="1">
      <alignment horizontal="center" vertical="center" wrapText="1"/>
    </xf>
    <xf numFmtId="0" fontId="4" fillId="7" borderId="41" xfId="0" applyFont="1" applyFill="1" applyBorder="1" applyAlignment="1">
      <alignment horizontal="center" wrapText="1"/>
    </xf>
    <xf numFmtId="0" fontId="0" fillId="7" borderId="31" xfId="0" applyFill="1" applyBorder="1" applyAlignment="1">
      <alignment horizontal="left" vertical="center" wrapText="1"/>
    </xf>
    <xf numFmtId="0" fontId="0" fillId="7" borderId="17" xfId="0" applyFill="1" applyBorder="1" applyAlignment="1">
      <alignment horizontal="left" wrapText="1"/>
    </xf>
    <xf numFmtId="0" fontId="0" fillId="7" borderId="17" xfId="0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7" borderId="28" xfId="0" applyFill="1" applyBorder="1" applyAlignment="1">
      <alignment horizontal="center" vertical="center" wrapText="1"/>
    </xf>
    <xf numFmtId="0" fontId="0" fillId="7" borderId="38" xfId="0" applyFill="1" applyBorder="1" applyAlignment="1">
      <alignment horizontal="center" wrapText="1"/>
    </xf>
    <xf numFmtId="0" fontId="0" fillId="7" borderId="46" xfId="0" applyFill="1" applyBorder="1" applyAlignment="1">
      <alignment horizontal="left" vertical="center" wrapText="1"/>
    </xf>
    <xf numFmtId="0" fontId="0" fillId="7" borderId="6" xfId="0" applyFill="1" applyBorder="1" applyAlignment="1">
      <alignment horizontal="left" wrapText="1"/>
    </xf>
    <xf numFmtId="0" fontId="3" fillId="7" borderId="4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25" xfId="0" applyFill="1" applyBorder="1" applyAlignment="1">
      <alignment horizontal="center" wrapText="1"/>
    </xf>
    <xf numFmtId="0" fontId="0" fillId="7" borderId="25" xfId="0" applyFill="1" applyBorder="1" applyAlignment="1">
      <alignment horizontal="center" vertical="center" wrapText="1"/>
    </xf>
    <xf numFmtId="0" fontId="0" fillId="7" borderId="33" xfId="0" applyFill="1" applyBorder="1" applyAlignment="1">
      <alignment horizontal="center" wrapText="1"/>
    </xf>
    <xf numFmtId="0" fontId="0" fillId="7" borderId="47" xfId="0" applyFill="1" applyBorder="1" applyAlignment="1">
      <alignment horizontal="center" wrapText="1"/>
    </xf>
    <xf numFmtId="0" fontId="0" fillId="7" borderId="11" xfId="0" applyFill="1" applyBorder="1" applyAlignment="1">
      <alignment horizontal="center" vertical="center" wrapText="1"/>
    </xf>
    <xf numFmtId="0" fontId="0" fillId="7" borderId="36" xfId="0" applyFill="1" applyBorder="1" applyAlignment="1">
      <alignment horizont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wrapText="1"/>
    </xf>
    <xf numFmtId="0" fontId="0" fillId="7" borderId="1" xfId="0" applyFill="1" applyBorder="1" applyAlignment="1">
      <alignment horizontal="left" wrapText="1"/>
    </xf>
    <xf numFmtId="0" fontId="1" fillId="7" borderId="36" xfId="0" applyFont="1" applyFill="1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0" fillId="7" borderId="34" xfId="0" applyFill="1" applyBorder="1" applyAlignment="1">
      <alignment horizontal="center" wrapText="1"/>
    </xf>
    <xf numFmtId="0" fontId="0" fillId="7" borderId="17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0" fillId="7" borderId="25" xfId="0" applyFill="1" applyBorder="1" applyAlignment="1">
      <alignment horizontal="left" wrapText="1"/>
    </xf>
    <xf numFmtId="0" fontId="0" fillId="7" borderId="14" xfId="0" applyFill="1" applyBorder="1" applyAlignment="1">
      <alignment horizontal="center" vertical="center" wrapText="1"/>
    </xf>
    <xf numFmtId="0" fontId="0" fillId="7" borderId="44" xfId="0" applyFill="1" applyBorder="1" applyAlignment="1">
      <alignment horizontal="center" wrapText="1"/>
    </xf>
    <xf numFmtId="0" fontId="0" fillId="7" borderId="14" xfId="0" applyFill="1" applyBorder="1" applyAlignment="1">
      <alignment horizontal="center" wrapText="1"/>
    </xf>
    <xf numFmtId="0" fontId="0" fillId="7" borderId="30" xfId="0" applyFill="1" applyBorder="1" applyAlignment="1">
      <alignment horizontal="left" wrapText="1"/>
    </xf>
    <xf numFmtId="0" fontId="3" fillId="7" borderId="17" xfId="0" applyFont="1" applyFill="1" applyBorder="1" applyAlignment="1">
      <alignment horizontal="center" vertical="center" wrapText="1"/>
    </xf>
    <xf numFmtId="0" fontId="0" fillId="7" borderId="27" xfId="0" applyFill="1" applyBorder="1" applyAlignment="1">
      <alignment horizontal="center" vertical="center" wrapText="1"/>
    </xf>
    <xf numFmtId="0" fontId="0" fillId="7" borderId="23" xfId="0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0" fillId="4" borderId="48" xfId="0" applyFill="1" applyBorder="1" applyAlignment="1">
      <alignment horizontal="center" wrapText="1"/>
    </xf>
    <xf numFmtId="0" fontId="0" fillId="4" borderId="13" xfId="0" applyFill="1" applyBorder="1" applyAlignment="1">
      <alignment horizontal="center" wrapText="1"/>
    </xf>
    <xf numFmtId="0" fontId="0" fillId="7" borderId="6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wrapText="1"/>
    </xf>
    <xf numFmtId="0" fontId="2" fillId="2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3" fontId="0" fillId="0" borderId="0" xfId="0" applyNumberForma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0" xfId="0" applyFill="1"/>
    <xf numFmtId="0" fontId="0" fillId="8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0" fontId="0" fillId="3" borderId="14" xfId="0" applyFill="1" applyBorder="1" applyAlignment="1">
      <alignment horizontal="center" vertical="center" wrapText="1"/>
    </xf>
    <xf numFmtId="0" fontId="0" fillId="4" borderId="44" xfId="0" applyFill="1" applyBorder="1" applyAlignment="1">
      <alignment horizontal="center" wrapText="1"/>
    </xf>
    <xf numFmtId="0" fontId="0" fillId="7" borderId="17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wrapText="1"/>
    </xf>
    <xf numFmtId="0" fontId="0" fillId="7" borderId="17" xfId="0" applyFill="1" applyBorder="1" applyAlignment="1">
      <alignment horizontal="center" wrapText="1"/>
    </xf>
    <xf numFmtId="0" fontId="0" fillId="4" borderId="4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wrapText="1"/>
    </xf>
    <xf numFmtId="0" fontId="0" fillId="7" borderId="4" xfId="0" applyFill="1" applyBorder="1" applyAlignment="1">
      <alignment horizontal="left" vertical="center" wrapText="1"/>
    </xf>
    <xf numFmtId="0" fontId="0" fillId="7" borderId="17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1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0" fontId="0" fillId="7" borderId="4" xfId="0" applyFill="1" applyBorder="1" applyAlignment="1">
      <alignment horizontal="left" wrapText="1"/>
    </xf>
    <xf numFmtId="0" fontId="0" fillId="7" borderId="23" xfId="0" applyFill="1" applyBorder="1" applyAlignment="1">
      <alignment horizontal="left" wrapText="1"/>
    </xf>
    <xf numFmtId="0" fontId="4" fillId="7" borderId="17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left" wrapText="1"/>
    </xf>
    <xf numFmtId="0" fontId="0" fillId="4" borderId="4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wrapText="1"/>
    </xf>
    <xf numFmtId="0" fontId="0" fillId="7" borderId="2" xfId="0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1" xfId="0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1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25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wrapText="1"/>
    </xf>
    <xf numFmtId="0" fontId="1" fillId="0" borderId="0" xfId="0" applyFont="1" applyFill="1" applyAlignment="1">
      <alignment horizontal="left" wrapText="1"/>
    </xf>
    <xf numFmtId="0" fontId="17" fillId="6" borderId="1" xfId="0" applyFont="1" applyFill="1" applyBorder="1" applyAlignment="1">
      <alignment horizontal="center" vertical="center"/>
    </xf>
    <xf numFmtId="20" fontId="17" fillId="6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center"/>
    </xf>
    <xf numFmtId="0" fontId="16" fillId="0" borderId="0" xfId="0" applyFont="1" applyFill="1"/>
    <xf numFmtId="0" fontId="16" fillId="0" borderId="0" xfId="0" applyFont="1"/>
    <xf numFmtId="0" fontId="16" fillId="0" borderId="0" xfId="0" applyFont="1" applyFill="1" applyAlignment="1">
      <alignment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wrapText="1"/>
    </xf>
    <xf numFmtId="0" fontId="14" fillId="0" borderId="0" xfId="0" applyFont="1" applyAlignment="1">
      <alignment horizontal="center" vertical="center"/>
    </xf>
    <xf numFmtId="14" fontId="0" fillId="4" borderId="4" xfId="0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0" fillId="4" borderId="2" xfId="0" applyNumberFormat="1" applyFill="1" applyBorder="1" applyAlignment="1">
      <alignment horizontal="center" vertical="center" wrapText="1"/>
    </xf>
    <xf numFmtId="14" fontId="0" fillId="4" borderId="17" xfId="0" applyNumberFormat="1" applyFill="1" applyBorder="1" applyAlignment="1">
      <alignment horizontal="center" vertical="center" wrapText="1"/>
    </xf>
    <xf numFmtId="14" fontId="0" fillId="4" borderId="4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14" fontId="0" fillId="10" borderId="3" xfId="0" applyNumberForma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0" fillId="4" borderId="52" xfId="0" applyFill="1" applyBorder="1" applyAlignment="1">
      <alignment horizontal="center" vertical="center" wrapText="1"/>
    </xf>
    <xf numFmtId="0" fontId="0" fillId="11" borderId="37" xfId="0" applyFill="1" applyBorder="1" applyAlignment="1">
      <alignment horizontal="center" wrapText="1"/>
    </xf>
    <xf numFmtId="0" fontId="0" fillId="11" borderId="13" xfId="0" applyFill="1" applyBorder="1" applyAlignment="1">
      <alignment horizontal="center" wrapText="1"/>
    </xf>
    <xf numFmtId="0" fontId="0" fillId="11" borderId="34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1" fillId="4" borderId="53" xfId="0" applyFont="1" applyFill="1" applyBorder="1" applyAlignment="1">
      <alignment horizontal="center" vertical="center" wrapText="1"/>
    </xf>
    <xf numFmtId="0" fontId="0" fillId="4" borderId="54" xfId="0" applyFill="1" applyBorder="1" applyAlignment="1">
      <alignment horizontal="center" vertical="center" wrapText="1"/>
    </xf>
    <xf numFmtId="0" fontId="0" fillId="4" borderId="51" xfId="0" applyFill="1" applyBorder="1" applyAlignment="1">
      <alignment horizontal="center" wrapText="1"/>
    </xf>
    <xf numFmtId="0" fontId="2" fillId="4" borderId="11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left" wrapText="1"/>
    </xf>
    <xf numFmtId="0" fontId="0" fillId="7" borderId="48" xfId="0" applyFill="1" applyBorder="1" applyAlignment="1">
      <alignment horizont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center" wrapText="1"/>
    </xf>
    <xf numFmtId="0" fontId="4" fillId="2" borderId="36" xfId="0" applyFont="1" applyFill="1" applyBorder="1" applyAlignment="1">
      <alignment horizontal="center" wrapText="1"/>
    </xf>
    <xf numFmtId="14" fontId="0" fillId="0" borderId="0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3" fontId="7" fillId="12" borderId="1" xfId="0" applyNumberFormat="1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14" fontId="7" fillId="12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left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vertical="center" wrapText="1"/>
    </xf>
    <xf numFmtId="0" fontId="4" fillId="11" borderId="1" xfId="0" applyFont="1" applyFill="1" applyBorder="1" applyAlignment="1">
      <alignment horizontal="center" vertical="center" wrapText="1"/>
    </xf>
    <xf numFmtId="8" fontId="0" fillId="11" borderId="1" xfId="0" applyNumberForma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8" borderId="1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3" fontId="7" fillId="13" borderId="1" xfId="0" applyNumberFormat="1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164" fontId="1" fillId="13" borderId="1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164" fontId="0" fillId="14" borderId="1" xfId="0" applyNumberFormat="1" applyFont="1" applyFill="1" applyBorder="1" applyAlignment="1">
      <alignment vertical="center" wrapText="1"/>
    </xf>
    <xf numFmtId="0" fontId="0" fillId="14" borderId="2" xfId="0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vertical="center" wrapText="1"/>
    </xf>
    <xf numFmtId="0" fontId="0" fillId="14" borderId="4" xfId="0" applyFont="1" applyFill="1" applyBorder="1" applyAlignment="1">
      <alignment horizontal="center" vertical="center" wrapText="1"/>
    </xf>
    <xf numFmtId="0" fontId="0" fillId="14" borderId="3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3" fontId="0" fillId="14" borderId="1" xfId="0" applyNumberFormat="1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164" fontId="3" fillId="14" borderId="4" xfId="0" applyNumberFormat="1" applyFont="1" applyFill="1" applyBorder="1" applyAlignment="1">
      <alignment horizontal="center" vertical="center" wrapText="1"/>
    </xf>
    <xf numFmtId="3" fontId="0" fillId="14" borderId="2" xfId="0" applyNumberFormat="1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vertical="center" wrapText="1"/>
    </xf>
    <xf numFmtId="0" fontId="0" fillId="14" borderId="1" xfId="0" applyFont="1" applyFill="1" applyBorder="1" applyAlignment="1">
      <alignment horizontal="center" wrapText="1"/>
    </xf>
    <xf numFmtId="0" fontId="4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6" fontId="0" fillId="14" borderId="1" xfId="0" applyNumberFormat="1" applyFont="1" applyFill="1" applyBorder="1" applyAlignment="1">
      <alignment horizontal="center" vertical="center" wrapText="1"/>
    </xf>
    <xf numFmtId="0" fontId="0" fillId="14" borderId="8" xfId="0" applyFon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14" borderId="1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3" fontId="0" fillId="8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164" fontId="0" fillId="8" borderId="1" xfId="0" applyNumberFormat="1" applyFont="1" applyFill="1" applyBorder="1" applyAlignment="1">
      <alignment horizontal="left" vertical="center" wrapText="1"/>
    </xf>
    <xf numFmtId="0" fontId="1" fillId="16" borderId="29" xfId="0" applyFont="1" applyFill="1" applyBorder="1" applyAlignment="1">
      <alignment horizontal="center" wrapText="1"/>
    </xf>
    <xf numFmtId="0" fontId="1" fillId="16" borderId="29" xfId="0" applyFont="1" applyFill="1" applyBorder="1" applyAlignment="1">
      <alignment horizontal="left" vertical="center" wrapText="1"/>
    </xf>
    <xf numFmtId="0" fontId="1" fillId="16" borderId="29" xfId="0" applyFont="1" applyFill="1" applyBorder="1" applyAlignment="1">
      <alignment horizontal="left" wrapText="1"/>
    </xf>
    <xf numFmtId="0" fontId="1" fillId="16" borderId="29" xfId="0" applyFont="1" applyFill="1" applyBorder="1" applyAlignment="1">
      <alignment horizontal="center" vertical="center" wrapText="1"/>
    </xf>
    <xf numFmtId="0" fontId="5" fillId="16" borderId="29" xfId="0" applyFont="1" applyFill="1" applyBorder="1" applyAlignment="1">
      <alignment horizontal="center" vertical="center" wrapText="1"/>
    </xf>
    <xf numFmtId="14" fontId="0" fillId="16" borderId="1" xfId="0" applyNumberForma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16" borderId="3" xfId="0" applyNumberForma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14" fontId="0" fillId="16" borderId="2" xfId="0" applyNumberForma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14" fontId="0" fillId="16" borderId="19" xfId="0" applyNumberFormat="1" applyFill="1" applyBorder="1" applyAlignment="1">
      <alignment horizontal="center" vertical="center" wrapText="1"/>
    </xf>
    <xf numFmtId="0" fontId="0" fillId="16" borderId="19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 wrapText="1"/>
    </xf>
    <xf numFmtId="0" fontId="0" fillId="16" borderId="15" xfId="0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14" fontId="0" fillId="16" borderId="4" xfId="0" applyNumberFormat="1" applyFill="1" applyBorder="1" applyAlignment="1">
      <alignment horizontal="center" vertical="center" wrapText="1"/>
    </xf>
    <xf numFmtId="14" fontId="0" fillId="16" borderId="17" xfId="0" applyNumberFormat="1" applyFill="1" applyBorder="1" applyAlignment="1">
      <alignment horizontal="center" vertical="center" wrapText="1"/>
    </xf>
    <xf numFmtId="0" fontId="0" fillId="16" borderId="17" xfId="0" applyFill="1" applyBorder="1" applyAlignment="1">
      <alignment horizontal="center" vertical="center" wrapText="1"/>
    </xf>
    <xf numFmtId="14" fontId="0" fillId="16" borderId="6" xfId="0" applyNumberFormat="1" applyFill="1" applyBorder="1" applyAlignment="1">
      <alignment horizontal="center" vertical="center" wrapText="1"/>
    </xf>
    <xf numFmtId="0" fontId="0" fillId="16" borderId="17" xfId="0" applyFont="1" applyFill="1" applyBorder="1" applyAlignment="1">
      <alignment horizontal="center" vertical="center" wrapText="1"/>
    </xf>
    <xf numFmtId="14" fontId="0" fillId="16" borderId="52" xfId="0" applyNumberFormat="1" applyFill="1" applyBorder="1" applyAlignment="1">
      <alignment horizontal="center" vertical="center" wrapText="1"/>
    </xf>
    <xf numFmtId="0" fontId="0" fillId="16" borderId="52" xfId="0" applyFill="1" applyBorder="1" applyAlignment="1">
      <alignment horizontal="center" vertical="center" wrapText="1"/>
    </xf>
    <xf numFmtId="0" fontId="0" fillId="16" borderId="52" xfId="0" applyFont="1" applyFill="1" applyBorder="1" applyAlignment="1">
      <alignment horizontal="center" vertical="center" wrapText="1"/>
    </xf>
    <xf numFmtId="0" fontId="0" fillId="16" borderId="18" xfId="0" applyFill="1" applyBorder="1" applyAlignment="1">
      <alignment horizontal="center" vertical="center" wrapText="1"/>
    </xf>
    <xf numFmtId="14" fontId="0" fillId="16" borderId="3" xfId="0" applyNumberFormat="1" applyFont="1" applyFill="1" applyBorder="1" applyAlignment="1">
      <alignment horizontal="center" vertical="center" wrapText="1"/>
    </xf>
    <xf numFmtId="0" fontId="0" fillId="16" borderId="3" xfId="0" applyFont="1" applyFill="1" applyBorder="1" applyAlignment="1">
      <alignment horizontal="center" vertical="center" wrapText="1"/>
    </xf>
    <xf numFmtId="0" fontId="0" fillId="16" borderId="19" xfId="0" applyFill="1" applyBorder="1" applyAlignment="1">
      <alignment horizontal="center" vertical="center" wrapText="1"/>
    </xf>
    <xf numFmtId="14" fontId="0" fillId="16" borderId="18" xfId="0" applyNumberFormat="1" applyFill="1" applyBorder="1" applyAlignment="1">
      <alignment horizontal="center" vertical="center" wrapText="1"/>
    </xf>
    <xf numFmtId="0" fontId="0" fillId="16" borderId="23" xfId="0" applyFill="1" applyBorder="1" applyAlignment="1">
      <alignment horizontal="center" vertical="center" wrapText="1"/>
    </xf>
    <xf numFmtId="0" fontId="0" fillId="16" borderId="26" xfId="0" applyFill="1" applyBorder="1" applyAlignment="1">
      <alignment horizontal="center" vertical="center" wrapText="1"/>
    </xf>
    <xf numFmtId="0" fontId="0" fillId="16" borderId="13" xfId="0" applyFill="1" applyBorder="1" applyAlignment="1">
      <alignment horizontal="center" vertical="center" wrapText="1"/>
    </xf>
    <xf numFmtId="0" fontId="0" fillId="16" borderId="8" xfId="0" applyFill="1" applyBorder="1" applyAlignment="1">
      <alignment horizontal="center" vertical="center" wrapText="1"/>
    </xf>
    <xf numFmtId="0" fontId="0" fillId="16" borderId="18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14" fontId="0" fillId="17" borderId="1" xfId="0" applyNumberForma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17" borderId="2" xfId="0" applyNumberForma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left" wrapText="1"/>
    </xf>
    <xf numFmtId="0" fontId="0" fillId="18" borderId="1" xfId="0" applyFill="1" applyBorder="1" applyAlignment="1">
      <alignment horizontal="center" vertical="center" wrapText="1"/>
    </xf>
    <xf numFmtId="0" fontId="0" fillId="18" borderId="2" xfId="0" applyFill="1" applyBorder="1" applyAlignment="1">
      <alignment horizontal="left" wrapText="1"/>
    </xf>
    <xf numFmtId="0" fontId="3" fillId="18" borderId="2" xfId="0" applyFont="1" applyFill="1" applyBorder="1" applyAlignment="1">
      <alignment horizontal="center" vertical="center" wrapText="1"/>
    </xf>
    <xf numFmtId="0" fontId="0" fillId="18" borderId="2" xfId="0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 vertical="center" wrapText="1"/>
    </xf>
    <xf numFmtId="0" fontId="0" fillId="18" borderId="4" xfId="0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wrapText="1"/>
    </xf>
    <xf numFmtId="0" fontId="3" fillId="18" borderId="3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0" fillId="18" borderId="4" xfId="0" applyFill="1" applyBorder="1" applyAlignment="1">
      <alignment horizontal="center" wrapText="1"/>
    </xf>
    <xf numFmtId="0" fontId="2" fillId="18" borderId="4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wrapText="1"/>
    </xf>
    <xf numFmtId="0" fontId="4" fillId="18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3" fontId="7" fillId="15" borderId="2" xfId="0" applyNumberFormat="1" applyFont="1" applyFill="1" applyBorder="1" applyAlignment="1">
      <alignment horizontal="center" vertical="center" wrapText="1"/>
    </xf>
    <xf numFmtId="164" fontId="1" fillId="15" borderId="2" xfId="0" applyNumberFormat="1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0" fillId="19" borderId="25" xfId="0" applyFont="1" applyFill="1" applyBorder="1" applyAlignment="1">
      <alignment horizontal="center" vertical="center" wrapText="1"/>
    </xf>
    <xf numFmtId="0" fontId="0" fillId="19" borderId="4" xfId="0" applyFont="1" applyFill="1" applyBorder="1" applyAlignment="1">
      <alignment horizontal="center" vertical="center" wrapText="1"/>
    </xf>
    <xf numFmtId="0" fontId="0" fillId="19" borderId="11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0" fillId="19" borderId="8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2" fillId="19" borderId="1" xfId="0" applyNumberFormat="1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9" fillId="19" borderId="11" xfId="0" applyFont="1" applyFill="1" applyBorder="1" applyAlignment="1">
      <alignment horizontal="center"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0" fontId="0" fillId="19" borderId="11" xfId="0" applyFill="1" applyBorder="1" applyAlignment="1">
      <alignment horizontal="center" vertical="center" wrapText="1"/>
    </xf>
    <xf numFmtId="17" fontId="0" fillId="19" borderId="1" xfId="0" applyNumberFormat="1" applyFont="1" applyFill="1" applyBorder="1" applyAlignment="1">
      <alignment vertical="center" wrapText="1"/>
    </xf>
    <xf numFmtId="0" fontId="0" fillId="19" borderId="4" xfId="0" applyFill="1" applyBorder="1" applyAlignment="1">
      <alignment horizontal="center" vertical="center" wrapText="1"/>
    </xf>
    <xf numFmtId="3" fontId="0" fillId="19" borderId="4" xfId="0" applyNumberFormat="1" applyFill="1" applyBorder="1" applyAlignment="1">
      <alignment horizontal="center" vertical="center" wrapText="1"/>
    </xf>
    <xf numFmtId="0" fontId="0" fillId="19" borderId="4" xfId="0" applyFont="1" applyFill="1" applyBorder="1" applyAlignment="1">
      <alignment vertical="center" wrapText="1"/>
    </xf>
    <xf numFmtId="0" fontId="0" fillId="19" borderId="8" xfId="0" applyFill="1" applyBorder="1" applyAlignment="1">
      <alignment horizontal="center" vertical="center" wrapText="1"/>
    </xf>
    <xf numFmtId="1" fontId="0" fillId="19" borderId="8" xfId="0" applyNumberFormat="1" applyFill="1" applyBorder="1" applyAlignment="1">
      <alignment horizontal="center" vertical="center" wrapText="1"/>
    </xf>
    <xf numFmtId="0" fontId="4" fillId="19" borderId="4" xfId="0" applyFont="1" applyFill="1" applyBorder="1" applyAlignment="1">
      <alignment horizontal="center" vertical="center" wrapText="1"/>
    </xf>
    <xf numFmtId="14" fontId="12" fillId="19" borderId="1" xfId="0" applyNumberFormat="1" applyFont="1" applyFill="1" applyBorder="1" applyAlignment="1">
      <alignment horizontal="center" vertical="center" wrapText="1"/>
    </xf>
    <xf numFmtId="14" fontId="2" fillId="19" borderId="1" xfId="0" applyNumberFormat="1" applyFont="1" applyFill="1" applyBorder="1" applyAlignment="1">
      <alignment horizontal="center" vertical="center" wrapText="1"/>
    </xf>
    <xf numFmtId="0" fontId="0" fillId="19" borderId="1" xfId="0" applyNumberForma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3" fontId="0" fillId="19" borderId="1" xfId="0" applyNumberFormat="1" applyFill="1" applyBorder="1" applyAlignment="1">
      <alignment horizontal="center" vertical="center" wrapText="1"/>
    </xf>
    <xf numFmtId="1" fontId="0" fillId="19" borderId="1" xfId="0" applyNumberFormat="1" applyFill="1" applyBorder="1" applyAlignment="1">
      <alignment horizontal="center" vertical="center" wrapText="1"/>
    </xf>
    <xf numFmtId="0" fontId="0" fillId="19" borderId="1" xfId="0" applyNumberForma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0" fontId="0" fillId="19" borderId="2" xfId="0" applyNumberForma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164" fontId="0" fillId="19" borderId="3" xfId="0" applyNumberFormat="1" applyFill="1" applyBorder="1" applyAlignment="1">
      <alignment vertical="center" wrapText="1"/>
    </xf>
    <xf numFmtId="0" fontId="0" fillId="19" borderId="1" xfId="0" applyFont="1" applyFill="1" applyBorder="1" applyAlignment="1">
      <alignment horizontal="center" vertical="center"/>
    </xf>
    <xf numFmtId="0" fontId="0" fillId="19" borderId="1" xfId="0" applyFont="1" applyFill="1" applyBorder="1" applyAlignment="1">
      <alignment vertical="center" wrapText="1"/>
    </xf>
    <xf numFmtId="0" fontId="0" fillId="8" borderId="11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0" fontId="0" fillId="8" borderId="11" xfId="0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16" borderId="1" xfId="0" applyNumberFormat="1" applyFill="1" applyBorder="1" applyAlignment="1">
      <alignment horizontal="center" vertical="center" wrapText="1"/>
    </xf>
    <xf numFmtId="0" fontId="0" fillId="18" borderId="2" xfId="0" applyFill="1" applyBorder="1" applyAlignment="1">
      <alignment horizontal="center" vertical="center" wrapText="1"/>
    </xf>
    <xf numFmtId="14" fontId="0" fillId="17" borderId="1" xfId="0" applyNumberForma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left"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4" fillId="4" borderId="33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164" fontId="9" fillId="8" borderId="2" xfId="0" applyNumberFormat="1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3" fontId="0" fillId="8" borderId="2" xfId="0" applyNumberFormat="1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3" fontId="0" fillId="19" borderId="1" xfId="0" applyNumberFormat="1" applyFont="1" applyFill="1" applyBorder="1" applyAlignment="1">
      <alignment horizontal="center" vertical="center" wrapText="1"/>
    </xf>
    <xf numFmtId="14" fontId="0" fillId="19" borderId="1" xfId="0" applyNumberFormat="1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14" fontId="0" fillId="2" borderId="17" xfId="0" applyNumberForma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1" fontId="0" fillId="19" borderId="1" xfId="0" applyNumberFormat="1" applyFont="1" applyFill="1" applyBorder="1" applyAlignment="1">
      <alignment horizontal="center" vertical="center" wrapText="1"/>
    </xf>
    <xf numFmtId="14" fontId="0" fillId="17" borderId="4" xfId="0" applyNumberFormat="1" applyFill="1" applyBorder="1" applyAlignment="1">
      <alignment vertical="center" wrapText="1"/>
    </xf>
    <xf numFmtId="0" fontId="0" fillId="17" borderId="4" xfId="0" applyFill="1" applyBorder="1" applyAlignment="1">
      <alignment vertical="center" wrapText="1"/>
    </xf>
    <xf numFmtId="14" fontId="0" fillId="17" borderId="2" xfId="0" applyNumberFormat="1" applyFill="1" applyBorder="1" applyAlignment="1">
      <alignment vertical="center" wrapText="1"/>
    </xf>
    <xf numFmtId="0" fontId="0" fillId="17" borderId="2" xfId="0" applyFill="1" applyBorder="1" applyAlignment="1">
      <alignment vertical="center" wrapText="1"/>
    </xf>
    <xf numFmtId="0" fontId="0" fillId="17" borderId="1" xfId="0" applyFill="1" applyBorder="1" applyAlignment="1">
      <alignment wrapText="1"/>
    </xf>
    <xf numFmtId="0" fontId="0" fillId="14" borderId="1" xfId="0" applyFill="1" applyBorder="1"/>
    <xf numFmtId="0" fontId="3" fillId="14" borderId="1" xfId="0" applyFont="1" applyFill="1" applyBorder="1"/>
    <xf numFmtId="0" fontId="0" fillId="14" borderId="1" xfId="0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 vertical="center" wrapText="1"/>
    </xf>
    <xf numFmtId="0" fontId="0" fillId="18" borderId="3" xfId="0" applyFill="1" applyBorder="1" applyAlignment="1">
      <alignment horizontal="left" vertical="center" wrapText="1"/>
    </xf>
    <xf numFmtId="0" fontId="4" fillId="4" borderId="42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7" borderId="28" xfId="0" applyFont="1" applyFill="1" applyBorder="1" applyAlignment="1">
      <alignment horizontal="center" vertical="center" wrapText="1"/>
    </xf>
    <xf numFmtId="0" fontId="3" fillId="7" borderId="25" xfId="0" applyFont="1" applyFill="1" applyBorder="1" applyAlignment="1">
      <alignment horizontal="center" vertical="center" wrapText="1"/>
    </xf>
    <xf numFmtId="0" fontId="0" fillId="7" borderId="14" xfId="0" applyFont="1" applyFill="1" applyBorder="1" applyAlignment="1">
      <alignment horizontal="center" vertical="center" wrapText="1"/>
    </xf>
    <xf numFmtId="0" fontId="0" fillId="4" borderId="26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 wrapText="1"/>
    </xf>
    <xf numFmtId="164" fontId="0" fillId="8" borderId="1" xfId="0" applyNumberFormat="1" applyFont="1" applyFill="1" applyBorder="1" applyAlignment="1">
      <alignment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vertical="center" wrapText="1"/>
    </xf>
    <xf numFmtId="0" fontId="0" fillId="2" borderId="28" xfId="0" applyFill="1" applyBorder="1" applyAlignment="1">
      <alignment vertical="center" wrapText="1"/>
    </xf>
    <xf numFmtId="14" fontId="0" fillId="2" borderId="18" xfId="0" applyNumberForma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wrapText="1"/>
    </xf>
    <xf numFmtId="14" fontId="0" fillId="10" borderId="4" xfId="0" applyNumberFormat="1" applyFill="1" applyBorder="1" applyAlignment="1">
      <alignment horizontal="center" vertical="center" wrapText="1"/>
    </xf>
    <xf numFmtId="0" fontId="0" fillId="18" borderId="4" xfId="0" applyFill="1" applyBorder="1" applyAlignment="1">
      <alignment horizontal="center" vertical="center" wrapText="1"/>
    </xf>
    <xf numFmtId="0" fontId="0" fillId="10" borderId="4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64" fontId="4" fillId="14" borderId="1" xfId="0" applyNumberFormat="1" applyFont="1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18" borderId="4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14" fontId="0" fillId="17" borderId="1" xfId="0" applyNumberForma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0" fillId="18" borderId="4" xfId="0" applyFill="1" applyBorder="1" applyAlignment="1">
      <alignment wrapText="1"/>
    </xf>
    <xf numFmtId="14" fontId="0" fillId="17" borderId="1" xfId="0" applyNumberFormat="1" applyFill="1" applyBorder="1" applyAlignment="1">
      <alignment vertical="center" wrapText="1"/>
    </xf>
    <xf numFmtId="0" fontId="0" fillId="17" borderId="1" xfId="0" applyFill="1" applyBorder="1" applyAlignment="1">
      <alignment vertical="center" wrapText="1"/>
    </xf>
    <xf numFmtId="0" fontId="0" fillId="2" borderId="11" xfId="0" applyFill="1" applyBorder="1" applyAlignment="1">
      <alignment horizontal="left" wrapText="1"/>
    </xf>
    <xf numFmtId="0" fontId="0" fillId="2" borderId="11" xfId="0" applyFill="1" applyBorder="1" applyAlignment="1">
      <alignment horizontal="center" vertical="center" wrapText="1"/>
    </xf>
    <xf numFmtId="0" fontId="0" fillId="2" borderId="36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14" fontId="0" fillId="16" borderId="4" xfId="0" applyNumberForma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19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3" fontId="0" fillId="19" borderId="3" xfId="0" applyNumberForma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wrapText="1"/>
    </xf>
    <xf numFmtId="0" fontId="4" fillId="8" borderId="1" xfId="0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14" fontId="0" fillId="8" borderId="2" xfId="0" applyNumberFormat="1" applyFont="1" applyFill="1" applyBorder="1" applyAlignment="1">
      <alignment horizontal="center" vertical="center" wrapText="1"/>
    </xf>
    <xf numFmtId="0" fontId="1" fillId="19" borderId="2" xfId="0" applyFon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1" fontId="0" fillId="19" borderId="2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1" fontId="7" fillId="15" borderId="2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1" fillId="13" borderId="10" xfId="0" applyFont="1" applyFill="1" applyBorder="1" applyAlignment="1">
      <alignment horizontal="center" vertical="center" wrapText="1"/>
    </xf>
    <xf numFmtId="0" fontId="0" fillId="13" borderId="50" xfId="0" applyFill="1" applyBorder="1" applyAlignment="1">
      <alignment horizontal="left" vertical="center" wrapText="1"/>
    </xf>
    <xf numFmtId="0" fontId="0" fillId="13" borderId="12" xfId="0" applyFill="1" applyBorder="1" applyAlignment="1">
      <alignment horizontal="left" wrapText="1"/>
    </xf>
    <xf numFmtId="0" fontId="2" fillId="13" borderId="3" xfId="0" applyFont="1" applyFill="1" applyBorder="1" applyAlignment="1">
      <alignment horizontal="center" vertical="center" wrapText="1"/>
    </xf>
    <xf numFmtId="14" fontId="0" fillId="13" borderId="3" xfId="0" applyNumberForma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0" fillId="13" borderId="12" xfId="0" applyFill="1" applyBorder="1" applyAlignment="1">
      <alignment horizontal="center" wrapText="1"/>
    </xf>
    <xf numFmtId="0" fontId="0" fillId="13" borderId="8" xfId="0" applyFill="1" applyBorder="1" applyAlignment="1">
      <alignment horizontal="center" wrapText="1"/>
    </xf>
    <xf numFmtId="0" fontId="0" fillId="13" borderId="0" xfId="0" applyFill="1" applyAlignment="1">
      <alignment horizontal="center" wrapText="1"/>
    </xf>
    <xf numFmtId="0" fontId="0" fillId="13" borderId="50" xfId="0" applyFill="1" applyBorder="1" applyAlignment="1">
      <alignment horizontal="center" vertical="center" wrapText="1"/>
    </xf>
    <xf numFmtId="0" fontId="1" fillId="13" borderId="55" xfId="0" applyFont="1" applyFill="1" applyBorder="1" applyAlignment="1">
      <alignment vertical="center" wrapText="1"/>
    </xf>
    <xf numFmtId="0" fontId="1" fillId="13" borderId="0" xfId="0" applyFont="1" applyFill="1" applyBorder="1" applyAlignment="1">
      <alignment vertical="center" wrapText="1"/>
    </xf>
    <xf numFmtId="0" fontId="1" fillId="13" borderId="10" xfId="0" applyFont="1" applyFill="1" applyBorder="1" applyAlignment="1">
      <alignment vertical="center" wrapText="1"/>
    </xf>
    <xf numFmtId="0" fontId="0" fillId="13" borderId="3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3" fillId="13" borderId="12" xfId="0" applyFont="1" applyFill="1" applyBorder="1" applyAlignment="1">
      <alignment horizontal="center" vertical="center" wrapText="1"/>
    </xf>
    <xf numFmtId="0" fontId="0" fillId="13" borderId="12" xfId="0" applyFill="1" applyBorder="1" applyAlignment="1">
      <alignment horizontal="center" vertical="center" wrapText="1"/>
    </xf>
    <xf numFmtId="0" fontId="0" fillId="13" borderId="37" xfId="0" applyFill="1" applyBorder="1" applyAlignment="1">
      <alignment horizontal="center" wrapText="1"/>
    </xf>
    <xf numFmtId="0" fontId="0" fillId="13" borderId="3" xfId="0" applyFill="1" applyBorder="1" applyAlignment="1">
      <alignment horizontal="left" vertical="center" wrapText="1"/>
    </xf>
    <xf numFmtId="0" fontId="0" fillId="13" borderId="12" xfId="0" applyFill="1" applyBorder="1" applyAlignment="1">
      <alignment horizontal="left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left" vertical="center" wrapText="1"/>
    </xf>
    <xf numFmtId="0" fontId="0" fillId="13" borderId="4" xfId="0" applyFill="1" applyBorder="1" applyAlignment="1">
      <alignment horizontal="center" vertical="center" wrapText="1"/>
    </xf>
    <xf numFmtId="14" fontId="0" fillId="13" borderId="4" xfId="0" applyNumberFormat="1" applyFill="1" applyBorder="1" applyAlignment="1">
      <alignment horizontal="center" vertical="center" wrapText="1"/>
    </xf>
    <xf numFmtId="0" fontId="0" fillId="13" borderId="47" xfId="0" applyFill="1" applyBorder="1" applyAlignment="1">
      <alignment horizontal="center" wrapText="1"/>
    </xf>
    <xf numFmtId="0" fontId="1" fillId="13" borderId="16" xfId="0" applyFont="1" applyFill="1" applyBorder="1" applyAlignment="1">
      <alignment horizontal="center" vertical="center" wrapText="1"/>
    </xf>
    <xf numFmtId="0" fontId="0" fillId="13" borderId="18" xfId="0" applyFill="1" applyBorder="1" applyAlignment="1">
      <alignment horizontal="center" vertical="center" wrapText="1"/>
    </xf>
    <xf numFmtId="0" fontId="0" fillId="13" borderId="28" xfId="0" applyFill="1" applyBorder="1" applyAlignment="1">
      <alignment horizontal="center" vertical="center" wrapText="1"/>
    </xf>
    <xf numFmtId="14" fontId="0" fillId="13" borderId="18" xfId="0" applyNumberFormat="1" applyFill="1" applyBorder="1" applyAlignment="1">
      <alignment horizontal="center" vertical="center" wrapText="1"/>
    </xf>
    <xf numFmtId="0" fontId="0" fillId="13" borderId="18" xfId="0" applyFont="1" applyFill="1" applyBorder="1" applyAlignment="1">
      <alignment horizontal="center" vertical="center" wrapText="1"/>
    </xf>
    <xf numFmtId="0" fontId="0" fillId="13" borderId="38" xfId="0" applyFill="1" applyBorder="1" applyAlignment="1">
      <alignment horizontal="center" wrapText="1"/>
    </xf>
    <xf numFmtId="0" fontId="0" fillId="13" borderId="13" xfId="0" applyFill="1" applyBorder="1" applyAlignment="1">
      <alignment horizontal="center" wrapText="1"/>
    </xf>
    <xf numFmtId="0" fontId="1" fillId="13" borderId="9" xfId="0" applyFont="1" applyFill="1" applyBorder="1" applyAlignment="1">
      <alignment horizontal="center" vertical="center" wrapText="1"/>
    </xf>
    <xf numFmtId="0" fontId="0" fillId="13" borderId="3" xfId="0" applyFont="1" applyFill="1" applyBorder="1" applyAlignment="1">
      <alignment horizontal="center" vertical="center" wrapText="1"/>
    </xf>
    <xf numFmtId="0" fontId="0" fillId="13" borderId="12" xfId="0" applyFont="1" applyFill="1" applyBorder="1" applyAlignment="1">
      <alignment horizontal="center" vertical="center" wrapText="1"/>
    </xf>
    <xf numFmtId="0" fontId="1" fillId="13" borderId="50" xfId="0" applyFont="1" applyFill="1" applyBorder="1" applyAlignment="1">
      <alignment horizontal="center" vertical="center" wrapText="1"/>
    </xf>
    <xf numFmtId="0" fontId="0" fillId="13" borderId="48" xfId="0" applyFill="1" applyBorder="1" applyAlignment="1">
      <alignment horizontal="center" wrapText="1"/>
    </xf>
    <xf numFmtId="0" fontId="5" fillId="13" borderId="50" xfId="0" applyFont="1" applyFill="1" applyBorder="1" applyAlignment="1">
      <alignment horizontal="center" vertical="center" wrapText="1"/>
    </xf>
    <xf numFmtId="0" fontId="0" fillId="13" borderId="50" xfId="0" applyFill="1" applyBorder="1" applyAlignment="1">
      <alignment horizontal="left" wrapText="1"/>
    </xf>
    <xf numFmtId="0" fontId="0" fillId="13" borderId="14" xfId="0" applyFill="1" applyBorder="1" applyAlignment="1">
      <alignment horizontal="center" wrapText="1"/>
    </xf>
    <xf numFmtId="0" fontId="0" fillId="13" borderId="0" xfId="0" applyFill="1" applyBorder="1" applyAlignment="1">
      <alignment horizontal="left" vertical="center" wrapText="1"/>
    </xf>
    <xf numFmtId="0" fontId="0" fillId="13" borderId="14" xfId="0" applyFill="1" applyBorder="1" applyAlignment="1">
      <alignment horizontal="center" vertical="center" wrapText="1"/>
    </xf>
    <xf numFmtId="0" fontId="0" fillId="13" borderId="0" xfId="0" applyFill="1" applyBorder="1" applyAlignment="1">
      <alignment horizontal="left" wrapText="1"/>
    </xf>
    <xf numFmtId="0" fontId="3" fillId="13" borderId="3" xfId="0" applyFont="1" applyFill="1" applyBorder="1" applyAlignment="1">
      <alignment horizontal="center" vertical="center" wrapText="1"/>
    </xf>
    <xf numFmtId="0" fontId="0" fillId="13" borderId="43" xfId="0" applyFill="1" applyBorder="1" applyAlignment="1">
      <alignment horizontal="center" vertical="center" wrapText="1"/>
    </xf>
    <xf numFmtId="0" fontId="0" fillId="13" borderId="0" xfId="0" applyFill="1" applyBorder="1" applyAlignment="1">
      <alignment horizontal="center" wrapText="1"/>
    </xf>
    <xf numFmtId="0" fontId="0" fillId="13" borderId="10" xfId="0" applyFill="1" applyBorder="1" applyAlignment="1">
      <alignment horizontal="center" wrapText="1"/>
    </xf>
    <xf numFmtId="0" fontId="0" fillId="13" borderId="3" xfId="0" applyFill="1" applyBorder="1" applyAlignment="1">
      <alignment vertical="center" wrapText="1"/>
    </xf>
    <xf numFmtId="0" fontId="0" fillId="13" borderId="12" xfId="0" applyFill="1" applyBorder="1" applyAlignment="1">
      <alignment vertical="center" wrapText="1"/>
    </xf>
    <xf numFmtId="0" fontId="4" fillId="13" borderId="37" xfId="0" applyFont="1" applyFill="1" applyBorder="1" applyAlignment="1">
      <alignment horizontal="center" wrapText="1"/>
    </xf>
    <xf numFmtId="0" fontId="0" fillId="19" borderId="2" xfId="0" applyFon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14" fontId="7" fillId="13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Alignment="1">
      <alignment horizontal="center" vertical="center" wrapText="1"/>
    </xf>
    <xf numFmtId="0" fontId="0" fillId="19" borderId="1" xfId="0" applyFill="1" applyBorder="1" applyAlignment="1">
      <alignment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14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14" fontId="0" fillId="14" borderId="2" xfId="0" applyNumberFormat="1" applyFont="1" applyFill="1" applyBorder="1" applyAlignment="1">
      <alignment horizontal="center" vertical="center" wrapText="1"/>
    </xf>
    <xf numFmtId="3" fontId="0" fillId="14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164" fontId="0" fillId="14" borderId="2" xfId="0" applyNumberFormat="1" applyFont="1" applyFill="1" applyBorder="1" applyAlignment="1">
      <alignment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14" fontId="0" fillId="11" borderId="2" xfId="0" applyNumberFormat="1" applyFill="1" applyBorder="1" applyAlignment="1">
      <alignment horizontal="center" vertical="center" wrapText="1"/>
    </xf>
    <xf numFmtId="14" fontId="0" fillId="11" borderId="4" xfId="0" applyNumberForma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3" fontId="0" fillId="11" borderId="2" xfId="0" applyNumberFormat="1" applyFill="1" applyBorder="1" applyAlignment="1">
      <alignment horizontal="center" vertical="center" wrapText="1"/>
    </xf>
    <xf numFmtId="3" fontId="0" fillId="11" borderId="4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 wrapText="1"/>
    </xf>
    <xf numFmtId="14" fontId="0" fillId="8" borderId="4" xfId="0" applyNumberForma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3" fontId="0" fillId="11" borderId="3" xfId="0" applyNumberFormat="1" applyFill="1" applyBorder="1" applyAlignment="1">
      <alignment horizontal="center" vertical="center" wrapText="1"/>
    </xf>
    <xf numFmtId="14" fontId="0" fillId="11" borderId="3" xfId="0" applyNumberForma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left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14" borderId="2" xfId="0" applyFont="1" applyFill="1" applyBorder="1" applyAlignment="1">
      <alignment horizontal="center" vertical="center" wrapText="1"/>
    </xf>
    <xf numFmtId="0" fontId="0" fillId="14" borderId="3" xfId="0" applyFont="1" applyFill="1" applyBorder="1" applyAlignment="1">
      <alignment horizontal="center" vertical="center" wrapText="1"/>
    </xf>
    <xf numFmtId="0" fontId="0" fillId="14" borderId="4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14" fontId="0" fillId="14" borderId="2" xfId="0" applyNumberFormat="1" applyFont="1" applyFill="1" applyBorder="1" applyAlignment="1">
      <alignment horizontal="center" vertical="center" wrapText="1"/>
    </xf>
    <xf numFmtId="14" fontId="0" fillId="14" borderId="3" xfId="0" applyNumberFormat="1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3" fontId="0" fillId="14" borderId="2" xfId="0" applyNumberFormat="1" applyFont="1" applyFill="1" applyBorder="1" applyAlignment="1">
      <alignment horizontal="center" vertical="center" wrapText="1"/>
    </xf>
    <xf numFmtId="3" fontId="0" fillId="14" borderId="3" xfId="0" applyNumberFormat="1" applyFont="1" applyFill="1" applyBorder="1" applyAlignment="1">
      <alignment horizontal="center" vertical="center" wrapText="1"/>
    </xf>
    <xf numFmtId="3" fontId="0" fillId="14" borderId="4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14" fontId="0" fillId="14" borderId="2" xfId="0" applyNumberFormat="1" applyFill="1" applyBorder="1" applyAlignment="1">
      <alignment horizontal="center" vertical="center" wrapText="1"/>
    </xf>
    <xf numFmtId="14" fontId="0" fillId="14" borderId="4" xfId="0" applyNumberForma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3" fontId="0" fillId="14" borderId="2" xfId="0" applyNumberFormat="1" applyFill="1" applyBorder="1" applyAlignment="1">
      <alignment horizontal="center" vertical="center" wrapText="1"/>
    </xf>
    <xf numFmtId="3" fontId="0" fillId="14" borderId="4" xfId="0" applyNumberForma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0" fontId="14" fillId="14" borderId="4" xfId="0" applyFont="1" applyFill="1" applyBorder="1" applyAlignment="1">
      <alignment horizontal="center" vertical="center" wrapText="1"/>
    </xf>
    <xf numFmtId="164" fontId="0" fillId="8" borderId="2" xfId="0" applyNumberFormat="1" applyFont="1" applyFill="1" applyBorder="1" applyAlignment="1">
      <alignment horizontal="center" vertical="center" wrapText="1"/>
    </xf>
    <xf numFmtId="164" fontId="0" fillId="8" borderId="4" xfId="0" applyNumberFormat="1" applyFont="1" applyFill="1" applyBorder="1" applyAlignment="1">
      <alignment horizontal="center" vertical="center" wrapText="1"/>
    </xf>
    <xf numFmtId="165" fontId="10" fillId="14" borderId="2" xfId="0" applyNumberFormat="1" applyFont="1" applyFill="1" applyBorder="1" applyAlignment="1">
      <alignment horizontal="center" vertical="center" wrapText="1"/>
    </xf>
    <xf numFmtId="165" fontId="10" fillId="14" borderId="3" xfId="0" applyNumberFormat="1" applyFont="1" applyFill="1" applyBorder="1" applyAlignment="1">
      <alignment horizontal="center" vertical="center" wrapText="1"/>
    </xf>
    <xf numFmtId="165" fontId="10" fillId="14" borderId="4" xfId="0" applyNumberFormat="1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8" borderId="3" xfId="0" applyFont="1" applyFill="1" applyBorder="1" applyAlignment="1">
      <alignment horizontal="center" vertical="center" wrapText="1"/>
    </xf>
    <xf numFmtId="14" fontId="0" fillId="8" borderId="2" xfId="0" applyNumberFormat="1" applyFont="1" applyFill="1" applyBorder="1" applyAlignment="1">
      <alignment horizontal="center" vertical="center" wrapText="1"/>
    </xf>
    <xf numFmtId="14" fontId="0" fillId="8" borderId="3" xfId="0" applyNumberFormat="1" applyFont="1" applyFill="1" applyBorder="1" applyAlignment="1">
      <alignment horizontal="center" vertical="center" wrapText="1"/>
    </xf>
    <xf numFmtId="0" fontId="1" fillId="8" borderId="2" xfId="0" quotePrefix="1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3" fontId="0" fillId="8" borderId="2" xfId="0" applyNumberFormat="1" applyFont="1" applyFill="1" applyBorder="1" applyAlignment="1">
      <alignment horizontal="center" vertical="center" wrapText="1"/>
    </xf>
    <xf numFmtId="3" fontId="0" fillId="8" borderId="3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horizontal="center" vertical="center" wrapText="1"/>
    </xf>
    <xf numFmtId="164" fontId="0" fillId="2" borderId="2" xfId="0" applyNumberFormat="1" applyFont="1" applyFill="1" applyBorder="1" applyAlignment="1">
      <alignment horizontal="center" vertical="center" wrapText="1"/>
    </xf>
    <xf numFmtId="164" fontId="0" fillId="2" borderId="4" xfId="0" applyNumberFormat="1" applyFont="1" applyFill="1" applyBorder="1" applyAlignment="1">
      <alignment horizontal="center" vertical="center" wrapText="1"/>
    </xf>
    <xf numFmtId="0" fontId="0" fillId="14" borderId="2" xfId="0" applyFont="1" applyFill="1" applyBorder="1" applyAlignment="1">
      <alignment horizontal="center" vertical="center"/>
    </xf>
    <xf numFmtId="0" fontId="0" fillId="14" borderId="3" xfId="0" applyFont="1" applyFill="1" applyBorder="1" applyAlignment="1">
      <alignment horizontal="center" vertical="center"/>
    </xf>
    <xf numFmtId="0" fontId="0" fillId="14" borderId="4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14" fontId="0" fillId="16" borderId="2" xfId="0" applyNumberFormat="1" applyFill="1" applyBorder="1" applyAlignment="1">
      <alignment horizontal="center" vertical="center" wrapText="1"/>
    </xf>
    <xf numFmtId="14" fontId="0" fillId="16" borderId="4" xfId="0" applyNumberForma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14" fontId="0" fillId="16" borderId="19" xfId="0" applyNumberFormat="1" applyFill="1" applyBorder="1" applyAlignment="1">
      <alignment horizontal="center" vertical="center" wrapText="1"/>
    </xf>
    <xf numFmtId="0" fontId="0" fillId="16" borderId="19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17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11" borderId="18" xfId="0" applyFill="1" applyBorder="1" applyAlignment="1">
      <alignment horizontal="center" vertical="center" wrapText="1"/>
    </xf>
    <xf numFmtId="0" fontId="4" fillId="3" borderId="44" xfId="0" applyFont="1" applyFill="1" applyBorder="1" applyAlignment="1">
      <alignment horizontal="center" wrapText="1"/>
    </xf>
    <xf numFmtId="0" fontId="4" fillId="3" borderId="47" xfId="0" applyFont="1" applyFill="1" applyBorder="1" applyAlignment="1">
      <alignment horizontal="center" wrapText="1"/>
    </xf>
    <xf numFmtId="0" fontId="3" fillId="3" borderId="21" xfId="0" applyFont="1" applyFill="1" applyBorder="1" applyAlignment="1">
      <alignment horizontal="center" wrapText="1"/>
    </xf>
    <xf numFmtId="0" fontId="3" fillId="3" borderId="24" xfId="0" applyFont="1" applyFill="1" applyBorder="1" applyAlignment="1">
      <alignment horizont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17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14" fontId="0" fillId="16" borderId="3" xfId="0" applyNumberFormat="1" applyFill="1" applyBorder="1" applyAlignment="1">
      <alignment horizontal="center" vertical="center" wrapText="1"/>
    </xf>
    <xf numFmtId="14" fontId="0" fillId="16" borderId="18" xfId="0" applyNumberForma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35" xfId="0" applyFill="1" applyBorder="1" applyAlignment="1">
      <alignment horizontal="center" vertical="center" wrapText="1"/>
    </xf>
    <xf numFmtId="0" fontId="0" fillId="7" borderId="37" xfId="0" applyFill="1" applyBorder="1" applyAlignment="1">
      <alignment horizontal="center" vertical="center" wrapText="1"/>
    </xf>
    <xf numFmtId="0" fontId="0" fillId="7" borderId="38" xfId="0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0" fontId="0" fillId="16" borderId="18" xfId="0" applyFill="1" applyBorder="1" applyAlignment="1">
      <alignment horizontal="center" vertical="center" wrapText="1"/>
    </xf>
    <xf numFmtId="0" fontId="0" fillId="11" borderId="12" xfId="0" applyFill="1" applyBorder="1" applyAlignment="1">
      <alignment horizontal="left" vertical="center" wrapText="1"/>
    </xf>
    <xf numFmtId="0" fontId="0" fillId="11" borderId="28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14" fontId="0" fillId="16" borderId="1" xfId="0" applyNumberFormat="1" applyFill="1" applyBorder="1" applyAlignment="1">
      <alignment horizontal="center" vertical="center" wrapText="1"/>
    </xf>
    <xf numFmtId="14" fontId="0" fillId="16" borderId="17" xfId="0" applyNumberForma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7" borderId="14" xfId="0" applyFill="1" applyBorder="1" applyAlignment="1">
      <alignment horizontal="left" vertical="center" wrapText="1"/>
    </xf>
    <xf numFmtId="0" fontId="0" fillId="7" borderId="25" xfId="0" applyFill="1" applyBorder="1" applyAlignment="1">
      <alignment horizontal="left" vertical="center" wrapText="1"/>
    </xf>
    <xf numFmtId="0" fontId="0" fillId="7" borderId="12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left" vertical="center" wrapText="1"/>
    </xf>
    <xf numFmtId="0" fontId="0" fillId="4" borderId="25" xfId="0" applyFill="1" applyBorder="1" applyAlignment="1">
      <alignment horizontal="left" vertical="center" wrapText="1"/>
    </xf>
    <xf numFmtId="0" fontId="1" fillId="7" borderId="24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0" fillId="7" borderId="19" xfId="0" applyFill="1" applyBorder="1" applyAlignment="1">
      <alignment horizontal="left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7" borderId="26" xfId="0" applyFill="1" applyBorder="1" applyAlignment="1">
      <alignment horizontal="left" vertical="center" wrapText="1"/>
    </xf>
    <xf numFmtId="0" fontId="0" fillId="7" borderId="6" xfId="0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left" vertical="center" wrapText="1"/>
    </xf>
    <xf numFmtId="0" fontId="0" fillId="8" borderId="4" xfId="0" applyFill="1" applyBorder="1" applyAlignment="1">
      <alignment horizontal="left" vertical="center" wrapText="1"/>
    </xf>
    <xf numFmtId="14" fontId="0" fillId="10" borderId="2" xfId="0" applyNumberFormat="1" applyFill="1" applyBorder="1" applyAlignment="1">
      <alignment horizontal="center" vertical="center" wrapText="1"/>
    </xf>
    <xf numFmtId="14" fontId="0" fillId="10" borderId="4" xfId="0" applyNumberFormat="1" applyFill="1" applyBorder="1" applyAlignment="1">
      <alignment horizontal="center" vertical="center" wrapText="1"/>
    </xf>
    <xf numFmtId="0" fontId="0" fillId="4" borderId="11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left" vertical="center" wrapText="1"/>
    </xf>
    <xf numFmtId="0" fontId="0" fillId="4" borderId="19" xfId="0" applyFill="1" applyBorder="1" applyAlignment="1">
      <alignment horizontal="left" vertical="center" wrapText="1"/>
    </xf>
    <xf numFmtId="0" fontId="0" fillId="4" borderId="26" xfId="0" applyFill="1" applyBorder="1" applyAlignment="1">
      <alignment horizontal="left" vertical="center" wrapText="1"/>
    </xf>
    <xf numFmtId="0" fontId="0" fillId="4" borderId="18" xfId="0" applyFill="1" applyBorder="1" applyAlignment="1">
      <alignment horizontal="left" vertical="center" wrapText="1"/>
    </xf>
    <xf numFmtId="0" fontId="0" fillId="4" borderId="28" xfId="0" applyFill="1" applyBorder="1" applyAlignment="1">
      <alignment horizontal="left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left" vertical="center" wrapText="1"/>
    </xf>
    <xf numFmtId="14" fontId="0" fillId="10" borderId="3" xfId="0" applyNumberForma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22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12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4" borderId="7" xfId="0" applyFill="1" applyBorder="1" applyAlignment="1">
      <alignment horizontal="left" vertical="center" wrapText="1"/>
    </xf>
    <xf numFmtId="0" fontId="0" fillId="8" borderId="14" xfId="0" applyFill="1" applyBorder="1" applyAlignment="1">
      <alignment horizontal="left" vertical="center" wrapText="1"/>
    </xf>
    <xf numFmtId="0" fontId="0" fillId="8" borderId="12" xfId="0" applyFill="1" applyBorder="1" applyAlignment="1">
      <alignment horizontal="left" vertical="center" wrapText="1"/>
    </xf>
    <xf numFmtId="0" fontId="0" fillId="8" borderId="25" xfId="0" applyFill="1" applyBorder="1" applyAlignment="1">
      <alignment horizontal="left" vertical="center" wrapText="1"/>
    </xf>
    <xf numFmtId="0" fontId="1" fillId="11" borderId="10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left" vertical="center" wrapText="1"/>
    </xf>
    <xf numFmtId="0" fontId="0" fillId="11" borderId="18" xfId="0" applyFill="1" applyBorder="1" applyAlignment="1">
      <alignment horizontal="left" vertical="center" wrapText="1"/>
    </xf>
    <xf numFmtId="0" fontId="4" fillId="8" borderId="14" xfId="0" applyFont="1" applyFill="1" applyBorder="1" applyAlignment="1">
      <alignment horizontal="center" wrapText="1"/>
    </xf>
    <xf numFmtId="0" fontId="4" fillId="8" borderId="25" xfId="0" applyFont="1" applyFill="1" applyBorder="1" applyAlignment="1">
      <alignment horizontal="center" wrapText="1"/>
    </xf>
    <xf numFmtId="0" fontId="2" fillId="7" borderId="35" xfId="0" applyFont="1" applyFill="1" applyBorder="1" applyAlignment="1">
      <alignment horizontal="center" vertical="top" wrapText="1"/>
    </xf>
    <xf numFmtId="0" fontId="2" fillId="7" borderId="45" xfId="0" applyFont="1" applyFill="1" applyBorder="1" applyAlignment="1">
      <alignment horizontal="center" vertical="top" wrapText="1"/>
    </xf>
    <xf numFmtId="0" fontId="0" fillId="2" borderId="50" xfId="0" applyFill="1" applyBorder="1" applyAlignment="1">
      <alignment horizontal="left" vertical="center" wrapText="1"/>
    </xf>
    <xf numFmtId="0" fontId="0" fillId="2" borderId="31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1" fillId="4" borderId="9" xfId="0" applyFont="1" applyFill="1" applyBorder="1" applyAlignment="1">
      <alignment horizontal="center" wrapText="1"/>
    </xf>
    <xf numFmtId="0" fontId="0" fillId="4" borderId="10" xfId="0" applyFill="1" applyBorder="1" applyAlignment="1">
      <alignment horizontal="center" wrapText="1"/>
    </xf>
    <xf numFmtId="0" fontId="0" fillId="4" borderId="16" xfId="0" applyFill="1" applyBorder="1" applyAlignment="1">
      <alignment horizontal="center" wrapText="1"/>
    </xf>
    <xf numFmtId="0" fontId="4" fillId="8" borderId="2" xfId="0" applyFont="1" applyFill="1" applyBorder="1" applyAlignment="1">
      <alignment horizontal="center" wrapText="1"/>
    </xf>
    <xf numFmtId="0" fontId="4" fillId="8" borderId="4" xfId="0" applyFont="1" applyFill="1" applyBorder="1" applyAlignment="1">
      <alignment horizontal="center" wrapText="1"/>
    </xf>
    <xf numFmtId="0" fontId="4" fillId="8" borderId="14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4" fillId="8" borderId="2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0" fillId="18" borderId="2" xfId="0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8" borderId="4" xfId="0" applyFill="1" applyBorder="1" applyAlignment="1">
      <alignment horizontal="center" vertical="center" wrapText="1"/>
    </xf>
    <xf numFmtId="14" fontId="0" fillId="17" borderId="2" xfId="0" applyNumberFormat="1" applyFill="1" applyBorder="1" applyAlignment="1">
      <alignment horizontal="center" vertical="center" wrapText="1"/>
    </xf>
    <xf numFmtId="14" fontId="0" fillId="17" borderId="4" xfId="0" applyNumberFormat="1" applyFill="1" applyBorder="1" applyAlignment="1">
      <alignment horizontal="center" vertical="center" wrapText="1"/>
    </xf>
    <xf numFmtId="14" fontId="0" fillId="17" borderId="3" xfId="0" applyNumberForma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textRotation="255" wrapText="1"/>
    </xf>
    <xf numFmtId="0" fontId="0" fillId="17" borderId="1" xfId="0" applyFill="1" applyBorder="1" applyAlignment="1">
      <alignment horizontal="left" vertical="center" wrapText="1"/>
    </xf>
    <xf numFmtId="0" fontId="0" fillId="18" borderId="1" xfId="0" applyFill="1" applyBorder="1" applyAlignment="1">
      <alignment horizontal="left" vertical="center" wrapText="1"/>
    </xf>
    <xf numFmtId="0" fontId="0" fillId="18" borderId="2" xfId="0" applyFill="1" applyBorder="1" applyAlignment="1">
      <alignment horizontal="left" vertical="center" wrapText="1"/>
    </xf>
    <xf numFmtId="0" fontId="0" fillId="18" borderId="4" xfId="0" applyFill="1" applyBorder="1" applyAlignment="1">
      <alignment horizontal="left" vertical="center" wrapText="1"/>
    </xf>
    <xf numFmtId="0" fontId="0" fillId="18" borderId="3" xfId="0" applyFill="1" applyBorder="1" applyAlignment="1">
      <alignment horizontal="left" vertical="center" wrapText="1"/>
    </xf>
    <xf numFmtId="0" fontId="0" fillId="17" borderId="2" xfId="0" applyFill="1" applyBorder="1" applyAlignment="1">
      <alignment horizontal="left" vertical="center" wrapText="1"/>
    </xf>
    <xf numFmtId="0" fontId="0" fillId="17" borderId="4" xfId="0" applyFill="1" applyBorder="1" applyAlignment="1">
      <alignment horizontal="left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0" fillId="10" borderId="2" xfId="0" applyFont="1" applyFill="1" applyBorder="1" applyAlignment="1">
      <alignment horizontal="center" vertical="center" wrapText="1"/>
    </xf>
    <xf numFmtId="0" fontId="0" fillId="10" borderId="3" xfId="0" applyFont="1" applyFill="1" applyBorder="1" applyAlignment="1">
      <alignment horizontal="center" vertical="center" wrapText="1"/>
    </xf>
    <xf numFmtId="0" fontId="0" fillId="10" borderId="4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2" fillId="18" borderId="2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14" fontId="0" fillId="17" borderId="1" xfId="0" applyNumberForma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4" fillId="17" borderId="14" xfId="0" applyFont="1" applyFill="1" applyBorder="1" applyAlignment="1">
      <alignment horizontal="center" wrapText="1"/>
    </xf>
    <xf numFmtId="0" fontId="4" fillId="17" borderId="25" xfId="0" applyFont="1" applyFill="1" applyBorder="1" applyAlignment="1">
      <alignment horizontal="center" wrapText="1"/>
    </xf>
    <xf numFmtId="0" fontId="4" fillId="17" borderId="14" xfId="0" applyFont="1" applyFill="1" applyBorder="1" applyAlignment="1">
      <alignment horizontal="center" vertical="center" wrapText="1"/>
    </xf>
    <xf numFmtId="0" fontId="4" fillId="17" borderId="25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8" borderId="3" xfId="0" applyFont="1" applyFill="1" applyBorder="1" applyAlignment="1">
      <alignment horizontal="center" vertical="center" wrapText="1"/>
    </xf>
    <xf numFmtId="1" fontId="0" fillId="2" borderId="2" xfId="0" applyNumberFormat="1" applyFill="1" applyBorder="1" applyAlignment="1">
      <alignment horizontal="center" vertical="center" wrapText="1"/>
    </xf>
    <xf numFmtId="1" fontId="0" fillId="2" borderId="4" xfId="0" applyNumberFormat="1" applyFill="1" applyBorder="1" applyAlignment="1">
      <alignment horizontal="center" vertical="center" wrapText="1"/>
    </xf>
    <xf numFmtId="0" fontId="1" fillId="19" borderId="2" xfId="0" applyFont="1" applyFill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0" fillId="19" borderId="2" xfId="0" applyFont="1" applyFill="1" applyBorder="1" applyAlignment="1">
      <alignment horizontal="center" vertical="center" wrapText="1"/>
    </xf>
    <xf numFmtId="0" fontId="0" fillId="19" borderId="4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3" fillId="19" borderId="4" xfId="0" applyFont="1" applyFill="1" applyBorder="1" applyAlignment="1">
      <alignment horizontal="center" vertical="center" wrapText="1"/>
    </xf>
    <xf numFmtId="1" fontId="0" fillId="19" borderId="2" xfId="0" applyNumberFormat="1" applyFont="1" applyFill="1" applyBorder="1" applyAlignment="1">
      <alignment horizontal="center" vertical="center" wrapText="1"/>
    </xf>
    <xf numFmtId="1" fontId="0" fillId="19" borderId="4" xfId="0" applyNumberFormat="1" applyFont="1" applyFill="1" applyBorder="1" applyAlignment="1">
      <alignment horizontal="center" vertical="center" wrapText="1"/>
    </xf>
    <xf numFmtId="1" fontId="0" fillId="19" borderId="2" xfId="0" applyNumberFormat="1" applyFill="1" applyBorder="1" applyAlignment="1">
      <alignment horizontal="center" vertical="center" wrapText="1"/>
    </xf>
    <xf numFmtId="1" fontId="0" fillId="19" borderId="4" xfId="0" applyNumberFormat="1" applyFill="1" applyBorder="1" applyAlignment="1">
      <alignment horizontal="center" vertical="center" wrapText="1"/>
    </xf>
    <xf numFmtId="0" fontId="0" fillId="19" borderId="3" xfId="0" applyFont="1" applyFill="1" applyBorder="1" applyAlignment="1">
      <alignment horizontal="center" vertical="center" wrapText="1"/>
    </xf>
    <xf numFmtId="1" fontId="3" fillId="19" borderId="2" xfId="0" applyNumberFormat="1" applyFont="1" applyFill="1" applyBorder="1" applyAlignment="1">
      <alignment horizontal="center" vertical="center" wrapText="1"/>
    </xf>
    <xf numFmtId="1" fontId="3" fillId="19" borderId="3" xfId="0" applyNumberFormat="1" applyFont="1" applyFill="1" applyBorder="1" applyAlignment="1">
      <alignment horizontal="center" vertical="center" wrapText="1"/>
    </xf>
    <xf numFmtId="1" fontId="3" fillId="19" borderId="4" xfId="0" applyNumberFormat="1" applyFont="1" applyFill="1" applyBorder="1" applyAlignment="1">
      <alignment horizontal="center" vertical="center" wrapText="1"/>
    </xf>
    <xf numFmtId="1" fontId="0" fillId="19" borderId="3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0" fontId="0" fillId="19" borderId="2" xfId="0" applyFont="1" applyFill="1" applyBorder="1" applyAlignment="1">
      <alignment horizontal="center" vertical="center"/>
    </xf>
    <xf numFmtId="0" fontId="0" fillId="19" borderId="4" xfId="0" applyFont="1" applyFill="1" applyBorder="1" applyAlignment="1">
      <alignment horizontal="center" vertical="center"/>
    </xf>
    <xf numFmtId="0" fontId="3" fillId="19" borderId="3" xfId="0" applyFont="1" applyFill="1" applyBorder="1" applyAlignment="1">
      <alignment horizontal="center" vertical="center" wrapText="1"/>
    </xf>
    <xf numFmtId="1" fontId="0" fillId="19" borderId="3" xfId="0" applyNumberFormat="1" applyFill="1" applyBorder="1" applyAlignment="1">
      <alignment horizontal="center" vertical="center" wrapText="1"/>
    </xf>
    <xf numFmtId="164" fontId="14" fillId="19" borderId="2" xfId="0" applyNumberFormat="1" applyFont="1" applyFill="1" applyBorder="1" applyAlignment="1">
      <alignment horizontal="center" vertical="center" wrapText="1"/>
    </xf>
    <xf numFmtId="164" fontId="0" fillId="19" borderId="3" xfId="0" applyNumberFormat="1" applyFill="1" applyBorder="1" applyAlignment="1">
      <alignment horizontal="center" vertical="center" wrapText="1"/>
    </xf>
    <xf numFmtId="0" fontId="0" fillId="19" borderId="4" xfId="0" applyFill="1" applyBorder="1" applyAlignment="1">
      <alignment horizontal="center" vertical="center" wrapText="1"/>
    </xf>
    <xf numFmtId="0" fontId="2" fillId="19" borderId="2" xfId="0" applyNumberFormat="1" applyFont="1" applyFill="1" applyBorder="1" applyAlignment="1">
      <alignment horizontal="center" vertical="center" wrapText="1"/>
    </xf>
    <xf numFmtId="0" fontId="2" fillId="19" borderId="4" xfId="0" applyNumberFormat="1" applyFont="1" applyFill="1" applyBorder="1" applyAlignment="1">
      <alignment horizontal="center" vertical="center" wrapText="1"/>
    </xf>
    <xf numFmtId="0" fontId="1" fillId="19" borderId="3" xfId="0" applyFont="1" applyFill="1" applyBorder="1" applyAlignment="1">
      <alignment horizontal="center" vertical="center" wrapText="1"/>
    </xf>
    <xf numFmtId="3" fontId="0" fillId="19" borderId="2" xfId="0" applyNumberFormat="1" applyFont="1" applyFill="1" applyBorder="1" applyAlignment="1">
      <alignment horizontal="center" vertical="center" wrapText="1"/>
    </xf>
    <xf numFmtId="3" fontId="0" fillId="19" borderId="3" xfId="0" applyNumberFormat="1" applyFont="1" applyFill="1" applyBorder="1" applyAlignment="1">
      <alignment horizontal="center" vertical="center" wrapText="1"/>
    </xf>
    <xf numFmtId="3" fontId="0" fillId="19" borderId="4" xfId="0" applyNumberFormat="1" applyFon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0" fontId="0" fillId="19" borderId="1" xfId="0" applyFont="1" applyFill="1" applyBorder="1" applyAlignment="1">
      <alignment horizontal="center" vertical="center"/>
    </xf>
    <xf numFmtId="1" fontId="0" fillId="19" borderId="1" xfId="0" applyNumberFormat="1" applyFill="1" applyBorder="1" applyAlignment="1">
      <alignment horizontal="center" vertical="center"/>
    </xf>
    <xf numFmtId="1" fontId="0" fillId="19" borderId="2" xfId="0" applyNumberFormat="1" applyFill="1" applyBorder="1" applyAlignment="1">
      <alignment horizontal="center" vertical="center"/>
    </xf>
    <xf numFmtId="1" fontId="0" fillId="19" borderId="3" xfId="0" applyNumberFormat="1" applyFill="1" applyBorder="1" applyAlignment="1">
      <alignment horizontal="center" vertical="center"/>
    </xf>
    <xf numFmtId="1" fontId="0" fillId="19" borderId="4" xfId="0" applyNumberForma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 wrapText="1"/>
    </xf>
    <xf numFmtId="3" fontId="0" fillId="19" borderId="2" xfId="0" applyNumberFormat="1" applyFill="1" applyBorder="1" applyAlignment="1">
      <alignment horizontal="center" vertical="center"/>
    </xf>
    <xf numFmtId="3" fontId="0" fillId="19" borderId="3" xfId="0" applyNumberFormat="1" applyFill="1" applyBorder="1" applyAlignment="1">
      <alignment horizontal="center" vertical="center"/>
    </xf>
    <xf numFmtId="3" fontId="0" fillId="19" borderId="4" xfId="0" applyNumberFormat="1" applyFill="1" applyBorder="1" applyAlignment="1">
      <alignment horizontal="center" vertical="center"/>
    </xf>
    <xf numFmtId="3" fontId="0" fillId="19" borderId="2" xfId="0" applyNumberFormat="1" applyFill="1" applyBorder="1" applyAlignment="1">
      <alignment horizontal="center" vertical="center" wrapText="1"/>
    </xf>
    <xf numFmtId="3" fontId="0" fillId="19" borderId="3" xfId="0" applyNumberForma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2" fillId="8" borderId="2" xfId="0" applyNumberFormat="1" applyFont="1" applyFill="1" applyBorder="1" applyAlignment="1">
      <alignment horizontal="center" vertical="center" wrapText="1"/>
    </xf>
    <xf numFmtId="0" fontId="2" fillId="8" borderId="3" xfId="0" applyNumberFormat="1" applyFont="1" applyFill="1" applyBorder="1" applyAlignment="1">
      <alignment horizontal="center" vertical="center" wrapText="1"/>
    </xf>
    <xf numFmtId="0" fontId="2" fillId="8" borderId="4" xfId="0" applyNumberFormat="1" applyFont="1" applyFill="1" applyBorder="1" applyAlignment="1">
      <alignment horizontal="center" vertical="center" wrapText="1"/>
    </xf>
    <xf numFmtId="1" fontId="11" fillId="8" borderId="2" xfId="0" applyNumberFormat="1" applyFont="1" applyFill="1" applyBorder="1" applyAlignment="1">
      <alignment horizontal="center" vertical="center" wrapText="1"/>
    </xf>
    <xf numFmtId="1" fontId="11" fillId="8" borderId="3" xfId="0" applyNumberFormat="1" applyFont="1" applyFill="1" applyBorder="1" applyAlignment="1">
      <alignment horizontal="center" vertical="center" wrapText="1"/>
    </xf>
    <xf numFmtId="1" fontId="11" fillId="8" borderId="4" xfId="0" applyNumberFormat="1" applyFont="1" applyFill="1" applyBorder="1" applyAlignment="1">
      <alignment horizontal="center" vertical="center" wrapText="1"/>
    </xf>
    <xf numFmtId="1" fontId="2" fillId="19" borderId="2" xfId="0" applyNumberFormat="1" applyFont="1" applyFill="1" applyBorder="1" applyAlignment="1">
      <alignment horizontal="center" vertical="center" wrapText="1"/>
    </xf>
    <xf numFmtId="1" fontId="2" fillId="19" borderId="3" xfId="0" applyNumberFormat="1" applyFont="1" applyFill="1" applyBorder="1" applyAlignment="1">
      <alignment horizontal="center" vertical="center" wrapText="1"/>
    </xf>
    <xf numFmtId="1" fontId="2" fillId="19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" fontId="0" fillId="2" borderId="3" xfId="0" applyNumberForma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0" fillId="19" borderId="3" xfId="0" applyFont="1" applyFill="1" applyBorder="1" applyAlignment="1">
      <alignment horizontal="center" vertical="center"/>
    </xf>
    <xf numFmtId="0" fontId="2" fillId="19" borderId="3" xfId="0" applyNumberFormat="1" applyFont="1" applyFill="1" applyBorder="1" applyAlignment="1">
      <alignment horizontal="center" vertical="center" wrapText="1"/>
    </xf>
    <xf numFmtId="0" fontId="2" fillId="19" borderId="2" xfId="1" applyNumberFormat="1" applyFont="1" applyFill="1" applyBorder="1" applyAlignment="1">
      <alignment horizontal="center" vertical="center" wrapText="1"/>
    </xf>
    <xf numFmtId="0" fontId="2" fillId="19" borderId="3" xfId="1" applyNumberFormat="1" applyFont="1" applyFill="1" applyBorder="1" applyAlignment="1">
      <alignment horizontal="center" vertical="center" wrapText="1"/>
    </xf>
    <xf numFmtId="0" fontId="2" fillId="19" borderId="4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" fontId="0" fillId="8" borderId="2" xfId="0" applyNumberFormat="1" applyFill="1" applyBorder="1" applyAlignment="1">
      <alignment horizontal="center" vertical="center" wrapText="1"/>
    </xf>
    <xf numFmtId="1" fontId="0" fillId="8" borderId="4" xfId="0" applyNumberFormat="1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14" fontId="0" fillId="19" borderId="3" xfId="0" applyNumberFormat="1" applyFill="1" applyBorder="1" applyAlignment="1">
      <alignment horizontal="center" vertical="center" wrapText="1"/>
    </xf>
    <xf numFmtId="14" fontId="0" fillId="19" borderId="4" xfId="0" applyNumberFormat="1" applyFill="1" applyBorder="1" applyAlignment="1">
      <alignment horizontal="center" vertical="center" wrapText="1"/>
    </xf>
    <xf numFmtId="17" fontId="0" fillId="19" borderId="2" xfId="0" applyNumberFormat="1" applyFont="1" applyFill="1" applyBorder="1" applyAlignment="1">
      <alignment horizontal="center" vertical="center" wrapText="1"/>
    </xf>
    <xf numFmtId="17" fontId="0" fillId="19" borderId="4" xfId="0" applyNumberFormat="1" applyFont="1" applyFill="1" applyBorder="1" applyAlignment="1">
      <alignment horizontal="center" vertical="center" wrapText="1"/>
    </xf>
    <xf numFmtId="3" fontId="0" fillId="19" borderId="4" xfId="0" applyNumberForma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/>
    </xf>
    <xf numFmtId="0" fontId="16" fillId="0" borderId="49" xfId="0" applyFont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1" fillId="14" borderId="11" xfId="0" applyFont="1" applyFill="1" applyBorder="1" applyAlignment="1">
      <alignment horizontal="center"/>
    </xf>
    <xf numFmtId="0" fontId="1" fillId="14" borderId="8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6" xfId="1"/>
  </cellStyles>
  <dxfs count="0"/>
  <tableStyles count="0" defaultTableStyle="TableStyleMedium2" defaultPivotStyle="PivotStyleLight16"/>
  <colors>
    <mruColors>
      <color rgb="FFF7FFF7"/>
      <color rgb="FFDFE7F5"/>
      <color rgb="FFFEFAF8"/>
      <color rgb="FF53ADFF"/>
      <color rgb="FFC5D3ED"/>
      <color rgb="FFD9EDFF"/>
      <color rgb="FFC5E3FF"/>
      <color rgb="FFE5FFE5"/>
      <color rgb="FFFAF7FF"/>
      <color rgb="FF898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9"/>
  <sheetViews>
    <sheetView topLeftCell="A48" zoomScaleNormal="100" workbookViewId="0">
      <selection activeCell="E58" sqref="E58:E59"/>
    </sheetView>
  </sheetViews>
  <sheetFormatPr baseColWidth="10" defaultRowHeight="30" customHeight="1" x14ac:dyDescent="0.25"/>
  <cols>
    <col min="1" max="1" width="4.5703125" style="136" customWidth="1"/>
    <col min="2" max="2" width="20.7109375" style="137" customWidth="1"/>
    <col min="3" max="3" width="23" style="137" customWidth="1"/>
    <col min="4" max="4" width="5.42578125" style="6" customWidth="1"/>
    <col min="5" max="5" width="14.5703125" style="138" customWidth="1"/>
    <col min="6" max="7" width="14.5703125" style="6" customWidth="1"/>
    <col min="8" max="8" width="21.7109375" style="6" customWidth="1"/>
    <col min="9" max="9" width="13" style="6" customWidth="1"/>
    <col min="10" max="10" width="12.85546875" style="237" customWidth="1"/>
    <col min="11" max="11" width="12.28515625" style="237" customWidth="1"/>
    <col min="12" max="12" width="12.7109375" style="237" customWidth="1"/>
    <col min="13" max="13" width="8.140625" style="6" customWidth="1"/>
    <col min="14" max="14" width="7.7109375" style="6" customWidth="1"/>
    <col min="15" max="15" width="8.140625" style="6" customWidth="1"/>
    <col min="16" max="16" width="22.85546875" style="6" customWidth="1"/>
    <col min="17" max="17" width="46.5703125" style="6" customWidth="1"/>
    <col min="18" max="16384" width="11.42578125" style="6"/>
  </cols>
  <sheetData>
    <row r="1" spans="1:17" ht="22.5" customHeight="1" x14ac:dyDescent="0.25">
      <c r="A1" s="247" t="s">
        <v>403</v>
      </c>
      <c r="B1" s="248" t="s">
        <v>404</v>
      </c>
      <c r="C1" s="248" t="s">
        <v>405</v>
      </c>
      <c r="D1" s="249" t="s">
        <v>406</v>
      </c>
      <c r="E1" s="250" t="s">
        <v>407</v>
      </c>
      <c r="F1" s="251" t="s">
        <v>408</v>
      </c>
      <c r="G1" s="249" t="s">
        <v>701</v>
      </c>
      <c r="H1" s="251" t="s">
        <v>409</v>
      </c>
      <c r="I1" s="251" t="s">
        <v>0</v>
      </c>
      <c r="J1" s="252" t="s">
        <v>410</v>
      </c>
      <c r="K1" s="252" t="s">
        <v>1</v>
      </c>
      <c r="L1" s="252" t="s">
        <v>2</v>
      </c>
      <c r="M1" s="251" t="s">
        <v>904</v>
      </c>
      <c r="N1" s="251" t="s">
        <v>412</v>
      </c>
      <c r="O1" s="251" t="s">
        <v>903</v>
      </c>
      <c r="P1" s="251" t="s">
        <v>413</v>
      </c>
      <c r="Q1" s="251" t="s">
        <v>3</v>
      </c>
    </row>
    <row r="2" spans="1:17" ht="30" customHeight="1" x14ac:dyDescent="0.25">
      <c r="A2" s="606">
        <v>1</v>
      </c>
      <c r="B2" s="624" t="s">
        <v>414</v>
      </c>
      <c r="C2" s="624" t="s">
        <v>700</v>
      </c>
      <c r="D2" s="605" t="s">
        <v>415</v>
      </c>
      <c r="E2" s="607">
        <v>25784195</v>
      </c>
      <c r="F2" s="605" t="s">
        <v>416</v>
      </c>
      <c r="G2" s="605" t="s">
        <v>720</v>
      </c>
      <c r="H2" s="605" t="s">
        <v>417</v>
      </c>
      <c r="I2" s="605">
        <v>3215326011</v>
      </c>
      <c r="J2" s="608">
        <v>43357</v>
      </c>
      <c r="K2" s="608">
        <v>43405</v>
      </c>
      <c r="L2" s="608">
        <v>43434</v>
      </c>
      <c r="M2" s="253">
        <v>20</v>
      </c>
      <c r="N2" s="253" t="s">
        <v>4</v>
      </c>
      <c r="O2" s="253">
        <v>20</v>
      </c>
      <c r="P2" s="605" t="s">
        <v>1011</v>
      </c>
      <c r="Q2" s="605"/>
    </row>
    <row r="3" spans="1:17" ht="30" customHeight="1" x14ac:dyDescent="0.25">
      <c r="A3" s="606"/>
      <c r="B3" s="624"/>
      <c r="C3" s="624"/>
      <c r="D3" s="605"/>
      <c r="E3" s="607"/>
      <c r="F3" s="605"/>
      <c r="G3" s="605"/>
      <c r="H3" s="605"/>
      <c r="I3" s="605"/>
      <c r="J3" s="608"/>
      <c r="K3" s="608"/>
      <c r="L3" s="608"/>
      <c r="M3" s="253">
        <v>20</v>
      </c>
      <c r="N3" s="253" t="s">
        <v>254</v>
      </c>
      <c r="O3" s="253">
        <v>20</v>
      </c>
      <c r="P3" s="605"/>
      <c r="Q3" s="605"/>
    </row>
    <row r="4" spans="1:17" ht="30" customHeight="1" x14ac:dyDescent="0.25">
      <c r="A4" s="606">
        <v>2</v>
      </c>
      <c r="B4" s="624" t="s">
        <v>419</v>
      </c>
      <c r="C4" s="624" t="s">
        <v>420</v>
      </c>
      <c r="D4" s="605" t="s">
        <v>415</v>
      </c>
      <c r="E4" s="607">
        <v>1067959980</v>
      </c>
      <c r="F4" s="605" t="s">
        <v>416</v>
      </c>
      <c r="G4" s="605" t="s">
        <v>750</v>
      </c>
      <c r="H4" s="605" t="s">
        <v>421</v>
      </c>
      <c r="I4" s="605">
        <v>3013110979</v>
      </c>
      <c r="J4" s="608">
        <v>43347</v>
      </c>
      <c r="K4" s="608">
        <v>43380</v>
      </c>
      <c r="L4" s="608">
        <v>43561</v>
      </c>
      <c r="M4" s="253">
        <v>20</v>
      </c>
      <c r="N4" s="253" t="s">
        <v>4</v>
      </c>
      <c r="O4" s="253">
        <v>20</v>
      </c>
      <c r="P4" s="253"/>
      <c r="Q4" s="605" t="s">
        <v>1081</v>
      </c>
    </row>
    <row r="5" spans="1:17" ht="30" customHeight="1" x14ac:dyDescent="0.25">
      <c r="A5" s="606"/>
      <c r="B5" s="624"/>
      <c r="C5" s="624"/>
      <c r="D5" s="605"/>
      <c r="E5" s="607"/>
      <c r="F5" s="605"/>
      <c r="G5" s="605"/>
      <c r="H5" s="605"/>
      <c r="I5" s="605"/>
      <c r="J5" s="608"/>
      <c r="K5" s="608"/>
      <c r="L5" s="608"/>
      <c r="M5" s="253">
        <v>20</v>
      </c>
      <c r="N5" s="253" t="s">
        <v>9</v>
      </c>
      <c r="O5" s="253">
        <v>20</v>
      </c>
      <c r="P5" s="253"/>
      <c r="Q5" s="605"/>
    </row>
    <row r="6" spans="1:17" ht="30" customHeight="1" x14ac:dyDescent="0.25">
      <c r="A6" s="606"/>
      <c r="B6" s="624"/>
      <c r="C6" s="624"/>
      <c r="D6" s="605"/>
      <c r="E6" s="607"/>
      <c r="F6" s="605"/>
      <c r="G6" s="605"/>
      <c r="H6" s="605"/>
      <c r="I6" s="605"/>
      <c r="J6" s="608"/>
      <c r="K6" s="608"/>
      <c r="L6" s="608"/>
      <c r="M6" s="253">
        <v>20</v>
      </c>
      <c r="N6" s="253" t="s">
        <v>254</v>
      </c>
      <c r="O6" s="253">
        <v>20</v>
      </c>
      <c r="P6" s="253"/>
      <c r="Q6" s="605"/>
    </row>
    <row r="7" spans="1:17" ht="30" customHeight="1" x14ac:dyDescent="0.25">
      <c r="A7" s="606">
        <v>3</v>
      </c>
      <c r="B7" s="605" t="s">
        <v>422</v>
      </c>
      <c r="C7" s="605" t="s">
        <v>423</v>
      </c>
      <c r="D7" s="605" t="s">
        <v>415</v>
      </c>
      <c r="E7" s="607">
        <v>1134329040</v>
      </c>
      <c r="F7" s="605" t="s">
        <v>486</v>
      </c>
      <c r="G7" s="605" t="s">
        <v>775</v>
      </c>
      <c r="H7" s="605" t="s">
        <v>774</v>
      </c>
      <c r="I7" s="605">
        <v>3225970377</v>
      </c>
      <c r="J7" s="608">
        <v>43360</v>
      </c>
      <c r="K7" s="608">
        <v>43351</v>
      </c>
      <c r="L7" s="608">
        <v>43441</v>
      </c>
      <c r="M7" s="253">
        <v>12</v>
      </c>
      <c r="N7" s="253" t="s">
        <v>254</v>
      </c>
      <c r="O7" s="253">
        <v>36</v>
      </c>
      <c r="P7" s="253" t="s">
        <v>727</v>
      </c>
      <c r="Q7" s="253"/>
    </row>
    <row r="8" spans="1:17" ht="30" customHeight="1" x14ac:dyDescent="0.25">
      <c r="A8" s="606"/>
      <c r="B8" s="605"/>
      <c r="C8" s="605"/>
      <c r="D8" s="605"/>
      <c r="E8" s="607"/>
      <c r="F8" s="605"/>
      <c r="G8" s="605"/>
      <c r="H8" s="605"/>
      <c r="I8" s="605"/>
      <c r="J8" s="608"/>
      <c r="K8" s="608"/>
      <c r="L8" s="608"/>
      <c r="M8" s="253">
        <v>20</v>
      </c>
      <c r="N8" s="253" t="s">
        <v>4</v>
      </c>
      <c r="O8" s="253">
        <v>60</v>
      </c>
      <c r="P8" s="253" t="s">
        <v>438</v>
      </c>
      <c r="Q8" s="253"/>
    </row>
    <row r="9" spans="1:17" ht="30" customHeight="1" x14ac:dyDescent="0.25">
      <c r="A9" s="458">
        <v>4</v>
      </c>
      <c r="B9" s="254" t="s">
        <v>425</v>
      </c>
      <c r="C9" s="254" t="s">
        <v>426</v>
      </c>
      <c r="D9" s="253" t="s">
        <v>415</v>
      </c>
      <c r="E9" s="255">
        <v>34961587</v>
      </c>
      <c r="F9" s="253" t="s">
        <v>486</v>
      </c>
      <c r="G9" s="253"/>
      <c r="H9" s="253" t="s">
        <v>427</v>
      </c>
      <c r="I9" s="253" t="s">
        <v>428</v>
      </c>
      <c r="J9" s="256">
        <v>43291</v>
      </c>
      <c r="K9" s="256">
        <v>43293</v>
      </c>
      <c r="L9" s="256">
        <v>43476</v>
      </c>
      <c r="M9" s="253">
        <v>12</v>
      </c>
      <c r="N9" s="253" t="s">
        <v>254</v>
      </c>
      <c r="O9" s="253">
        <v>72</v>
      </c>
      <c r="P9" s="253" t="s">
        <v>744</v>
      </c>
      <c r="Q9" s="253"/>
    </row>
    <row r="10" spans="1:17" ht="30" customHeight="1" x14ac:dyDescent="0.25">
      <c r="A10" s="606">
        <v>5</v>
      </c>
      <c r="B10" s="624" t="s">
        <v>429</v>
      </c>
      <c r="C10" s="624" t="s">
        <v>430</v>
      </c>
      <c r="D10" s="605" t="s">
        <v>415</v>
      </c>
      <c r="E10" s="607">
        <v>1067955615</v>
      </c>
      <c r="F10" s="605" t="s">
        <v>418</v>
      </c>
      <c r="G10" s="605" t="s">
        <v>725</v>
      </c>
      <c r="H10" s="605" t="s">
        <v>431</v>
      </c>
      <c r="I10" s="605">
        <v>3145862419</v>
      </c>
      <c r="J10" s="608">
        <v>43285</v>
      </c>
      <c r="K10" s="608">
        <v>43290</v>
      </c>
      <c r="L10" s="608">
        <v>43434</v>
      </c>
      <c r="M10" s="253">
        <v>24</v>
      </c>
      <c r="N10" s="253" t="s">
        <v>4</v>
      </c>
      <c r="O10" s="253">
        <v>96</v>
      </c>
      <c r="P10" s="605" t="s">
        <v>432</v>
      </c>
      <c r="Q10" s="253"/>
    </row>
    <row r="11" spans="1:17" ht="30" customHeight="1" x14ac:dyDescent="0.25">
      <c r="A11" s="606"/>
      <c r="B11" s="624"/>
      <c r="C11" s="624"/>
      <c r="D11" s="605"/>
      <c r="E11" s="607"/>
      <c r="F11" s="605"/>
      <c r="G11" s="605"/>
      <c r="H11" s="605"/>
      <c r="I11" s="605"/>
      <c r="J11" s="608"/>
      <c r="K11" s="608"/>
      <c r="L11" s="608"/>
      <c r="M11" s="253">
        <v>24</v>
      </c>
      <c r="N11" s="253" t="s">
        <v>254</v>
      </c>
      <c r="O11" s="253">
        <v>96</v>
      </c>
      <c r="P11" s="605"/>
      <c r="Q11" s="253"/>
    </row>
    <row r="12" spans="1:17" ht="30" customHeight="1" x14ac:dyDescent="0.25">
      <c r="A12" s="606">
        <v>6</v>
      </c>
      <c r="B12" s="629" t="s">
        <v>433</v>
      </c>
      <c r="C12" s="629" t="s">
        <v>434</v>
      </c>
      <c r="D12" s="605" t="s">
        <v>415</v>
      </c>
      <c r="E12" s="607">
        <v>22301501</v>
      </c>
      <c r="F12" s="630" t="s">
        <v>416</v>
      </c>
      <c r="G12" s="630" t="s">
        <v>807</v>
      </c>
      <c r="H12" s="630" t="s">
        <v>1206</v>
      </c>
      <c r="I12" s="605">
        <v>3012237430</v>
      </c>
      <c r="J12" s="632">
        <v>43368</v>
      </c>
      <c r="K12" s="632">
        <v>43369</v>
      </c>
      <c r="L12" s="608">
        <v>43393</v>
      </c>
      <c r="M12" s="253">
        <v>12</v>
      </c>
      <c r="N12" s="257" t="s">
        <v>4</v>
      </c>
      <c r="O12" s="253">
        <v>12</v>
      </c>
      <c r="P12" s="631" t="s">
        <v>804</v>
      </c>
      <c r="Q12" s="253"/>
    </row>
    <row r="13" spans="1:17" ht="29.25" customHeight="1" x14ac:dyDescent="0.25">
      <c r="A13" s="606"/>
      <c r="B13" s="629"/>
      <c r="C13" s="629"/>
      <c r="D13" s="605"/>
      <c r="E13" s="607"/>
      <c r="F13" s="630"/>
      <c r="G13" s="630"/>
      <c r="H13" s="630"/>
      <c r="I13" s="605"/>
      <c r="J13" s="632"/>
      <c r="K13" s="632"/>
      <c r="L13" s="608"/>
      <c r="M13" s="257">
        <v>12</v>
      </c>
      <c r="N13" s="257" t="s">
        <v>254</v>
      </c>
      <c r="O13" s="257">
        <v>12</v>
      </c>
      <c r="P13" s="631"/>
      <c r="Q13" s="257"/>
    </row>
    <row r="14" spans="1:17" ht="30" customHeight="1" x14ac:dyDescent="0.25">
      <c r="A14" s="458">
        <v>7</v>
      </c>
      <c r="B14" s="258" t="s">
        <v>435</v>
      </c>
      <c r="C14" s="258" t="s">
        <v>436</v>
      </c>
      <c r="D14" s="257" t="s">
        <v>415</v>
      </c>
      <c r="E14" s="259">
        <v>1067902346</v>
      </c>
      <c r="F14" s="257" t="s">
        <v>418</v>
      </c>
      <c r="G14" s="257" t="s">
        <v>725</v>
      </c>
      <c r="H14" s="257" t="s">
        <v>437</v>
      </c>
      <c r="I14" s="257">
        <v>3145543192</v>
      </c>
      <c r="J14" s="260">
        <v>43335</v>
      </c>
      <c r="K14" s="260">
        <v>43336</v>
      </c>
      <c r="L14" s="260">
        <v>43427</v>
      </c>
      <c r="M14" s="257">
        <v>20</v>
      </c>
      <c r="N14" s="257" t="s">
        <v>4</v>
      </c>
      <c r="O14" s="257">
        <v>60</v>
      </c>
      <c r="P14" s="257" t="s">
        <v>438</v>
      </c>
      <c r="Q14" s="257"/>
    </row>
    <row r="15" spans="1:17" ht="30" customHeight="1" x14ac:dyDescent="0.25">
      <c r="A15" s="458">
        <v>8</v>
      </c>
      <c r="B15" s="258" t="s">
        <v>813</v>
      </c>
      <c r="C15" s="258" t="s">
        <v>1042</v>
      </c>
      <c r="D15" s="257" t="s">
        <v>415</v>
      </c>
      <c r="E15" s="259">
        <v>1574006</v>
      </c>
      <c r="F15" s="257" t="s">
        <v>418</v>
      </c>
      <c r="G15" s="257" t="s">
        <v>720</v>
      </c>
      <c r="H15" s="257" t="s">
        <v>721</v>
      </c>
      <c r="I15" s="257" t="s">
        <v>722</v>
      </c>
      <c r="J15" s="260">
        <v>43342</v>
      </c>
      <c r="K15" s="260">
        <v>43344</v>
      </c>
      <c r="L15" s="260">
        <v>43464</v>
      </c>
      <c r="M15" s="257">
        <v>15</v>
      </c>
      <c r="N15" s="257" t="s">
        <v>4</v>
      </c>
      <c r="O15" s="257">
        <v>60</v>
      </c>
      <c r="P15" s="257" t="s">
        <v>439</v>
      </c>
      <c r="Q15" s="257"/>
    </row>
    <row r="16" spans="1:17" ht="30" customHeight="1" x14ac:dyDescent="0.25">
      <c r="A16" s="458">
        <v>9</v>
      </c>
      <c r="B16" s="258" t="s">
        <v>745</v>
      </c>
      <c r="C16" s="258" t="s">
        <v>746</v>
      </c>
      <c r="D16" s="257" t="s">
        <v>415</v>
      </c>
      <c r="E16" s="259">
        <v>32253284</v>
      </c>
      <c r="F16" s="257" t="s">
        <v>440</v>
      </c>
      <c r="G16" s="257" t="s">
        <v>796</v>
      </c>
      <c r="H16" s="257" t="s">
        <v>441</v>
      </c>
      <c r="I16" s="257">
        <v>3205679193</v>
      </c>
      <c r="J16" s="260">
        <v>43405</v>
      </c>
      <c r="K16" s="260">
        <v>43413</v>
      </c>
      <c r="L16" s="260">
        <v>43495</v>
      </c>
      <c r="M16" s="257">
        <v>12</v>
      </c>
      <c r="N16" s="257" t="s">
        <v>4</v>
      </c>
      <c r="O16" s="257">
        <v>40</v>
      </c>
      <c r="P16" s="257" t="s">
        <v>1120</v>
      </c>
      <c r="Q16" s="257"/>
    </row>
    <row r="17" spans="1:17" ht="30" customHeight="1" x14ac:dyDescent="0.25">
      <c r="A17" s="458">
        <v>10</v>
      </c>
      <c r="B17" s="254" t="s">
        <v>442</v>
      </c>
      <c r="C17" s="254" t="s">
        <v>443</v>
      </c>
      <c r="D17" s="253" t="s">
        <v>415</v>
      </c>
      <c r="E17" s="255">
        <v>50931108</v>
      </c>
      <c r="F17" s="253" t="s">
        <v>418</v>
      </c>
      <c r="G17" s="261" t="s">
        <v>808</v>
      </c>
      <c r="H17" s="253" t="s">
        <v>444</v>
      </c>
      <c r="I17" s="253">
        <v>3123386830</v>
      </c>
      <c r="J17" s="256">
        <v>43377</v>
      </c>
      <c r="K17" s="256">
        <v>43379</v>
      </c>
      <c r="L17" s="256">
        <v>43500</v>
      </c>
      <c r="M17" s="253">
        <v>20</v>
      </c>
      <c r="N17" s="253" t="s">
        <v>4</v>
      </c>
      <c r="O17" s="253">
        <v>80</v>
      </c>
      <c r="P17" s="253" t="s">
        <v>873</v>
      </c>
      <c r="Q17" s="253" t="s">
        <v>445</v>
      </c>
    </row>
    <row r="18" spans="1:17" ht="30" customHeight="1" x14ac:dyDescent="0.25">
      <c r="A18" s="458">
        <v>11</v>
      </c>
      <c r="B18" s="254" t="s">
        <v>1296</v>
      </c>
      <c r="C18" s="254" t="s">
        <v>1297</v>
      </c>
      <c r="D18" s="253" t="s">
        <v>415</v>
      </c>
      <c r="E18" s="255">
        <v>25796336</v>
      </c>
      <c r="F18" s="253" t="s">
        <v>418</v>
      </c>
      <c r="G18" s="253"/>
      <c r="H18" s="253" t="s">
        <v>1300</v>
      </c>
      <c r="I18" s="253" t="s">
        <v>1298</v>
      </c>
      <c r="J18" s="256">
        <v>43431</v>
      </c>
      <c r="K18" s="256">
        <v>43435</v>
      </c>
      <c r="L18" s="256">
        <v>43524</v>
      </c>
      <c r="M18" s="253">
        <v>20</v>
      </c>
      <c r="N18" s="253" t="s">
        <v>4</v>
      </c>
      <c r="O18" s="253">
        <v>60</v>
      </c>
      <c r="P18" s="253" t="s">
        <v>1299</v>
      </c>
      <c r="Q18" s="253"/>
    </row>
    <row r="19" spans="1:17" ht="30" customHeight="1" x14ac:dyDescent="0.25">
      <c r="A19" s="458">
        <v>12</v>
      </c>
      <c r="B19" s="254" t="s">
        <v>447</v>
      </c>
      <c r="C19" s="254" t="s">
        <v>448</v>
      </c>
      <c r="D19" s="253" t="s">
        <v>449</v>
      </c>
      <c r="E19" s="255">
        <v>1007781468</v>
      </c>
      <c r="F19" s="253" t="s">
        <v>418</v>
      </c>
      <c r="G19" s="253" t="s">
        <v>725</v>
      </c>
      <c r="H19" s="253" t="s">
        <v>450</v>
      </c>
      <c r="I19" s="253">
        <v>3234790097</v>
      </c>
      <c r="J19" s="256">
        <v>43298</v>
      </c>
      <c r="K19" s="256">
        <v>43318</v>
      </c>
      <c r="L19" s="256">
        <v>43501</v>
      </c>
      <c r="M19" s="253">
        <v>12</v>
      </c>
      <c r="N19" s="253" t="s">
        <v>4</v>
      </c>
      <c r="O19" s="253">
        <v>72</v>
      </c>
      <c r="P19" s="253" t="s">
        <v>451</v>
      </c>
      <c r="Q19" s="253" t="s">
        <v>452</v>
      </c>
    </row>
    <row r="20" spans="1:17" ht="30" customHeight="1" x14ac:dyDescent="0.25">
      <c r="A20" s="458">
        <v>13</v>
      </c>
      <c r="B20" s="254" t="s">
        <v>1273</v>
      </c>
      <c r="C20" s="254" t="s">
        <v>1274</v>
      </c>
      <c r="D20" s="253" t="s">
        <v>415</v>
      </c>
      <c r="E20" s="255">
        <v>50977788</v>
      </c>
      <c r="F20" s="253" t="s">
        <v>416</v>
      </c>
      <c r="G20" s="253" t="s">
        <v>713</v>
      </c>
      <c r="H20" s="253" t="s">
        <v>1275</v>
      </c>
      <c r="I20" s="253" t="s">
        <v>1276</v>
      </c>
      <c r="J20" s="256">
        <v>43421</v>
      </c>
      <c r="K20" s="256">
        <v>43421</v>
      </c>
      <c r="L20" s="256">
        <v>43426</v>
      </c>
      <c r="M20" s="253">
        <v>20</v>
      </c>
      <c r="N20" s="253" t="s">
        <v>6</v>
      </c>
      <c r="O20" s="253">
        <v>20</v>
      </c>
      <c r="P20" s="253" t="s">
        <v>959</v>
      </c>
      <c r="Q20" s="253"/>
    </row>
    <row r="21" spans="1:17" ht="30" customHeight="1" x14ac:dyDescent="0.25">
      <c r="A21" s="458"/>
      <c r="B21" s="234" t="s">
        <v>456</v>
      </c>
      <c r="C21" s="234" t="s">
        <v>457</v>
      </c>
      <c r="D21" s="229" t="s">
        <v>415</v>
      </c>
      <c r="E21" s="229">
        <v>34969421</v>
      </c>
      <c r="F21" s="229" t="s">
        <v>416</v>
      </c>
      <c r="G21" s="229" t="s">
        <v>781</v>
      </c>
      <c r="H21" s="229" t="s">
        <v>458</v>
      </c>
      <c r="I21" s="229">
        <v>3165617608</v>
      </c>
      <c r="J21" s="230">
        <v>43395</v>
      </c>
      <c r="K21" s="230">
        <v>43396</v>
      </c>
      <c r="L21" s="230">
        <v>43426</v>
      </c>
      <c r="M21" s="229">
        <v>30</v>
      </c>
      <c r="N21" s="229" t="s">
        <v>4</v>
      </c>
      <c r="O21" s="229">
        <v>30</v>
      </c>
      <c r="P21" s="229"/>
      <c r="Q21" s="229" t="s">
        <v>1284</v>
      </c>
    </row>
    <row r="22" spans="1:17" ht="30" customHeight="1" x14ac:dyDescent="0.25">
      <c r="A22" s="606">
        <v>14</v>
      </c>
      <c r="B22" s="599" t="s">
        <v>446</v>
      </c>
      <c r="C22" s="599" t="s">
        <v>459</v>
      </c>
      <c r="D22" s="605" t="s">
        <v>415</v>
      </c>
      <c r="E22" s="607">
        <v>78700096</v>
      </c>
      <c r="F22" s="605" t="s">
        <v>416</v>
      </c>
      <c r="G22" s="605" t="s">
        <v>776</v>
      </c>
      <c r="H22" s="605" t="s">
        <v>460</v>
      </c>
      <c r="I22" s="605">
        <v>3045902653</v>
      </c>
      <c r="J22" s="608">
        <v>43328</v>
      </c>
      <c r="K22" s="608">
        <v>43329</v>
      </c>
      <c r="L22" s="608">
        <v>43512</v>
      </c>
      <c r="M22" s="253">
        <v>20</v>
      </c>
      <c r="N22" s="253" t="s">
        <v>4</v>
      </c>
      <c r="O22" s="253">
        <v>120</v>
      </c>
      <c r="P22" s="605" t="s">
        <v>1163</v>
      </c>
      <c r="Q22" s="599" t="s">
        <v>1087</v>
      </c>
    </row>
    <row r="23" spans="1:17" ht="30" customHeight="1" x14ac:dyDescent="0.25">
      <c r="A23" s="606"/>
      <c r="B23" s="609"/>
      <c r="C23" s="609"/>
      <c r="D23" s="605"/>
      <c r="E23" s="607"/>
      <c r="F23" s="605"/>
      <c r="G23" s="605"/>
      <c r="H23" s="605"/>
      <c r="I23" s="605"/>
      <c r="J23" s="608"/>
      <c r="K23" s="608"/>
      <c r="L23" s="608"/>
      <c r="M23" s="253">
        <v>20</v>
      </c>
      <c r="N23" s="253" t="s">
        <v>9</v>
      </c>
      <c r="O23" s="253">
        <v>120</v>
      </c>
      <c r="P23" s="605"/>
      <c r="Q23" s="609"/>
    </row>
    <row r="24" spans="1:17" ht="30" customHeight="1" x14ac:dyDescent="0.25">
      <c r="A24" s="606"/>
      <c r="B24" s="600"/>
      <c r="C24" s="600"/>
      <c r="D24" s="605"/>
      <c r="E24" s="607"/>
      <c r="F24" s="605"/>
      <c r="G24" s="605"/>
      <c r="H24" s="605"/>
      <c r="I24" s="605"/>
      <c r="J24" s="608"/>
      <c r="K24" s="608"/>
      <c r="L24" s="608"/>
      <c r="M24" s="253">
        <v>20</v>
      </c>
      <c r="N24" s="253" t="s">
        <v>254</v>
      </c>
      <c r="O24" s="253">
        <v>120</v>
      </c>
      <c r="P24" s="605"/>
      <c r="Q24" s="600"/>
    </row>
    <row r="25" spans="1:17" ht="30" customHeight="1" x14ac:dyDescent="0.25">
      <c r="A25" s="458">
        <v>15</v>
      </c>
      <c r="B25" s="254" t="s">
        <v>609</v>
      </c>
      <c r="C25" s="254" t="s">
        <v>740</v>
      </c>
      <c r="D25" s="253" t="s">
        <v>415</v>
      </c>
      <c r="E25" s="255">
        <v>1067944075</v>
      </c>
      <c r="F25" s="253" t="s">
        <v>418</v>
      </c>
      <c r="G25" s="253" t="s">
        <v>741</v>
      </c>
      <c r="H25" s="253" t="s">
        <v>742</v>
      </c>
      <c r="I25" s="253">
        <v>3115025613</v>
      </c>
      <c r="J25" s="256">
        <v>43364</v>
      </c>
      <c r="K25" s="256">
        <v>43367</v>
      </c>
      <c r="L25" s="256">
        <v>43547</v>
      </c>
      <c r="M25" s="253">
        <v>12</v>
      </c>
      <c r="N25" s="253" t="s">
        <v>4</v>
      </c>
      <c r="O25" s="253">
        <v>72</v>
      </c>
      <c r="P25" s="253" t="s">
        <v>743</v>
      </c>
      <c r="Q25" s="253"/>
    </row>
    <row r="26" spans="1:17" ht="30" customHeight="1" x14ac:dyDescent="0.25">
      <c r="A26" s="458">
        <v>16</v>
      </c>
      <c r="B26" s="253" t="s">
        <v>461</v>
      </c>
      <c r="C26" s="253" t="s">
        <v>462</v>
      </c>
      <c r="D26" s="253" t="s">
        <v>415</v>
      </c>
      <c r="E26" s="255">
        <v>34997877</v>
      </c>
      <c r="F26" s="253" t="s">
        <v>418</v>
      </c>
      <c r="G26" s="253" t="s">
        <v>757</v>
      </c>
      <c r="H26" s="253" t="s">
        <v>463</v>
      </c>
      <c r="I26" s="253">
        <v>3228002461</v>
      </c>
      <c r="J26" s="256">
        <v>43378</v>
      </c>
      <c r="K26" s="256">
        <v>43381</v>
      </c>
      <c r="L26" s="256">
        <v>43472</v>
      </c>
      <c r="M26" s="253">
        <v>16</v>
      </c>
      <c r="N26" s="253" t="s">
        <v>4</v>
      </c>
      <c r="O26" s="253">
        <v>48</v>
      </c>
      <c r="P26" s="253" t="s">
        <v>1094</v>
      </c>
      <c r="Q26" s="253"/>
    </row>
    <row r="27" spans="1:17" ht="30" customHeight="1" x14ac:dyDescent="0.25">
      <c r="A27" s="626">
        <v>17</v>
      </c>
      <c r="B27" s="627" t="s">
        <v>464</v>
      </c>
      <c r="C27" s="627" t="s">
        <v>465</v>
      </c>
      <c r="D27" s="627" t="s">
        <v>453</v>
      </c>
      <c r="E27" s="628">
        <v>1233340250</v>
      </c>
      <c r="F27" s="627" t="s">
        <v>486</v>
      </c>
      <c r="G27" s="627"/>
      <c r="H27" s="627" t="s">
        <v>466</v>
      </c>
      <c r="I27" s="627" t="s">
        <v>467</v>
      </c>
      <c r="J27" s="625">
        <v>43329</v>
      </c>
      <c r="K27" s="246">
        <v>43333</v>
      </c>
      <c r="L27" s="246">
        <v>43454</v>
      </c>
      <c r="M27" s="238">
        <v>16</v>
      </c>
      <c r="N27" s="238" t="s">
        <v>4</v>
      </c>
      <c r="O27" s="238">
        <v>64</v>
      </c>
      <c r="P27" s="627" t="s">
        <v>468</v>
      </c>
      <c r="Q27" s="266" t="s">
        <v>884</v>
      </c>
    </row>
    <row r="28" spans="1:17" ht="30" customHeight="1" x14ac:dyDescent="0.25">
      <c r="A28" s="626"/>
      <c r="B28" s="627"/>
      <c r="C28" s="627"/>
      <c r="D28" s="627"/>
      <c r="E28" s="628"/>
      <c r="F28" s="627"/>
      <c r="G28" s="627"/>
      <c r="H28" s="627"/>
      <c r="I28" s="627"/>
      <c r="J28" s="625"/>
      <c r="K28" s="610">
        <v>43364</v>
      </c>
      <c r="L28" s="610">
        <v>43485</v>
      </c>
      <c r="M28" s="238">
        <v>16</v>
      </c>
      <c r="N28" s="238" t="s">
        <v>253</v>
      </c>
      <c r="O28" s="238">
        <v>64</v>
      </c>
      <c r="P28" s="627"/>
      <c r="Q28" s="627" t="s">
        <v>889</v>
      </c>
    </row>
    <row r="29" spans="1:17" ht="30" customHeight="1" x14ac:dyDescent="0.25">
      <c r="A29" s="626"/>
      <c r="B29" s="627"/>
      <c r="C29" s="627"/>
      <c r="D29" s="627"/>
      <c r="E29" s="628"/>
      <c r="F29" s="627"/>
      <c r="G29" s="627"/>
      <c r="H29" s="627"/>
      <c r="I29" s="627"/>
      <c r="J29" s="625"/>
      <c r="K29" s="611"/>
      <c r="L29" s="611"/>
      <c r="M29" s="238">
        <v>16</v>
      </c>
      <c r="N29" s="238" t="s">
        <v>9</v>
      </c>
      <c r="O29" s="238">
        <v>64</v>
      </c>
      <c r="P29" s="627"/>
      <c r="Q29" s="627"/>
    </row>
    <row r="30" spans="1:17" ht="30" customHeight="1" x14ac:dyDescent="0.25">
      <c r="A30" s="626"/>
      <c r="B30" s="627"/>
      <c r="C30" s="627"/>
      <c r="D30" s="627"/>
      <c r="E30" s="628"/>
      <c r="F30" s="627"/>
      <c r="G30" s="627"/>
      <c r="H30" s="627"/>
      <c r="I30" s="627"/>
      <c r="J30" s="625"/>
      <c r="K30" s="246">
        <v>43394</v>
      </c>
      <c r="L30" s="246">
        <v>43152</v>
      </c>
      <c r="M30" s="238">
        <v>16</v>
      </c>
      <c r="N30" s="238" t="s">
        <v>254</v>
      </c>
      <c r="O30" s="238">
        <v>64</v>
      </c>
      <c r="P30" s="627"/>
      <c r="Q30" s="627"/>
    </row>
    <row r="31" spans="1:17" ht="30" customHeight="1" x14ac:dyDescent="0.25">
      <c r="A31" s="606">
        <v>18</v>
      </c>
      <c r="B31" s="605" t="s">
        <v>469</v>
      </c>
      <c r="C31" s="605" t="s">
        <v>470</v>
      </c>
      <c r="D31" s="605" t="s">
        <v>415</v>
      </c>
      <c r="E31" s="607">
        <v>34968598</v>
      </c>
      <c r="F31" s="605" t="s">
        <v>416</v>
      </c>
      <c r="G31" s="605"/>
      <c r="H31" s="605" t="s">
        <v>471</v>
      </c>
      <c r="I31" s="605">
        <v>3103569557</v>
      </c>
      <c r="J31" s="608">
        <v>43407</v>
      </c>
      <c r="K31" s="608">
        <v>43410</v>
      </c>
      <c r="L31" s="608">
        <v>43439</v>
      </c>
      <c r="M31" s="253">
        <v>20</v>
      </c>
      <c r="N31" s="253" t="s">
        <v>4</v>
      </c>
      <c r="O31" s="253">
        <v>20</v>
      </c>
      <c r="P31" s="253"/>
      <c r="Q31" s="253"/>
    </row>
    <row r="32" spans="1:17" ht="30" customHeight="1" x14ac:dyDescent="0.25">
      <c r="A32" s="606"/>
      <c r="B32" s="605"/>
      <c r="C32" s="605"/>
      <c r="D32" s="605"/>
      <c r="E32" s="607"/>
      <c r="F32" s="605"/>
      <c r="G32" s="605"/>
      <c r="H32" s="605"/>
      <c r="I32" s="605"/>
      <c r="J32" s="608"/>
      <c r="K32" s="608"/>
      <c r="L32" s="608"/>
      <c r="M32" s="253">
        <v>20</v>
      </c>
      <c r="N32" s="253" t="s">
        <v>9</v>
      </c>
      <c r="O32" s="253">
        <v>20</v>
      </c>
      <c r="P32" s="253"/>
      <c r="Q32" s="253"/>
    </row>
    <row r="33" spans="1:17" ht="30" customHeight="1" x14ac:dyDescent="0.25">
      <c r="A33" s="606">
        <v>18</v>
      </c>
      <c r="B33" s="605" t="s">
        <v>472</v>
      </c>
      <c r="C33" s="605" t="s">
        <v>473</v>
      </c>
      <c r="D33" s="605" t="s">
        <v>415</v>
      </c>
      <c r="E33" s="607">
        <v>34963062</v>
      </c>
      <c r="F33" s="605" t="s">
        <v>418</v>
      </c>
      <c r="G33" s="605"/>
      <c r="H33" s="605" t="s">
        <v>474</v>
      </c>
      <c r="I33" s="605" t="s">
        <v>475</v>
      </c>
      <c r="J33" s="608">
        <v>43334</v>
      </c>
      <c r="K33" s="608">
        <v>43335</v>
      </c>
      <c r="L33" s="608">
        <v>43426</v>
      </c>
      <c r="M33" s="253">
        <v>20</v>
      </c>
      <c r="N33" s="253" t="s">
        <v>4</v>
      </c>
      <c r="O33" s="253">
        <v>60</v>
      </c>
      <c r="P33" s="605" t="s">
        <v>476</v>
      </c>
      <c r="Q33" s="253"/>
    </row>
    <row r="34" spans="1:17" ht="30" customHeight="1" x14ac:dyDescent="0.25">
      <c r="A34" s="606"/>
      <c r="B34" s="605"/>
      <c r="C34" s="605"/>
      <c r="D34" s="605"/>
      <c r="E34" s="607"/>
      <c r="F34" s="605"/>
      <c r="G34" s="605"/>
      <c r="H34" s="605"/>
      <c r="I34" s="605"/>
      <c r="J34" s="608"/>
      <c r="K34" s="608"/>
      <c r="L34" s="608"/>
      <c r="M34" s="253">
        <v>20</v>
      </c>
      <c r="N34" s="253" t="s">
        <v>9</v>
      </c>
      <c r="O34" s="253">
        <v>60</v>
      </c>
      <c r="P34" s="605"/>
      <c r="Q34" s="253"/>
    </row>
    <row r="35" spans="1:17" ht="22.5" customHeight="1" x14ac:dyDescent="0.25">
      <c r="A35" s="606">
        <v>19</v>
      </c>
      <c r="B35" s="605" t="s">
        <v>477</v>
      </c>
      <c r="C35" s="605" t="s">
        <v>478</v>
      </c>
      <c r="D35" s="605" t="s">
        <v>415</v>
      </c>
      <c r="E35" s="607">
        <v>23097219</v>
      </c>
      <c r="F35" s="605" t="s">
        <v>418</v>
      </c>
      <c r="G35" s="605" t="s">
        <v>720</v>
      </c>
      <c r="H35" s="605" t="s">
        <v>479</v>
      </c>
      <c r="I35" s="605">
        <v>3007984914</v>
      </c>
      <c r="J35" s="608">
        <v>43339</v>
      </c>
      <c r="K35" s="608">
        <v>43344</v>
      </c>
      <c r="L35" s="608">
        <v>43464</v>
      </c>
      <c r="M35" s="253">
        <v>20</v>
      </c>
      <c r="N35" s="253" t="s">
        <v>4</v>
      </c>
      <c r="O35" s="253">
        <v>80</v>
      </c>
      <c r="P35" s="605" t="s">
        <v>480</v>
      </c>
      <c r="Q35" s="253"/>
    </row>
    <row r="36" spans="1:17" ht="21.75" customHeight="1" x14ac:dyDescent="0.25">
      <c r="A36" s="606"/>
      <c r="B36" s="605"/>
      <c r="C36" s="605"/>
      <c r="D36" s="605"/>
      <c r="E36" s="607"/>
      <c r="F36" s="605"/>
      <c r="G36" s="605"/>
      <c r="H36" s="605"/>
      <c r="I36" s="605"/>
      <c r="J36" s="608"/>
      <c r="K36" s="608"/>
      <c r="L36" s="608"/>
      <c r="M36" s="253">
        <v>8</v>
      </c>
      <c r="N36" s="253" t="s">
        <v>9</v>
      </c>
      <c r="O36" s="253">
        <v>32</v>
      </c>
      <c r="P36" s="605"/>
      <c r="Q36" s="253"/>
    </row>
    <row r="37" spans="1:17" ht="22.5" customHeight="1" x14ac:dyDescent="0.25">
      <c r="A37" s="606"/>
      <c r="B37" s="605"/>
      <c r="C37" s="605"/>
      <c r="D37" s="605"/>
      <c r="E37" s="607"/>
      <c r="F37" s="605"/>
      <c r="G37" s="605"/>
      <c r="H37" s="605"/>
      <c r="I37" s="605"/>
      <c r="J37" s="608"/>
      <c r="K37" s="608"/>
      <c r="L37" s="608"/>
      <c r="M37" s="253">
        <v>10</v>
      </c>
      <c r="N37" s="253" t="s">
        <v>254</v>
      </c>
      <c r="O37" s="253">
        <v>40</v>
      </c>
      <c r="P37" s="605"/>
      <c r="Q37" s="253"/>
    </row>
    <row r="38" spans="1:17" ht="30" customHeight="1" x14ac:dyDescent="0.25">
      <c r="A38" s="606">
        <v>20</v>
      </c>
      <c r="B38" s="605" t="s">
        <v>481</v>
      </c>
      <c r="C38" s="605" t="s">
        <v>482</v>
      </c>
      <c r="D38" s="605" t="s">
        <v>449</v>
      </c>
      <c r="E38" s="607">
        <v>1062437319</v>
      </c>
      <c r="F38" s="605" t="s">
        <v>486</v>
      </c>
      <c r="G38" s="605" t="s">
        <v>725</v>
      </c>
      <c r="H38" s="605" t="s">
        <v>483</v>
      </c>
      <c r="I38" s="605" t="s">
        <v>484</v>
      </c>
      <c r="J38" s="608">
        <v>43342</v>
      </c>
      <c r="K38" s="608">
        <v>43343</v>
      </c>
      <c r="L38" s="608">
        <v>43434</v>
      </c>
      <c r="M38" s="253">
        <v>12</v>
      </c>
      <c r="N38" s="253" t="s">
        <v>9</v>
      </c>
      <c r="O38" s="253">
        <v>36</v>
      </c>
      <c r="P38" s="253" t="s">
        <v>485</v>
      </c>
      <c r="Q38" s="253"/>
    </row>
    <row r="39" spans="1:17" ht="30" customHeight="1" x14ac:dyDescent="0.25">
      <c r="A39" s="606"/>
      <c r="B39" s="605"/>
      <c r="C39" s="605"/>
      <c r="D39" s="605"/>
      <c r="E39" s="607"/>
      <c r="F39" s="605"/>
      <c r="G39" s="605"/>
      <c r="H39" s="605"/>
      <c r="I39" s="605"/>
      <c r="J39" s="608"/>
      <c r="K39" s="608"/>
      <c r="L39" s="608"/>
      <c r="M39" s="253">
        <v>20</v>
      </c>
      <c r="N39" s="253" t="s">
        <v>4</v>
      </c>
      <c r="O39" s="253">
        <v>60</v>
      </c>
      <c r="P39" s="253" t="s">
        <v>438</v>
      </c>
      <c r="Q39" s="253"/>
    </row>
    <row r="40" spans="1:17" ht="30" customHeight="1" x14ac:dyDescent="0.25">
      <c r="A40" s="606"/>
      <c r="B40" s="605"/>
      <c r="C40" s="605"/>
      <c r="D40" s="605"/>
      <c r="E40" s="607"/>
      <c r="F40" s="605"/>
      <c r="G40" s="605"/>
      <c r="H40" s="605"/>
      <c r="I40" s="605"/>
      <c r="J40" s="608"/>
      <c r="K40" s="608"/>
      <c r="L40" s="608"/>
      <c r="M40" s="253">
        <v>12</v>
      </c>
      <c r="N40" s="253" t="s">
        <v>254</v>
      </c>
      <c r="O40" s="253">
        <v>36</v>
      </c>
      <c r="P40" s="253" t="s">
        <v>485</v>
      </c>
      <c r="Q40" s="253"/>
    </row>
    <row r="41" spans="1:17" ht="30" customHeight="1" x14ac:dyDescent="0.25">
      <c r="A41" s="606">
        <v>21</v>
      </c>
      <c r="B41" s="605" t="s">
        <v>663</v>
      </c>
      <c r="C41" s="605" t="s">
        <v>664</v>
      </c>
      <c r="D41" s="605" t="s">
        <v>415</v>
      </c>
      <c r="E41" s="607">
        <v>41316304</v>
      </c>
      <c r="F41" s="605" t="s">
        <v>440</v>
      </c>
      <c r="G41" s="605" t="s">
        <v>730</v>
      </c>
      <c r="H41" s="605" t="s">
        <v>665</v>
      </c>
      <c r="I41" s="605">
        <v>3145354841</v>
      </c>
      <c r="J41" s="608">
        <v>43346</v>
      </c>
      <c r="K41" s="608">
        <v>43347</v>
      </c>
      <c r="L41" s="608">
        <v>43434</v>
      </c>
      <c r="M41" s="253">
        <v>30</v>
      </c>
      <c r="N41" s="253" t="s">
        <v>4</v>
      </c>
      <c r="O41" s="253">
        <v>90</v>
      </c>
      <c r="P41" s="605" t="s">
        <v>666</v>
      </c>
      <c r="Q41" s="253"/>
    </row>
    <row r="42" spans="1:17" ht="30" customHeight="1" x14ac:dyDescent="0.25">
      <c r="A42" s="606"/>
      <c r="B42" s="605"/>
      <c r="C42" s="605"/>
      <c r="D42" s="605"/>
      <c r="E42" s="607"/>
      <c r="F42" s="605"/>
      <c r="G42" s="605"/>
      <c r="H42" s="605"/>
      <c r="I42" s="605"/>
      <c r="J42" s="608"/>
      <c r="K42" s="608"/>
      <c r="L42" s="608"/>
      <c r="M42" s="253">
        <v>30</v>
      </c>
      <c r="N42" s="253" t="s">
        <v>254</v>
      </c>
      <c r="O42" s="253">
        <v>90</v>
      </c>
      <c r="P42" s="605"/>
      <c r="Q42" s="253"/>
    </row>
    <row r="43" spans="1:17" ht="30" customHeight="1" x14ac:dyDescent="0.25">
      <c r="A43" s="606"/>
      <c r="B43" s="605"/>
      <c r="C43" s="605"/>
      <c r="D43" s="605"/>
      <c r="E43" s="607"/>
      <c r="F43" s="605"/>
      <c r="G43" s="605"/>
      <c r="H43" s="605"/>
      <c r="I43" s="605"/>
      <c r="J43" s="608"/>
      <c r="K43" s="608"/>
      <c r="L43" s="608"/>
      <c r="M43" s="253">
        <v>30</v>
      </c>
      <c r="N43" s="253" t="s">
        <v>9</v>
      </c>
      <c r="O43" s="253">
        <v>90</v>
      </c>
      <c r="P43" s="605"/>
      <c r="Q43" s="253"/>
    </row>
    <row r="44" spans="1:17" ht="30" customHeight="1" x14ac:dyDescent="0.25">
      <c r="A44" s="606">
        <v>22</v>
      </c>
      <c r="B44" s="605" t="s">
        <v>676</v>
      </c>
      <c r="C44" s="605" t="s">
        <v>677</v>
      </c>
      <c r="D44" s="605" t="s">
        <v>415</v>
      </c>
      <c r="E44" s="607">
        <v>3546107</v>
      </c>
      <c r="F44" s="605" t="s">
        <v>440</v>
      </c>
      <c r="G44" s="605" t="s">
        <v>720</v>
      </c>
      <c r="H44" s="605" t="s">
        <v>678</v>
      </c>
      <c r="I44" s="605">
        <v>3135600852</v>
      </c>
      <c r="J44" s="608">
        <v>43348</v>
      </c>
      <c r="K44" s="262">
        <v>43349</v>
      </c>
      <c r="L44" s="262">
        <v>43409</v>
      </c>
      <c r="M44" s="253">
        <v>20</v>
      </c>
      <c r="N44" s="253" t="s">
        <v>4</v>
      </c>
      <c r="O44" s="253">
        <v>40</v>
      </c>
      <c r="P44" s="605" t="s">
        <v>679</v>
      </c>
      <c r="Q44" s="253"/>
    </row>
    <row r="45" spans="1:17" ht="30" customHeight="1" x14ac:dyDescent="0.25">
      <c r="A45" s="606"/>
      <c r="B45" s="605"/>
      <c r="C45" s="605"/>
      <c r="D45" s="605"/>
      <c r="E45" s="607"/>
      <c r="F45" s="605"/>
      <c r="G45" s="605"/>
      <c r="H45" s="605"/>
      <c r="I45" s="605"/>
      <c r="J45" s="608"/>
      <c r="K45" s="262">
        <v>43374</v>
      </c>
      <c r="L45" s="262">
        <v>43434</v>
      </c>
      <c r="M45" s="253">
        <v>20</v>
      </c>
      <c r="N45" s="253" t="s">
        <v>9</v>
      </c>
      <c r="O45" s="253">
        <v>40</v>
      </c>
      <c r="P45" s="605"/>
      <c r="Q45" s="253" t="s">
        <v>888</v>
      </c>
    </row>
    <row r="46" spans="1:17" ht="30" customHeight="1" x14ac:dyDescent="0.25">
      <c r="A46" s="458">
        <v>23</v>
      </c>
      <c r="B46" s="254" t="s">
        <v>702</v>
      </c>
      <c r="C46" s="254" t="s">
        <v>703</v>
      </c>
      <c r="D46" s="253" t="s">
        <v>415</v>
      </c>
      <c r="E46" s="255">
        <v>1536038</v>
      </c>
      <c r="F46" s="253" t="s">
        <v>416</v>
      </c>
      <c r="G46" s="253" t="s">
        <v>704</v>
      </c>
      <c r="H46" s="253" t="s">
        <v>705</v>
      </c>
      <c r="I46" s="253">
        <v>3183853663</v>
      </c>
      <c r="J46" s="256">
        <v>43388</v>
      </c>
      <c r="K46" s="256">
        <v>43389</v>
      </c>
      <c r="L46" s="256">
        <v>43415</v>
      </c>
      <c r="M46" s="253">
        <v>12</v>
      </c>
      <c r="N46" s="253" t="s">
        <v>4</v>
      </c>
      <c r="O46" s="253">
        <v>12</v>
      </c>
      <c r="P46" s="253"/>
      <c r="Q46" s="253"/>
    </row>
    <row r="47" spans="1:17" ht="30" customHeight="1" x14ac:dyDescent="0.25">
      <c r="A47" s="626"/>
      <c r="B47" s="627" t="s">
        <v>723</v>
      </c>
      <c r="C47" s="627" t="s">
        <v>724</v>
      </c>
      <c r="D47" s="627" t="s">
        <v>449</v>
      </c>
      <c r="E47" s="628">
        <v>1068423791</v>
      </c>
      <c r="F47" s="627" t="s">
        <v>416</v>
      </c>
      <c r="G47" s="627" t="s">
        <v>725</v>
      </c>
      <c r="H47" s="627" t="s">
        <v>1079</v>
      </c>
      <c r="I47" s="627" t="s">
        <v>896</v>
      </c>
      <c r="J47" s="625">
        <v>43362</v>
      </c>
      <c r="K47" s="610">
        <v>43363</v>
      </c>
      <c r="L47" s="610">
        <v>43392</v>
      </c>
      <c r="M47" s="141">
        <v>20</v>
      </c>
      <c r="N47" s="141" t="s">
        <v>4</v>
      </c>
      <c r="O47" s="141">
        <v>20</v>
      </c>
      <c r="P47" s="595" t="s">
        <v>1121</v>
      </c>
      <c r="Q47" s="595" t="s">
        <v>897</v>
      </c>
    </row>
    <row r="48" spans="1:17" ht="30" customHeight="1" x14ac:dyDescent="0.25">
      <c r="A48" s="626"/>
      <c r="B48" s="627"/>
      <c r="C48" s="627"/>
      <c r="D48" s="627"/>
      <c r="E48" s="628"/>
      <c r="F48" s="627"/>
      <c r="G48" s="627"/>
      <c r="H48" s="627"/>
      <c r="I48" s="627"/>
      <c r="J48" s="625"/>
      <c r="K48" s="611"/>
      <c r="L48" s="611"/>
      <c r="M48" s="141">
        <v>20</v>
      </c>
      <c r="N48" s="141" t="s">
        <v>9</v>
      </c>
      <c r="O48" s="141">
        <v>20</v>
      </c>
      <c r="P48" s="596"/>
      <c r="Q48" s="633"/>
    </row>
    <row r="49" spans="1:17" ht="30" customHeight="1" x14ac:dyDescent="0.25">
      <c r="A49" s="626"/>
      <c r="B49" s="627"/>
      <c r="C49" s="627"/>
      <c r="D49" s="627"/>
      <c r="E49" s="628"/>
      <c r="F49" s="627"/>
      <c r="G49" s="627"/>
      <c r="H49" s="627"/>
      <c r="I49" s="627"/>
      <c r="J49" s="625"/>
      <c r="K49" s="246">
        <v>43405</v>
      </c>
      <c r="L49" s="246">
        <v>43434</v>
      </c>
      <c r="M49" s="141">
        <v>20</v>
      </c>
      <c r="N49" s="141" t="s">
        <v>254</v>
      </c>
      <c r="O49" s="141">
        <v>20</v>
      </c>
      <c r="P49" s="233" t="s">
        <v>1122</v>
      </c>
      <c r="Q49" s="596"/>
    </row>
    <row r="50" spans="1:17" ht="30" customHeight="1" x14ac:dyDescent="0.25">
      <c r="A50" s="606">
        <v>24</v>
      </c>
      <c r="B50" s="605" t="s">
        <v>813</v>
      </c>
      <c r="C50" s="605" t="s">
        <v>814</v>
      </c>
      <c r="D50" s="605" t="s">
        <v>415</v>
      </c>
      <c r="E50" s="607">
        <v>6573462</v>
      </c>
      <c r="F50" s="605" t="s">
        <v>416</v>
      </c>
      <c r="G50" s="605" t="s">
        <v>720</v>
      </c>
      <c r="H50" s="605" t="s">
        <v>815</v>
      </c>
      <c r="I50" s="605">
        <v>3205547766</v>
      </c>
      <c r="J50" s="608">
        <v>43402</v>
      </c>
      <c r="K50" s="608">
        <v>43403</v>
      </c>
      <c r="L50" s="608">
        <v>43433</v>
      </c>
      <c r="M50" s="253"/>
      <c r="N50" s="253" t="s">
        <v>4</v>
      </c>
      <c r="O50" s="253">
        <v>20</v>
      </c>
      <c r="P50" s="253"/>
      <c r="Q50" s="253"/>
    </row>
    <row r="51" spans="1:17" ht="30" customHeight="1" x14ac:dyDescent="0.25">
      <c r="A51" s="606"/>
      <c r="B51" s="605"/>
      <c r="C51" s="605"/>
      <c r="D51" s="605"/>
      <c r="E51" s="607"/>
      <c r="F51" s="605"/>
      <c r="G51" s="605"/>
      <c r="H51" s="605"/>
      <c r="I51" s="605"/>
      <c r="J51" s="608"/>
      <c r="K51" s="608"/>
      <c r="L51" s="608"/>
      <c r="M51" s="253"/>
      <c r="N51" s="253" t="s">
        <v>9</v>
      </c>
      <c r="O51" s="253">
        <v>20</v>
      </c>
      <c r="P51" s="253"/>
      <c r="Q51" s="253"/>
    </row>
    <row r="52" spans="1:17" ht="30" customHeight="1" x14ac:dyDescent="0.25">
      <c r="A52" s="606"/>
      <c r="B52" s="605"/>
      <c r="C52" s="605"/>
      <c r="D52" s="605"/>
      <c r="E52" s="607"/>
      <c r="F52" s="605"/>
      <c r="G52" s="605"/>
      <c r="H52" s="605"/>
      <c r="I52" s="605"/>
      <c r="J52" s="608"/>
      <c r="K52" s="608"/>
      <c r="L52" s="608"/>
      <c r="M52" s="253">
        <v>15</v>
      </c>
      <c r="N52" s="253" t="s">
        <v>254</v>
      </c>
      <c r="O52" s="253">
        <v>15</v>
      </c>
      <c r="P52" s="253"/>
      <c r="Q52" s="253" t="s">
        <v>1080</v>
      </c>
    </row>
    <row r="53" spans="1:17" ht="30" customHeight="1" x14ac:dyDescent="0.25">
      <c r="A53" s="589">
        <v>25</v>
      </c>
      <c r="B53" s="234" t="s">
        <v>829</v>
      </c>
      <c r="C53" s="234" t="s">
        <v>830</v>
      </c>
      <c r="D53" s="590" t="s">
        <v>415</v>
      </c>
      <c r="E53" s="593">
        <v>11044248</v>
      </c>
      <c r="F53" s="590" t="s">
        <v>440</v>
      </c>
      <c r="G53" s="594" t="s">
        <v>831</v>
      </c>
      <c r="H53" s="590" t="s">
        <v>832</v>
      </c>
      <c r="I53" s="590">
        <v>3126045517</v>
      </c>
      <c r="J53" s="230">
        <v>43378</v>
      </c>
      <c r="K53" s="230">
        <v>43405</v>
      </c>
      <c r="L53" s="230">
        <v>43434</v>
      </c>
      <c r="M53" s="590">
        <v>30</v>
      </c>
      <c r="N53" s="590" t="s">
        <v>4</v>
      </c>
      <c r="O53" s="590">
        <v>30</v>
      </c>
      <c r="P53" s="590"/>
      <c r="Q53" s="590"/>
    </row>
    <row r="54" spans="1:17" ht="30" customHeight="1" x14ac:dyDescent="0.25">
      <c r="A54" s="458">
        <v>26</v>
      </c>
      <c r="B54" s="254" t="s">
        <v>833</v>
      </c>
      <c r="C54" s="254" t="s">
        <v>834</v>
      </c>
      <c r="D54" s="253" t="s">
        <v>415</v>
      </c>
      <c r="E54" s="255">
        <v>25760859</v>
      </c>
      <c r="F54" s="253" t="s">
        <v>440</v>
      </c>
      <c r="G54" s="253" t="s">
        <v>713</v>
      </c>
      <c r="H54" s="253" t="s">
        <v>835</v>
      </c>
      <c r="I54" s="253" t="s">
        <v>836</v>
      </c>
      <c r="J54" s="256">
        <v>43373</v>
      </c>
      <c r="K54" s="256">
        <v>43373</v>
      </c>
      <c r="L54" s="256">
        <v>43380</v>
      </c>
      <c r="M54" s="253">
        <v>42</v>
      </c>
      <c r="N54" s="253" t="s">
        <v>6</v>
      </c>
      <c r="O54" s="253">
        <v>42</v>
      </c>
      <c r="P54" s="253" t="s">
        <v>837</v>
      </c>
      <c r="Q54" s="253"/>
    </row>
    <row r="55" spans="1:17" ht="30" customHeight="1" x14ac:dyDescent="0.25">
      <c r="A55" s="458">
        <v>27</v>
      </c>
      <c r="B55" s="254" t="s">
        <v>861</v>
      </c>
      <c r="C55" s="254" t="s">
        <v>862</v>
      </c>
      <c r="D55" s="253" t="s">
        <v>415</v>
      </c>
      <c r="E55" s="255">
        <v>1074004827</v>
      </c>
      <c r="F55" s="253" t="s">
        <v>418</v>
      </c>
      <c r="G55" s="253" t="s">
        <v>863</v>
      </c>
      <c r="H55" s="253" t="s">
        <v>864</v>
      </c>
      <c r="I55" s="253" t="s">
        <v>865</v>
      </c>
      <c r="J55" s="256">
        <v>43374</v>
      </c>
      <c r="K55" s="256">
        <v>43375</v>
      </c>
      <c r="L55" s="256">
        <v>43464</v>
      </c>
      <c r="M55" s="253">
        <v>12</v>
      </c>
      <c r="N55" s="253" t="s">
        <v>4</v>
      </c>
      <c r="O55" s="253">
        <v>36</v>
      </c>
      <c r="P55" s="253" t="s">
        <v>727</v>
      </c>
      <c r="Q55" s="253"/>
    </row>
    <row r="56" spans="1:17" ht="30" customHeight="1" x14ac:dyDescent="0.25">
      <c r="A56" s="458">
        <v>28</v>
      </c>
      <c r="B56" s="254" t="s">
        <v>870</v>
      </c>
      <c r="C56" s="254" t="s">
        <v>871</v>
      </c>
      <c r="D56" s="253" t="s">
        <v>415</v>
      </c>
      <c r="E56" s="255">
        <v>1233345041</v>
      </c>
      <c r="F56" s="253" t="s">
        <v>418</v>
      </c>
      <c r="G56" s="253" t="s">
        <v>725</v>
      </c>
      <c r="H56" s="253" t="s">
        <v>872</v>
      </c>
      <c r="I56" s="253">
        <v>3205413790</v>
      </c>
      <c r="J56" s="256">
        <v>43404</v>
      </c>
      <c r="K56" s="256">
        <v>43374</v>
      </c>
      <c r="L56" s="256">
        <v>43434</v>
      </c>
      <c r="M56" s="253">
        <v>20</v>
      </c>
      <c r="N56" s="253" t="s">
        <v>4</v>
      </c>
      <c r="O56" s="253">
        <v>20</v>
      </c>
      <c r="P56" s="253"/>
      <c r="Q56" s="253"/>
    </row>
    <row r="57" spans="1:17" ht="30" customHeight="1" x14ac:dyDescent="0.25">
      <c r="A57" s="458">
        <v>29</v>
      </c>
      <c r="B57" s="254" t="s">
        <v>878</v>
      </c>
      <c r="C57" s="254" t="s">
        <v>879</v>
      </c>
      <c r="D57" s="253" t="s">
        <v>415</v>
      </c>
      <c r="E57" s="255">
        <v>6869481</v>
      </c>
      <c r="F57" s="253" t="s">
        <v>455</v>
      </c>
      <c r="G57" s="253" t="s">
        <v>880</v>
      </c>
      <c r="H57" s="253" t="s">
        <v>881</v>
      </c>
      <c r="I57" s="253" t="s">
        <v>882</v>
      </c>
      <c r="J57" s="256">
        <v>43378</v>
      </c>
      <c r="K57" s="256">
        <v>43381</v>
      </c>
      <c r="L57" s="256">
        <v>43472</v>
      </c>
      <c r="M57" s="253">
        <v>30</v>
      </c>
      <c r="N57" s="253" t="s">
        <v>4</v>
      </c>
      <c r="O57" s="253">
        <v>90</v>
      </c>
      <c r="P57" s="253" t="s">
        <v>883</v>
      </c>
      <c r="Q57" s="253"/>
    </row>
    <row r="58" spans="1:17" ht="30" customHeight="1" x14ac:dyDescent="0.25">
      <c r="A58" s="601">
        <v>30</v>
      </c>
      <c r="B58" s="599" t="s">
        <v>899</v>
      </c>
      <c r="C58" s="599" t="s">
        <v>900</v>
      </c>
      <c r="D58" s="599" t="s">
        <v>415</v>
      </c>
      <c r="E58" s="603">
        <v>34961044</v>
      </c>
      <c r="F58" s="599" t="s">
        <v>418</v>
      </c>
      <c r="G58" s="599" t="s">
        <v>720</v>
      </c>
      <c r="H58" s="599" t="s">
        <v>901</v>
      </c>
      <c r="I58" s="599" t="s">
        <v>902</v>
      </c>
      <c r="J58" s="597">
        <v>43382</v>
      </c>
      <c r="K58" s="597">
        <v>43383</v>
      </c>
      <c r="L58" s="597">
        <v>43505</v>
      </c>
      <c r="M58" s="253">
        <v>16</v>
      </c>
      <c r="N58" s="253" t="s">
        <v>4</v>
      </c>
      <c r="O58" s="253">
        <v>64</v>
      </c>
      <c r="P58" s="599" t="s">
        <v>905</v>
      </c>
      <c r="Q58" s="253"/>
    </row>
    <row r="59" spans="1:17" ht="30" customHeight="1" x14ac:dyDescent="0.25">
      <c r="A59" s="602"/>
      <c r="B59" s="600"/>
      <c r="C59" s="600"/>
      <c r="D59" s="600"/>
      <c r="E59" s="604"/>
      <c r="F59" s="600"/>
      <c r="G59" s="600"/>
      <c r="H59" s="600"/>
      <c r="I59" s="600"/>
      <c r="J59" s="598"/>
      <c r="K59" s="598"/>
      <c r="L59" s="598"/>
      <c r="M59" s="253">
        <v>16</v>
      </c>
      <c r="N59" s="253" t="s">
        <v>254</v>
      </c>
      <c r="O59" s="253">
        <v>64</v>
      </c>
      <c r="P59" s="600"/>
      <c r="Q59" s="253"/>
    </row>
    <row r="60" spans="1:17" ht="41.25" customHeight="1" x14ac:dyDescent="0.25">
      <c r="A60" s="458">
        <v>31</v>
      </c>
      <c r="B60" s="254" t="s">
        <v>1287</v>
      </c>
      <c r="C60" s="254" t="s">
        <v>1301</v>
      </c>
      <c r="D60" s="253" t="s">
        <v>415</v>
      </c>
      <c r="E60" s="255">
        <v>21787003</v>
      </c>
      <c r="F60" s="253" t="s">
        <v>440</v>
      </c>
      <c r="G60" s="253" t="s">
        <v>1302</v>
      </c>
      <c r="H60" s="253" t="s">
        <v>1288</v>
      </c>
      <c r="I60" s="253">
        <v>3004004931</v>
      </c>
      <c r="J60" s="256">
        <v>43430</v>
      </c>
      <c r="K60" s="256">
        <v>43431</v>
      </c>
      <c r="L60" s="256">
        <v>43522</v>
      </c>
      <c r="M60" s="253">
        <v>12</v>
      </c>
      <c r="N60" s="253" t="s">
        <v>4</v>
      </c>
      <c r="O60" s="253">
        <v>40</v>
      </c>
      <c r="P60" s="494" t="s">
        <v>1303</v>
      </c>
      <c r="Q60" s="492"/>
    </row>
    <row r="61" spans="1:17" ht="30" customHeight="1" x14ac:dyDescent="0.25">
      <c r="A61" s="601">
        <v>32</v>
      </c>
      <c r="B61" s="599" t="s">
        <v>924</v>
      </c>
      <c r="C61" s="599" t="s">
        <v>925</v>
      </c>
      <c r="D61" s="599" t="s">
        <v>415</v>
      </c>
      <c r="E61" s="603">
        <v>78712549</v>
      </c>
      <c r="F61" s="599" t="s">
        <v>416</v>
      </c>
      <c r="G61" s="599" t="s">
        <v>755</v>
      </c>
      <c r="H61" s="599" t="s">
        <v>926</v>
      </c>
      <c r="I61" s="599">
        <v>7914558</v>
      </c>
      <c r="J61" s="597">
        <v>43385</v>
      </c>
      <c r="K61" s="597">
        <v>43389</v>
      </c>
      <c r="L61" s="597">
        <v>43419</v>
      </c>
      <c r="M61" s="253">
        <v>20</v>
      </c>
      <c r="N61" s="253" t="s">
        <v>254</v>
      </c>
      <c r="O61" s="253">
        <v>120</v>
      </c>
      <c r="P61" s="253" t="s">
        <v>923</v>
      </c>
      <c r="Q61" s="264"/>
    </row>
    <row r="62" spans="1:17" ht="30" customHeight="1" x14ac:dyDescent="0.25">
      <c r="A62" s="612"/>
      <c r="B62" s="609"/>
      <c r="C62" s="609"/>
      <c r="D62" s="609"/>
      <c r="E62" s="613"/>
      <c r="F62" s="609"/>
      <c r="G62" s="609"/>
      <c r="H62" s="609"/>
      <c r="I62" s="609"/>
      <c r="J62" s="614"/>
      <c r="K62" s="614"/>
      <c r="L62" s="614"/>
      <c r="M62" s="253">
        <v>20</v>
      </c>
      <c r="N62" s="253" t="s">
        <v>4</v>
      </c>
      <c r="O62" s="253">
        <v>120</v>
      </c>
      <c r="P62" s="253" t="s">
        <v>927</v>
      </c>
      <c r="Q62" s="253"/>
    </row>
    <row r="63" spans="1:17" ht="30" customHeight="1" x14ac:dyDescent="0.25">
      <c r="A63" s="602"/>
      <c r="B63" s="600"/>
      <c r="C63" s="600"/>
      <c r="D63" s="600"/>
      <c r="E63" s="604"/>
      <c r="F63" s="600"/>
      <c r="G63" s="600"/>
      <c r="H63" s="600"/>
      <c r="I63" s="600"/>
      <c r="J63" s="598"/>
      <c r="K63" s="598"/>
      <c r="L63" s="598"/>
      <c r="M63" s="253">
        <v>20</v>
      </c>
      <c r="N63" s="253" t="s">
        <v>9</v>
      </c>
      <c r="O63" s="253">
        <v>120</v>
      </c>
      <c r="P63" s="253"/>
      <c r="Q63" s="253"/>
    </row>
    <row r="64" spans="1:17" ht="30" customHeight="1" x14ac:dyDescent="0.25">
      <c r="A64" s="458">
        <v>33</v>
      </c>
      <c r="B64" s="254" t="s">
        <v>938</v>
      </c>
      <c r="C64" s="254" t="s">
        <v>939</v>
      </c>
      <c r="D64" s="253" t="s">
        <v>415</v>
      </c>
      <c r="E64" s="255">
        <v>78753699</v>
      </c>
      <c r="F64" s="253" t="s">
        <v>416</v>
      </c>
      <c r="G64" s="253" t="s">
        <v>940</v>
      </c>
      <c r="H64" s="253" t="s">
        <v>941</v>
      </c>
      <c r="I64" s="253">
        <v>3205581880</v>
      </c>
      <c r="J64" s="256">
        <v>43417</v>
      </c>
      <c r="K64" s="256">
        <v>43423</v>
      </c>
      <c r="L64" s="256">
        <v>43452</v>
      </c>
      <c r="M64" s="253">
        <v>12</v>
      </c>
      <c r="N64" s="253" t="s">
        <v>4</v>
      </c>
      <c r="O64" s="253">
        <v>12</v>
      </c>
      <c r="P64" s="263" t="s">
        <v>1168</v>
      </c>
      <c r="Q64" s="253"/>
    </row>
    <row r="65" spans="1:17" ht="30" customHeight="1" x14ac:dyDescent="0.25">
      <c r="A65" s="458">
        <v>34</v>
      </c>
      <c r="B65" s="254" t="s">
        <v>702</v>
      </c>
      <c r="C65" s="254" t="s">
        <v>703</v>
      </c>
      <c r="D65" s="253" t="s">
        <v>415</v>
      </c>
      <c r="E65" s="255">
        <v>1536038</v>
      </c>
      <c r="F65" s="253" t="s">
        <v>416</v>
      </c>
      <c r="G65" s="253" t="s">
        <v>704</v>
      </c>
      <c r="H65" s="253" t="s">
        <v>705</v>
      </c>
      <c r="I65" s="253">
        <v>3183853663</v>
      </c>
      <c r="J65" s="256">
        <v>43386</v>
      </c>
      <c r="K65" s="256">
        <v>43389</v>
      </c>
      <c r="L65" s="256">
        <v>43419</v>
      </c>
      <c r="M65" s="253">
        <v>12</v>
      </c>
      <c r="N65" s="253" t="s">
        <v>4</v>
      </c>
      <c r="O65" s="253">
        <v>12</v>
      </c>
      <c r="P65" s="253"/>
      <c r="Q65" s="253"/>
    </row>
    <row r="66" spans="1:17" ht="30" customHeight="1" x14ac:dyDescent="0.25">
      <c r="A66" s="458">
        <v>35</v>
      </c>
      <c r="B66" s="254" t="s">
        <v>960</v>
      </c>
      <c r="C66" s="254" t="s">
        <v>961</v>
      </c>
      <c r="D66" s="253" t="s">
        <v>415</v>
      </c>
      <c r="E66" s="255">
        <v>6871555</v>
      </c>
      <c r="F66" s="253" t="s">
        <v>418</v>
      </c>
      <c r="G66" s="253" t="s">
        <v>962</v>
      </c>
      <c r="H66" s="253" t="s">
        <v>963</v>
      </c>
      <c r="I66" s="253" t="s">
        <v>964</v>
      </c>
      <c r="J66" s="256">
        <v>43389</v>
      </c>
      <c r="K66" s="256">
        <v>43389</v>
      </c>
      <c r="L66" s="256">
        <v>43419</v>
      </c>
      <c r="M66" s="253">
        <v>5</v>
      </c>
      <c r="N66" s="253" t="s">
        <v>6</v>
      </c>
      <c r="O66" s="253">
        <v>5</v>
      </c>
      <c r="P66" s="253" t="s">
        <v>965</v>
      </c>
      <c r="Q66" s="253"/>
    </row>
    <row r="67" spans="1:17" ht="30" customHeight="1" x14ac:dyDescent="0.25">
      <c r="A67" s="458">
        <v>36</v>
      </c>
      <c r="B67" s="254" t="s">
        <v>1000</v>
      </c>
      <c r="C67" s="254" t="s">
        <v>1001</v>
      </c>
      <c r="D67" s="253" t="s">
        <v>415</v>
      </c>
      <c r="E67" s="255">
        <v>52332593</v>
      </c>
      <c r="F67" s="253" t="s">
        <v>418</v>
      </c>
      <c r="G67" s="253" t="s">
        <v>1002</v>
      </c>
      <c r="H67" s="253" t="s">
        <v>1003</v>
      </c>
      <c r="I67" s="265" t="s">
        <v>1004</v>
      </c>
      <c r="J67" s="256">
        <v>43391</v>
      </c>
      <c r="K67" s="256">
        <v>43392</v>
      </c>
      <c r="L67" s="256">
        <v>43422</v>
      </c>
      <c r="M67" s="253">
        <v>60</v>
      </c>
      <c r="N67" s="253" t="s">
        <v>4</v>
      </c>
      <c r="O67" s="253">
        <v>60</v>
      </c>
      <c r="P67" s="253" t="s">
        <v>1005</v>
      </c>
      <c r="Q67" s="253" t="s">
        <v>1023</v>
      </c>
    </row>
    <row r="68" spans="1:17" ht="30" customHeight="1" x14ac:dyDescent="0.25">
      <c r="A68" s="458">
        <v>37</v>
      </c>
      <c r="B68" s="254" t="s">
        <v>1024</v>
      </c>
      <c r="C68" s="254" t="s">
        <v>1025</v>
      </c>
      <c r="D68" s="253" t="s">
        <v>415</v>
      </c>
      <c r="E68" s="255">
        <v>25841223</v>
      </c>
      <c r="F68" s="253" t="s">
        <v>418</v>
      </c>
      <c r="G68" s="253" t="s">
        <v>1028</v>
      </c>
      <c r="H68" s="253" t="s">
        <v>1026</v>
      </c>
      <c r="I68" s="253" t="s">
        <v>1027</v>
      </c>
      <c r="J68" s="256">
        <v>43395</v>
      </c>
      <c r="K68" s="256">
        <v>43396</v>
      </c>
      <c r="L68" s="256">
        <v>43426</v>
      </c>
      <c r="M68" s="253">
        <v>20</v>
      </c>
      <c r="N68" s="253" t="s">
        <v>4</v>
      </c>
      <c r="O68" s="253">
        <v>20</v>
      </c>
      <c r="P68" s="253"/>
      <c r="Q68" s="253"/>
    </row>
    <row r="69" spans="1:17" ht="30" customHeight="1" x14ac:dyDescent="0.25">
      <c r="A69" s="458">
        <v>38</v>
      </c>
      <c r="B69" s="254" t="s">
        <v>1044</v>
      </c>
      <c r="C69" s="254" t="s">
        <v>1045</v>
      </c>
      <c r="D69" s="253" t="s">
        <v>415</v>
      </c>
      <c r="E69" s="255">
        <v>35000129</v>
      </c>
      <c r="F69" s="253" t="s">
        <v>416</v>
      </c>
      <c r="G69" s="253" t="s">
        <v>1046</v>
      </c>
      <c r="H69" s="253" t="s">
        <v>1047</v>
      </c>
      <c r="I69" s="253" t="s">
        <v>1048</v>
      </c>
      <c r="J69" s="256">
        <v>43395</v>
      </c>
      <c r="K69" s="256">
        <v>43396</v>
      </c>
      <c r="L69" s="256">
        <v>43434</v>
      </c>
      <c r="M69" s="253">
        <v>30</v>
      </c>
      <c r="N69" s="253" t="s">
        <v>4</v>
      </c>
      <c r="O69" s="253">
        <v>30</v>
      </c>
      <c r="P69" s="253"/>
      <c r="Q69" s="253"/>
    </row>
    <row r="70" spans="1:17" ht="30" customHeight="1" x14ac:dyDescent="0.25">
      <c r="A70" s="601">
        <v>39</v>
      </c>
      <c r="B70" s="624" t="s">
        <v>1049</v>
      </c>
      <c r="C70" s="624" t="s">
        <v>1050</v>
      </c>
      <c r="D70" s="605" t="s">
        <v>415</v>
      </c>
      <c r="E70" s="607">
        <v>50896806</v>
      </c>
      <c r="F70" s="605" t="s">
        <v>418</v>
      </c>
      <c r="G70" s="599"/>
      <c r="H70" s="605" t="s">
        <v>1051</v>
      </c>
      <c r="I70" s="605" t="s">
        <v>1052</v>
      </c>
      <c r="J70" s="608">
        <v>43396</v>
      </c>
      <c r="K70" s="608">
        <v>43397</v>
      </c>
      <c r="L70" s="608">
        <v>43427</v>
      </c>
      <c r="M70" s="253">
        <v>30</v>
      </c>
      <c r="N70" s="253" t="s">
        <v>4</v>
      </c>
      <c r="O70" s="253">
        <v>30</v>
      </c>
      <c r="P70" s="253"/>
      <c r="Q70" s="253"/>
    </row>
    <row r="71" spans="1:17" ht="30" customHeight="1" x14ac:dyDescent="0.25">
      <c r="A71" s="602"/>
      <c r="B71" s="624"/>
      <c r="C71" s="624"/>
      <c r="D71" s="605"/>
      <c r="E71" s="607"/>
      <c r="F71" s="605"/>
      <c r="G71" s="600"/>
      <c r="H71" s="605"/>
      <c r="I71" s="605"/>
      <c r="J71" s="608"/>
      <c r="K71" s="608"/>
      <c r="L71" s="608"/>
      <c r="M71" s="253">
        <v>20</v>
      </c>
      <c r="N71" s="253" t="s">
        <v>9</v>
      </c>
      <c r="O71" s="253">
        <v>20</v>
      </c>
      <c r="P71" s="253"/>
      <c r="Q71" s="253"/>
    </row>
    <row r="72" spans="1:17" ht="30" customHeight="1" x14ac:dyDescent="0.25">
      <c r="A72" s="458">
        <v>40</v>
      </c>
      <c r="B72" s="254" t="s">
        <v>1054</v>
      </c>
      <c r="C72" s="254" t="s">
        <v>1055</v>
      </c>
      <c r="D72" s="253" t="s">
        <v>415</v>
      </c>
      <c r="E72" s="255">
        <v>34988585</v>
      </c>
      <c r="F72" s="253" t="s">
        <v>418</v>
      </c>
      <c r="G72" s="253" t="s">
        <v>1056</v>
      </c>
      <c r="H72" s="253" t="s">
        <v>1057</v>
      </c>
      <c r="I72" s="253" t="s">
        <v>1058</v>
      </c>
      <c r="J72" s="256">
        <v>43397</v>
      </c>
      <c r="K72" s="256">
        <v>43402</v>
      </c>
      <c r="L72" s="256">
        <v>43432</v>
      </c>
      <c r="M72" s="253">
        <v>30</v>
      </c>
      <c r="N72" s="253" t="s">
        <v>317</v>
      </c>
      <c r="O72" s="253">
        <v>30</v>
      </c>
      <c r="P72" s="253"/>
      <c r="Q72" s="253"/>
    </row>
    <row r="73" spans="1:17" ht="30" customHeight="1" x14ac:dyDescent="0.25">
      <c r="A73" s="458">
        <v>41</v>
      </c>
      <c r="B73" s="254" t="s">
        <v>1062</v>
      </c>
      <c r="C73" s="254" t="s">
        <v>1063</v>
      </c>
      <c r="D73" s="253" t="s">
        <v>415</v>
      </c>
      <c r="E73" s="255">
        <v>25837239</v>
      </c>
      <c r="F73" s="253" t="s">
        <v>418</v>
      </c>
      <c r="G73" s="253" t="s">
        <v>1064</v>
      </c>
      <c r="H73" s="253" t="s">
        <v>1065</v>
      </c>
      <c r="I73" s="253" t="s">
        <v>1066</v>
      </c>
      <c r="J73" s="256">
        <v>43399</v>
      </c>
      <c r="K73" s="256">
        <v>43402</v>
      </c>
      <c r="L73" s="256">
        <v>43432</v>
      </c>
      <c r="M73" s="253">
        <v>15</v>
      </c>
      <c r="N73" s="253" t="s">
        <v>4</v>
      </c>
      <c r="O73" s="253">
        <v>15</v>
      </c>
      <c r="P73" s="253"/>
      <c r="Q73" s="253"/>
    </row>
    <row r="74" spans="1:17" ht="30" customHeight="1" x14ac:dyDescent="0.25">
      <c r="A74" s="601">
        <v>42</v>
      </c>
      <c r="B74" s="599" t="s">
        <v>1067</v>
      </c>
      <c r="C74" s="599" t="s">
        <v>1068</v>
      </c>
      <c r="D74" s="599" t="s">
        <v>415</v>
      </c>
      <c r="E74" s="603">
        <v>78297501</v>
      </c>
      <c r="F74" s="599" t="s">
        <v>440</v>
      </c>
      <c r="G74" s="599" t="s">
        <v>764</v>
      </c>
      <c r="H74" s="599" t="s">
        <v>1069</v>
      </c>
      <c r="I74" s="599">
        <v>3007641513</v>
      </c>
      <c r="J74" s="597">
        <v>43400</v>
      </c>
      <c r="K74" s="597">
        <v>43400</v>
      </c>
      <c r="L74" s="597">
        <v>43430</v>
      </c>
      <c r="M74" s="253">
        <v>60</v>
      </c>
      <c r="N74" s="253" t="s">
        <v>4</v>
      </c>
      <c r="O74" s="253">
        <v>60</v>
      </c>
      <c r="P74" s="253"/>
      <c r="Q74" s="253"/>
    </row>
    <row r="75" spans="1:17" ht="30" customHeight="1" x14ac:dyDescent="0.25">
      <c r="A75" s="612"/>
      <c r="B75" s="609"/>
      <c r="C75" s="609"/>
      <c r="D75" s="609"/>
      <c r="E75" s="613"/>
      <c r="F75" s="609"/>
      <c r="G75" s="609"/>
      <c r="H75" s="609"/>
      <c r="I75" s="609"/>
      <c r="J75" s="614"/>
      <c r="K75" s="614"/>
      <c r="L75" s="614"/>
      <c r="M75" s="253">
        <v>60</v>
      </c>
      <c r="N75" s="253" t="s">
        <v>9</v>
      </c>
      <c r="O75" s="253">
        <v>60</v>
      </c>
      <c r="P75" s="253"/>
      <c r="Q75" s="253"/>
    </row>
    <row r="76" spans="1:17" ht="30" customHeight="1" x14ac:dyDescent="0.25">
      <c r="A76" s="612"/>
      <c r="B76" s="609"/>
      <c r="C76" s="609"/>
      <c r="D76" s="609"/>
      <c r="E76" s="613"/>
      <c r="F76" s="609"/>
      <c r="G76" s="609"/>
      <c r="H76" s="609"/>
      <c r="I76" s="609"/>
      <c r="J76" s="614"/>
      <c r="K76" s="614"/>
      <c r="L76" s="614"/>
      <c r="M76" s="253">
        <v>12</v>
      </c>
      <c r="N76" s="253" t="s">
        <v>254</v>
      </c>
      <c r="O76" s="253">
        <v>12</v>
      </c>
      <c r="P76" s="253" t="s">
        <v>1365</v>
      </c>
      <c r="Q76" s="253"/>
    </row>
    <row r="77" spans="1:17" ht="30" customHeight="1" x14ac:dyDescent="0.25">
      <c r="A77" s="602"/>
      <c r="B77" s="600"/>
      <c r="C77" s="600"/>
      <c r="D77" s="600"/>
      <c r="E77" s="604"/>
      <c r="F77" s="600"/>
      <c r="G77" s="600"/>
      <c r="H77" s="600"/>
      <c r="I77" s="600"/>
      <c r="J77" s="598"/>
      <c r="K77" s="598"/>
      <c r="L77" s="598"/>
      <c r="M77" s="253">
        <v>60</v>
      </c>
      <c r="N77" s="253" t="s">
        <v>6</v>
      </c>
      <c r="O77" s="253">
        <v>60</v>
      </c>
      <c r="P77" s="253"/>
      <c r="Q77" s="253"/>
    </row>
    <row r="78" spans="1:17" ht="30" customHeight="1" x14ac:dyDescent="0.25">
      <c r="A78" s="601">
        <v>43</v>
      </c>
      <c r="B78" s="599" t="s">
        <v>1075</v>
      </c>
      <c r="C78" s="599" t="s">
        <v>1076</v>
      </c>
      <c r="D78" s="599" t="s">
        <v>415</v>
      </c>
      <c r="E78" s="603">
        <v>15102046</v>
      </c>
      <c r="F78" s="599" t="s">
        <v>486</v>
      </c>
      <c r="G78" s="599" t="s">
        <v>713</v>
      </c>
      <c r="H78" s="599" t="s">
        <v>1077</v>
      </c>
      <c r="I78" s="599" t="s">
        <v>1078</v>
      </c>
      <c r="J78" s="597">
        <v>43399</v>
      </c>
      <c r="K78" s="597">
        <v>43399</v>
      </c>
      <c r="L78" s="597">
        <v>43409</v>
      </c>
      <c r="M78" s="253">
        <v>10</v>
      </c>
      <c r="N78" s="253" t="s">
        <v>4</v>
      </c>
      <c r="O78" s="253">
        <v>10</v>
      </c>
      <c r="P78" s="253"/>
      <c r="Q78" s="253"/>
    </row>
    <row r="79" spans="1:17" ht="30" customHeight="1" x14ac:dyDescent="0.25">
      <c r="A79" s="602"/>
      <c r="B79" s="600"/>
      <c r="C79" s="600"/>
      <c r="D79" s="600"/>
      <c r="E79" s="604"/>
      <c r="F79" s="600"/>
      <c r="G79" s="600"/>
      <c r="H79" s="600"/>
      <c r="I79" s="600"/>
      <c r="J79" s="598"/>
      <c r="K79" s="598"/>
      <c r="L79" s="598"/>
      <c r="M79" s="253">
        <v>10</v>
      </c>
      <c r="N79" s="253" t="s">
        <v>6</v>
      </c>
      <c r="O79" s="253">
        <v>10</v>
      </c>
      <c r="P79" s="253"/>
      <c r="Q79" s="253"/>
    </row>
    <row r="80" spans="1:17" s="2" customFormat="1" ht="30" customHeight="1" x14ac:dyDescent="0.25">
      <c r="A80" s="619"/>
      <c r="B80" s="620" t="s">
        <v>1082</v>
      </c>
      <c r="C80" s="620" t="s">
        <v>1083</v>
      </c>
      <c r="D80" s="620" t="s">
        <v>415</v>
      </c>
      <c r="E80" s="621">
        <v>50909165</v>
      </c>
      <c r="F80" s="620" t="s">
        <v>455</v>
      </c>
      <c r="G80" s="622" t="s">
        <v>720</v>
      </c>
      <c r="H80" s="620" t="s">
        <v>1084</v>
      </c>
      <c r="I80" s="620" t="s">
        <v>1085</v>
      </c>
      <c r="J80" s="615">
        <v>43353</v>
      </c>
      <c r="K80" s="615">
        <v>43354</v>
      </c>
      <c r="L80" s="231">
        <v>43364</v>
      </c>
      <c r="M80" s="206">
        <v>10</v>
      </c>
      <c r="N80" s="206" t="s">
        <v>4</v>
      </c>
      <c r="O80" s="205"/>
      <c r="P80" s="617" t="s">
        <v>1119</v>
      </c>
      <c r="Q80" s="232"/>
    </row>
    <row r="81" spans="1:17" s="2" customFormat="1" ht="30" customHeight="1" x14ac:dyDescent="0.25">
      <c r="A81" s="619"/>
      <c r="B81" s="620"/>
      <c r="C81" s="620"/>
      <c r="D81" s="620"/>
      <c r="E81" s="621"/>
      <c r="F81" s="620"/>
      <c r="G81" s="623"/>
      <c r="H81" s="620"/>
      <c r="I81" s="620"/>
      <c r="J81" s="616"/>
      <c r="K81" s="616"/>
      <c r="L81" s="191">
        <v>43378</v>
      </c>
      <c r="M81" s="206">
        <v>40</v>
      </c>
      <c r="N81" s="206" t="s">
        <v>254</v>
      </c>
      <c r="O81" s="206" t="s">
        <v>424</v>
      </c>
      <c r="P81" s="618"/>
      <c r="Q81" s="232"/>
    </row>
    <row r="82" spans="1:17" ht="30" customHeight="1" x14ac:dyDescent="0.25">
      <c r="A82" s="601">
        <v>44</v>
      </c>
      <c r="B82" s="599" t="s">
        <v>1088</v>
      </c>
      <c r="C82" s="599" t="s">
        <v>1089</v>
      </c>
      <c r="D82" s="599" t="s">
        <v>415</v>
      </c>
      <c r="E82" s="603">
        <v>1003717867</v>
      </c>
      <c r="F82" s="599" t="s">
        <v>418</v>
      </c>
      <c r="G82" s="599" t="s">
        <v>1090</v>
      </c>
      <c r="H82" s="599" t="s">
        <v>1295</v>
      </c>
      <c r="I82" s="599">
        <v>3214007401</v>
      </c>
      <c r="J82" s="597">
        <v>43404</v>
      </c>
      <c r="K82" s="597">
        <v>43404</v>
      </c>
      <c r="L82" s="597">
        <v>43434</v>
      </c>
      <c r="M82" s="253">
        <v>30</v>
      </c>
      <c r="N82" s="253" t="s">
        <v>4</v>
      </c>
      <c r="O82" s="253">
        <v>60</v>
      </c>
      <c r="P82" s="253" t="s">
        <v>1092</v>
      </c>
      <c r="Q82" s="595" t="s">
        <v>1311</v>
      </c>
    </row>
    <row r="83" spans="1:17" ht="30" customHeight="1" x14ac:dyDescent="0.25">
      <c r="A83" s="602"/>
      <c r="B83" s="600"/>
      <c r="C83" s="600"/>
      <c r="D83" s="600"/>
      <c r="E83" s="604"/>
      <c r="F83" s="600"/>
      <c r="G83" s="600"/>
      <c r="H83" s="600"/>
      <c r="I83" s="600"/>
      <c r="J83" s="598"/>
      <c r="K83" s="598"/>
      <c r="L83" s="598"/>
      <c r="M83" s="253">
        <v>120</v>
      </c>
      <c r="N83" s="253" t="s">
        <v>6</v>
      </c>
      <c r="O83" s="253">
        <v>120</v>
      </c>
      <c r="P83" s="253" t="s">
        <v>1091</v>
      </c>
      <c r="Q83" s="596"/>
    </row>
    <row r="84" spans="1:17" ht="30" customHeight="1" x14ac:dyDescent="0.25">
      <c r="A84" s="458">
        <v>45</v>
      </c>
      <c r="B84" s="254" t="s">
        <v>1132</v>
      </c>
      <c r="C84" s="254" t="s">
        <v>1133</v>
      </c>
      <c r="D84" s="253" t="s">
        <v>415</v>
      </c>
      <c r="E84" s="255">
        <v>6874900</v>
      </c>
      <c r="F84" s="253" t="s">
        <v>416</v>
      </c>
      <c r="G84" s="253" t="s">
        <v>1134</v>
      </c>
      <c r="H84" s="253" t="s">
        <v>1135</v>
      </c>
      <c r="I84" s="253" t="s">
        <v>1136</v>
      </c>
      <c r="J84" s="256">
        <v>43412</v>
      </c>
      <c r="K84" s="256">
        <v>43412</v>
      </c>
      <c r="L84" s="256">
        <v>43417</v>
      </c>
      <c r="M84" s="253">
        <v>20</v>
      </c>
      <c r="N84" s="253" t="s">
        <v>6</v>
      </c>
      <c r="O84" s="253">
        <v>20</v>
      </c>
      <c r="P84" s="253" t="s">
        <v>959</v>
      </c>
      <c r="Q84" s="253"/>
    </row>
    <row r="85" spans="1:17" ht="30" customHeight="1" x14ac:dyDescent="0.25">
      <c r="A85" s="601">
        <v>46</v>
      </c>
      <c r="B85" s="599" t="s">
        <v>1149</v>
      </c>
      <c r="C85" s="599" t="s">
        <v>1150</v>
      </c>
      <c r="D85" s="599" t="s">
        <v>415</v>
      </c>
      <c r="E85" s="603">
        <v>1067837122</v>
      </c>
      <c r="F85" s="599" t="s">
        <v>418</v>
      </c>
      <c r="G85" s="599" t="s">
        <v>725</v>
      </c>
      <c r="H85" s="599" t="s">
        <v>1151</v>
      </c>
      <c r="I85" s="599">
        <v>3115037830</v>
      </c>
      <c r="J85" s="597">
        <v>43389</v>
      </c>
      <c r="K85" s="597">
        <v>43390</v>
      </c>
      <c r="L85" s="597">
        <v>43481</v>
      </c>
      <c r="M85" s="253">
        <v>8</v>
      </c>
      <c r="N85" s="253" t="s">
        <v>4</v>
      </c>
      <c r="O85" s="253">
        <v>24</v>
      </c>
      <c r="P85" s="599" t="s">
        <v>1144</v>
      </c>
      <c r="Q85" s="253"/>
    </row>
    <row r="86" spans="1:17" ht="30" customHeight="1" x14ac:dyDescent="0.25">
      <c r="A86" s="612"/>
      <c r="B86" s="609"/>
      <c r="C86" s="609"/>
      <c r="D86" s="609"/>
      <c r="E86" s="613"/>
      <c r="F86" s="609"/>
      <c r="G86" s="609"/>
      <c r="H86" s="609"/>
      <c r="I86" s="609"/>
      <c r="J86" s="614"/>
      <c r="K86" s="614"/>
      <c r="L86" s="614"/>
      <c r="M86" s="253">
        <v>8</v>
      </c>
      <c r="N86" s="253" t="s">
        <v>9</v>
      </c>
      <c r="O86" s="253">
        <v>24</v>
      </c>
      <c r="P86" s="609"/>
      <c r="Q86" s="253"/>
    </row>
    <row r="87" spans="1:17" ht="30" customHeight="1" x14ac:dyDescent="0.25">
      <c r="A87" s="602"/>
      <c r="B87" s="600"/>
      <c r="C87" s="600"/>
      <c r="D87" s="600"/>
      <c r="E87" s="604"/>
      <c r="F87" s="600"/>
      <c r="G87" s="600"/>
      <c r="H87" s="600"/>
      <c r="I87" s="600"/>
      <c r="J87" s="598"/>
      <c r="K87" s="598"/>
      <c r="L87" s="598"/>
      <c r="M87" s="253">
        <v>8</v>
      </c>
      <c r="N87" s="253" t="s">
        <v>254</v>
      </c>
      <c r="O87" s="253">
        <v>24</v>
      </c>
      <c r="P87" s="600"/>
      <c r="Q87" s="253"/>
    </row>
    <row r="88" spans="1:17" ht="30" customHeight="1" x14ac:dyDescent="0.25">
      <c r="A88" s="601">
        <v>47</v>
      </c>
      <c r="B88" s="599" t="s">
        <v>1152</v>
      </c>
      <c r="C88" s="599" t="s">
        <v>1153</v>
      </c>
      <c r="D88" s="599" t="s">
        <v>415</v>
      </c>
      <c r="E88" s="603">
        <v>34960185</v>
      </c>
      <c r="F88" s="599" t="s">
        <v>418</v>
      </c>
      <c r="G88" s="599" t="s">
        <v>718</v>
      </c>
      <c r="H88" s="599" t="s">
        <v>1154</v>
      </c>
      <c r="I88" s="599" t="s">
        <v>1155</v>
      </c>
      <c r="J88" s="597">
        <v>43414</v>
      </c>
      <c r="K88" s="597">
        <v>43414</v>
      </c>
      <c r="L88" s="268">
        <v>43443</v>
      </c>
      <c r="M88" s="253">
        <v>30</v>
      </c>
      <c r="N88" s="253" t="s">
        <v>4</v>
      </c>
      <c r="O88" s="253">
        <v>30</v>
      </c>
      <c r="P88" s="253"/>
      <c r="Q88" s="253"/>
    </row>
    <row r="89" spans="1:17" ht="30" customHeight="1" x14ac:dyDescent="0.25">
      <c r="A89" s="602"/>
      <c r="B89" s="600"/>
      <c r="C89" s="600"/>
      <c r="D89" s="600"/>
      <c r="E89" s="604"/>
      <c r="F89" s="600"/>
      <c r="G89" s="600"/>
      <c r="H89" s="600"/>
      <c r="I89" s="600"/>
      <c r="J89" s="598"/>
      <c r="K89" s="598"/>
      <c r="L89" s="262">
        <v>43417</v>
      </c>
      <c r="M89" s="253">
        <v>12</v>
      </c>
      <c r="N89" s="253" t="s">
        <v>6</v>
      </c>
      <c r="O89" s="253">
        <v>12</v>
      </c>
      <c r="P89" s="253" t="s">
        <v>1169</v>
      </c>
      <c r="Q89" s="253"/>
    </row>
    <row r="90" spans="1:17" ht="30" customHeight="1" x14ac:dyDescent="0.25">
      <c r="A90" s="601">
        <v>48</v>
      </c>
      <c r="B90" s="599" t="s">
        <v>1156</v>
      </c>
      <c r="C90" s="599" t="s">
        <v>1157</v>
      </c>
      <c r="D90" s="599" t="s">
        <v>415</v>
      </c>
      <c r="E90" s="603">
        <v>25951264</v>
      </c>
      <c r="F90" s="599" t="s">
        <v>416</v>
      </c>
      <c r="G90" s="599" t="s">
        <v>718</v>
      </c>
      <c r="H90" s="599" t="s">
        <v>1158</v>
      </c>
      <c r="I90" s="599" t="s">
        <v>1159</v>
      </c>
      <c r="J90" s="597">
        <v>43413</v>
      </c>
      <c r="K90" s="597">
        <v>43413</v>
      </c>
      <c r="L90" s="597">
        <v>43417</v>
      </c>
      <c r="M90" s="253">
        <v>4</v>
      </c>
      <c r="N90" s="253" t="s">
        <v>6</v>
      </c>
      <c r="O90" s="253">
        <v>4</v>
      </c>
      <c r="P90" s="599" t="s">
        <v>1160</v>
      </c>
      <c r="Q90" s="253"/>
    </row>
    <row r="91" spans="1:17" ht="30" customHeight="1" x14ac:dyDescent="0.25">
      <c r="A91" s="602"/>
      <c r="B91" s="600"/>
      <c r="C91" s="600"/>
      <c r="D91" s="600"/>
      <c r="E91" s="604"/>
      <c r="F91" s="600"/>
      <c r="G91" s="600"/>
      <c r="H91" s="600"/>
      <c r="I91" s="600"/>
      <c r="J91" s="598"/>
      <c r="K91" s="598"/>
      <c r="L91" s="598"/>
      <c r="M91" s="253">
        <v>4</v>
      </c>
      <c r="N91" s="253" t="s">
        <v>4</v>
      </c>
      <c r="O91" s="253">
        <v>4</v>
      </c>
      <c r="P91" s="600"/>
      <c r="Q91" s="253"/>
    </row>
    <row r="92" spans="1:17" ht="30" customHeight="1" x14ac:dyDescent="0.25">
      <c r="A92" s="458">
        <v>49</v>
      </c>
      <c r="B92" s="254" t="s">
        <v>1170</v>
      </c>
      <c r="C92" s="254" t="s">
        <v>1171</v>
      </c>
      <c r="D92" s="253" t="s">
        <v>415</v>
      </c>
      <c r="E92" s="255">
        <v>25894700</v>
      </c>
      <c r="F92" s="253" t="s">
        <v>418</v>
      </c>
      <c r="G92" s="253" t="s">
        <v>1172</v>
      </c>
      <c r="H92" s="253" t="s">
        <v>1173</v>
      </c>
      <c r="I92" s="253" t="s">
        <v>1174</v>
      </c>
      <c r="J92" s="256">
        <v>43415</v>
      </c>
      <c r="K92" s="256">
        <v>43415</v>
      </c>
      <c r="L92" s="256">
        <v>43420</v>
      </c>
      <c r="M92" s="253">
        <v>10</v>
      </c>
      <c r="N92" s="253" t="s">
        <v>6</v>
      </c>
      <c r="O92" s="253">
        <v>10</v>
      </c>
      <c r="P92" s="253" t="s">
        <v>1175</v>
      </c>
      <c r="Q92" s="253"/>
    </row>
    <row r="93" spans="1:17" ht="30" customHeight="1" x14ac:dyDescent="0.25">
      <c r="A93" s="458">
        <v>50</v>
      </c>
      <c r="B93" s="254" t="s">
        <v>1199</v>
      </c>
      <c r="C93" s="254" t="s">
        <v>1200</v>
      </c>
      <c r="D93" s="253" t="s">
        <v>415</v>
      </c>
      <c r="E93" s="255">
        <v>25762169</v>
      </c>
      <c r="F93" s="253" t="s">
        <v>440</v>
      </c>
      <c r="G93" s="253" t="s">
        <v>730</v>
      </c>
      <c r="H93" s="253" t="s">
        <v>1201</v>
      </c>
      <c r="I93" s="253" t="s">
        <v>1202</v>
      </c>
      <c r="J93" s="256">
        <v>43419</v>
      </c>
      <c r="K93" s="256">
        <v>43420</v>
      </c>
      <c r="L93" s="256">
        <v>43449</v>
      </c>
      <c r="M93" s="253">
        <v>30</v>
      </c>
      <c r="N93" s="253" t="s">
        <v>4</v>
      </c>
      <c r="O93" s="253">
        <v>30</v>
      </c>
      <c r="P93" s="253"/>
      <c r="Q93" s="253"/>
    </row>
    <row r="94" spans="1:17" ht="22.5" customHeight="1" x14ac:dyDescent="0.25">
      <c r="A94" s="606">
        <v>51</v>
      </c>
      <c r="B94" s="605" t="s">
        <v>822</v>
      </c>
      <c r="C94" s="605" t="s">
        <v>1207</v>
      </c>
      <c r="D94" s="605" t="s">
        <v>415</v>
      </c>
      <c r="E94" s="607">
        <v>34956520</v>
      </c>
      <c r="F94" s="605" t="s">
        <v>418</v>
      </c>
      <c r="G94" s="605" t="s">
        <v>1208</v>
      </c>
      <c r="H94" s="605" t="s">
        <v>1209</v>
      </c>
      <c r="I94" s="605" t="s">
        <v>1210</v>
      </c>
      <c r="J94" s="608">
        <v>43419</v>
      </c>
      <c r="K94" s="608">
        <v>43420</v>
      </c>
      <c r="L94" s="608">
        <v>43511</v>
      </c>
      <c r="M94" s="253">
        <v>20</v>
      </c>
      <c r="N94" s="253" t="s">
        <v>4</v>
      </c>
      <c r="O94" s="253">
        <v>60</v>
      </c>
      <c r="P94" s="599" t="s">
        <v>1144</v>
      </c>
      <c r="Q94" s="253"/>
    </row>
    <row r="95" spans="1:17" ht="21.75" customHeight="1" x14ac:dyDescent="0.25">
      <c r="A95" s="606"/>
      <c r="B95" s="605"/>
      <c r="C95" s="605"/>
      <c r="D95" s="605"/>
      <c r="E95" s="607"/>
      <c r="F95" s="605"/>
      <c r="G95" s="605"/>
      <c r="H95" s="605"/>
      <c r="I95" s="605"/>
      <c r="J95" s="608"/>
      <c r="K95" s="608"/>
      <c r="L95" s="608"/>
      <c r="M95" s="253">
        <v>20</v>
      </c>
      <c r="N95" s="253" t="s">
        <v>254</v>
      </c>
      <c r="O95" s="253">
        <v>60</v>
      </c>
      <c r="P95" s="600"/>
      <c r="Q95" s="253"/>
    </row>
    <row r="96" spans="1:17" x14ac:dyDescent="0.25">
      <c r="A96" s="455">
        <v>52</v>
      </c>
      <c r="B96" s="459" t="s">
        <v>1216</v>
      </c>
      <c r="C96" s="459" t="s">
        <v>1217</v>
      </c>
      <c r="D96" s="456" t="s">
        <v>415</v>
      </c>
      <c r="E96" s="460">
        <v>78700476</v>
      </c>
      <c r="F96" s="456" t="s">
        <v>440</v>
      </c>
      <c r="G96" s="456"/>
      <c r="H96" s="456" t="s">
        <v>1218</v>
      </c>
      <c r="I96" s="456">
        <v>3114309988</v>
      </c>
      <c r="J96" s="457">
        <v>43419</v>
      </c>
      <c r="K96" s="457">
        <v>43420</v>
      </c>
      <c r="L96" s="457">
        <v>43449</v>
      </c>
      <c r="M96" s="456">
        <v>30</v>
      </c>
      <c r="N96" s="456" t="s">
        <v>4</v>
      </c>
      <c r="O96" s="456">
        <v>30</v>
      </c>
      <c r="P96" s="456"/>
      <c r="Q96" s="456"/>
    </row>
    <row r="97" spans="1:17" ht="30" customHeight="1" x14ac:dyDescent="0.25">
      <c r="A97" s="601">
        <v>53</v>
      </c>
      <c r="B97" s="599" t="s">
        <v>1227</v>
      </c>
      <c r="C97" s="599" t="s">
        <v>1228</v>
      </c>
      <c r="D97" s="599" t="s">
        <v>415</v>
      </c>
      <c r="E97" s="603">
        <v>50911896</v>
      </c>
      <c r="F97" s="599" t="s">
        <v>416</v>
      </c>
      <c r="G97" s="599" t="s">
        <v>757</v>
      </c>
      <c r="H97" s="599" t="s">
        <v>1229</v>
      </c>
      <c r="I97" s="599">
        <v>3002857701</v>
      </c>
      <c r="J97" s="597">
        <v>43427</v>
      </c>
      <c r="K97" s="597">
        <v>43430</v>
      </c>
      <c r="L97" s="597">
        <v>43459</v>
      </c>
      <c r="M97" s="253">
        <v>15</v>
      </c>
      <c r="N97" s="253" t="s">
        <v>4</v>
      </c>
      <c r="O97" s="253">
        <v>15</v>
      </c>
      <c r="P97" s="253"/>
      <c r="Q97" s="253"/>
    </row>
    <row r="98" spans="1:17" ht="30" customHeight="1" x14ac:dyDescent="0.25">
      <c r="A98" s="602"/>
      <c r="B98" s="600"/>
      <c r="C98" s="600"/>
      <c r="D98" s="600"/>
      <c r="E98" s="604"/>
      <c r="F98" s="600"/>
      <c r="G98" s="600"/>
      <c r="H98" s="600"/>
      <c r="I98" s="600"/>
      <c r="J98" s="598"/>
      <c r="K98" s="598"/>
      <c r="L98" s="598"/>
      <c r="M98" s="253">
        <v>15</v>
      </c>
      <c r="N98" s="253" t="s">
        <v>9</v>
      </c>
      <c r="O98" s="253">
        <v>15</v>
      </c>
      <c r="P98" s="253"/>
      <c r="Q98" s="253"/>
    </row>
    <row r="99" spans="1:17" ht="30" customHeight="1" x14ac:dyDescent="0.25">
      <c r="A99" s="458">
        <v>54</v>
      </c>
      <c r="B99" s="254" t="s">
        <v>1269</v>
      </c>
      <c r="C99" s="254" t="s">
        <v>1270</v>
      </c>
      <c r="D99" s="253" t="s">
        <v>415</v>
      </c>
      <c r="E99" s="255">
        <v>26208831</v>
      </c>
      <c r="F99" s="253" t="s">
        <v>440</v>
      </c>
      <c r="G99" s="253" t="s">
        <v>713</v>
      </c>
      <c r="H99" s="253" t="s">
        <v>1271</v>
      </c>
      <c r="I99" s="253">
        <v>3212559568</v>
      </c>
      <c r="J99" s="256">
        <v>43424</v>
      </c>
      <c r="K99" s="256">
        <v>43424</v>
      </c>
      <c r="L99" s="256">
        <v>43430</v>
      </c>
      <c r="M99" s="253">
        <v>24</v>
      </c>
      <c r="N99" s="253" t="s">
        <v>6</v>
      </c>
      <c r="O99" s="253">
        <v>24</v>
      </c>
      <c r="P99" s="253" t="s">
        <v>1272</v>
      </c>
      <c r="Q99" s="253"/>
    </row>
    <row r="100" spans="1:17" ht="30" customHeight="1" x14ac:dyDescent="0.25">
      <c r="A100" s="601">
        <v>55</v>
      </c>
      <c r="B100" s="599" t="s">
        <v>1250</v>
      </c>
      <c r="C100" s="599" t="s">
        <v>1251</v>
      </c>
      <c r="D100" s="599" t="s">
        <v>415</v>
      </c>
      <c r="E100" s="603">
        <v>25784560</v>
      </c>
      <c r="F100" s="599" t="s">
        <v>418</v>
      </c>
      <c r="G100" s="599" t="s">
        <v>730</v>
      </c>
      <c r="H100" s="599" t="s">
        <v>1252</v>
      </c>
      <c r="I100" s="599" t="s">
        <v>1253</v>
      </c>
      <c r="J100" s="597">
        <v>43425</v>
      </c>
      <c r="K100" s="597">
        <v>43425</v>
      </c>
      <c r="L100" s="597">
        <v>43440</v>
      </c>
      <c r="M100" s="253">
        <v>16</v>
      </c>
      <c r="N100" s="253" t="s">
        <v>4</v>
      </c>
      <c r="O100" s="253">
        <v>16</v>
      </c>
      <c r="P100" s="599" t="s">
        <v>1160</v>
      </c>
      <c r="Q100" s="253"/>
    </row>
    <row r="101" spans="1:17" ht="30" customHeight="1" x14ac:dyDescent="0.25">
      <c r="A101" s="602"/>
      <c r="B101" s="600"/>
      <c r="C101" s="600"/>
      <c r="D101" s="600"/>
      <c r="E101" s="604"/>
      <c r="F101" s="600"/>
      <c r="G101" s="600"/>
      <c r="H101" s="600"/>
      <c r="I101" s="600"/>
      <c r="J101" s="598"/>
      <c r="K101" s="598"/>
      <c r="L101" s="598"/>
      <c r="M101" s="253">
        <v>16</v>
      </c>
      <c r="N101" s="253" t="s">
        <v>6</v>
      </c>
      <c r="O101" s="253">
        <v>16</v>
      </c>
      <c r="P101" s="600"/>
      <c r="Q101" s="253"/>
    </row>
    <row r="102" spans="1:17" ht="30" customHeight="1" x14ac:dyDescent="0.25">
      <c r="A102" s="458">
        <v>56</v>
      </c>
      <c r="B102" s="254" t="s">
        <v>1266</v>
      </c>
      <c r="C102" s="254" t="s">
        <v>1265</v>
      </c>
      <c r="D102" s="253" t="s">
        <v>415</v>
      </c>
      <c r="E102" s="255">
        <v>67514498</v>
      </c>
      <c r="F102" s="253" t="s">
        <v>440</v>
      </c>
      <c r="G102" s="253" t="s">
        <v>713</v>
      </c>
      <c r="H102" s="253" t="s">
        <v>1267</v>
      </c>
      <c r="I102" s="253" t="s">
        <v>1268</v>
      </c>
      <c r="J102" s="256">
        <v>43426</v>
      </c>
      <c r="K102" s="256">
        <v>43426</v>
      </c>
      <c r="L102" s="256">
        <v>43432</v>
      </c>
      <c r="M102" s="253">
        <v>20</v>
      </c>
      <c r="N102" s="253" t="s">
        <v>6</v>
      </c>
      <c r="O102" s="253">
        <v>20</v>
      </c>
      <c r="P102" s="253" t="s">
        <v>959</v>
      </c>
      <c r="Q102" s="253"/>
    </row>
    <row r="103" spans="1:17" ht="30" customHeight="1" x14ac:dyDescent="0.25">
      <c r="A103" s="458">
        <v>57</v>
      </c>
      <c r="B103" s="254" t="s">
        <v>1322</v>
      </c>
      <c r="C103" s="254" t="s">
        <v>1323</v>
      </c>
      <c r="D103" s="253" t="s">
        <v>415</v>
      </c>
      <c r="E103" s="255">
        <v>50901887</v>
      </c>
      <c r="F103" s="253" t="s">
        <v>440</v>
      </c>
      <c r="G103" s="253" t="s">
        <v>713</v>
      </c>
      <c r="H103" s="253" t="s">
        <v>1324</v>
      </c>
      <c r="I103" s="253" t="s">
        <v>1325</v>
      </c>
      <c r="J103" s="256">
        <v>43432</v>
      </c>
      <c r="K103" s="256">
        <v>43432</v>
      </c>
      <c r="L103" s="256">
        <v>43437</v>
      </c>
      <c r="M103" s="253">
        <v>36</v>
      </c>
      <c r="N103" s="253" t="s">
        <v>6</v>
      </c>
      <c r="O103" s="253">
        <v>36</v>
      </c>
      <c r="P103" s="253" t="s">
        <v>1272</v>
      </c>
      <c r="Q103" s="253"/>
    </row>
    <row r="104" spans="1:17" ht="30" customHeight="1" x14ac:dyDescent="0.25">
      <c r="A104" s="458">
        <v>58</v>
      </c>
      <c r="B104" s="254" t="s">
        <v>1327</v>
      </c>
      <c r="C104" s="254" t="s">
        <v>1328</v>
      </c>
      <c r="D104" s="253" t="s">
        <v>415</v>
      </c>
      <c r="E104" s="255">
        <v>26043336</v>
      </c>
      <c r="F104" s="253" t="s">
        <v>416</v>
      </c>
      <c r="G104" s="253" t="s">
        <v>1329</v>
      </c>
      <c r="H104" s="253" t="s">
        <v>1330</v>
      </c>
      <c r="I104" s="253">
        <v>3126103468</v>
      </c>
      <c r="J104" s="256">
        <v>43433</v>
      </c>
      <c r="K104" s="256">
        <v>43434</v>
      </c>
      <c r="L104" s="256">
        <v>43463</v>
      </c>
      <c r="M104" s="253">
        <v>12</v>
      </c>
      <c r="N104" s="253" t="s">
        <v>4</v>
      </c>
      <c r="O104" s="253">
        <v>12</v>
      </c>
      <c r="P104" s="253"/>
      <c r="Q104" s="253"/>
    </row>
    <row r="105" spans="1:17" ht="30" customHeight="1" x14ac:dyDescent="0.25">
      <c r="A105" s="458"/>
      <c r="B105" s="254"/>
      <c r="C105" s="254"/>
      <c r="D105" s="253"/>
      <c r="E105" s="255"/>
      <c r="F105" s="253"/>
      <c r="G105" s="253"/>
      <c r="H105" s="253"/>
      <c r="I105" s="253"/>
      <c r="J105" s="256"/>
      <c r="K105" s="256"/>
      <c r="L105" s="256"/>
      <c r="M105" s="253"/>
      <c r="N105" s="253"/>
      <c r="O105" s="253"/>
      <c r="P105" s="253"/>
      <c r="Q105" s="253"/>
    </row>
    <row r="106" spans="1:17" ht="30" customHeight="1" x14ac:dyDescent="0.25">
      <c r="A106" s="458"/>
      <c r="B106" s="254"/>
      <c r="C106" s="254"/>
      <c r="D106" s="253"/>
      <c r="E106" s="255"/>
      <c r="F106" s="253"/>
      <c r="G106" s="253"/>
      <c r="H106" s="253"/>
      <c r="I106" s="253"/>
      <c r="J106" s="256"/>
      <c r="K106" s="256"/>
      <c r="L106" s="256"/>
      <c r="M106" s="253"/>
      <c r="N106" s="253"/>
      <c r="O106" s="253"/>
      <c r="P106" s="253"/>
      <c r="Q106" s="253"/>
    </row>
    <row r="107" spans="1:17" ht="30" customHeight="1" x14ac:dyDescent="0.25">
      <c r="A107" s="458"/>
      <c r="B107" s="254"/>
      <c r="C107" s="254"/>
      <c r="D107" s="253"/>
      <c r="E107" s="255"/>
      <c r="F107" s="253"/>
      <c r="G107" s="253"/>
      <c r="H107" s="253"/>
      <c r="I107" s="253"/>
      <c r="J107" s="256"/>
      <c r="K107" s="256"/>
      <c r="L107" s="256"/>
      <c r="M107" s="253"/>
      <c r="N107" s="253"/>
      <c r="O107" s="253"/>
      <c r="P107" s="253"/>
      <c r="Q107" s="253"/>
    </row>
    <row r="108" spans="1:17" ht="30" customHeight="1" x14ac:dyDescent="0.25">
      <c r="A108" s="458"/>
      <c r="B108" s="254"/>
      <c r="C108" s="254"/>
      <c r="D108" s="253"/>
      <c r="E108" s="255"/>
      <c r="F108" s="253"/>
      <c r="G108" s="253"/>
      <c r="H108" s="253"/>
      <c r="I108" s="253"/>
      <c r="J108" s="256"/>
      <c r="K108" s="256"/>
      <c r="L108" s="256"/>
      <c r="M108" s="253"/>
      <c r="N108" s="253"/>
      <c r="O108" s="253"/>
      <c r="P108" s="253"/>
      <c r="Q108" s="253"/>
    </row>
    <row r="109" spans="1:17" ht="30" customHeight="1" x14ac:dyDescent="0.25">
      <c r="A109" s="458"/>
      <c r="B109" s="254"/>
      <c r="C109" s="254"/>
      <c r="D109" s="253"/>
      <c r="E109" s="255"/>
      <c r="F109" s="253"/>
      <c r="G109" s="253"/>
      <c r="H109" s="253"/>
      <c r="I109" s="253"/>
      <c r="J109" s="256"/>
      <c r="K109" s="256"/>
      <c r="L109" s="256"/>
      <c r="M109" s="253"/>
      <c r="N109" s="253"/>
      <c r="O109" s="253"/>
      <c r="P109" s="253"/>
      <c r="Q109" s="253"/>
    </row>
  </sheetData>
  <autoFilter ref="B1:R102"/>
  <mergeCells count="354">
    <mergeCell ref="G97:G98"/>
    <mergeCell ref="H97:H98"/>
    <mergeCell ref="I97:I98"/>
    <mergeCell ref="P47:P48"/>
    <mergeCell ref="J78:J79"/>
    <mergeCell ref="K78:K79"/>
    <mergeCell ref="L78:L79"/>
    <mergeCell ref="K28:K29"/>
    <mergeCell ref="L28:L29"/>
    <mergeCell ref="I27:I30"/>
    <mergeCell ref="J27:J30"/>
    <mergeCell ref="H31:H32"/>
    <mergeCell ref="I31:I32"/>
    <mergeCell ref="J31:J32"/>
    <mergeCell ref="J38:J40"/>
    <mergeCell ref="K38:K40"/>
    <mergeCell ref="L38:L40"/>
    <mergeCell ref="I35:I37"/>
    <mergeCell ref="J74:J77"/>
    <mergeCell ref="K74:K77"/>
    <mergeCell ref="L74:L77"/>
    <mergeCell ref="P33:P34"/>
    <mergeCell ref="I33:I34"/>
    <mergeCell ref="J33:J34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A74:A77"/>
    <mergeCell ref="B74:B77"/>
    <mergeCell ref="C74:C77"/>
    <mergeCell ref="D74:D77"/>
    <mergeCell ref="E74:E77"/>
    <mergeCell ref="F74:F77"/>
    <mergeCell ref="G74:G77"/>
    <mergeCell ref="H74:H77"/>
    <mergeCell ref="I74:I77"/>
    <mergeCell ref="A2:A3"/>
    <mergeCell ref="B2:B3"/>
    <mergeCell ref="C2:C3"/>
    <mergeCell ref="D2:D3"/>
    <mergeCell ref="E2:E3"/>
    <mergeCell ref="F2:F3"/>
    <mergeCell ref="Q47:Q49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K58:K59"/>
    <mergeCell ref="L58:L59"/>
    <mergeCell ref="P58:P59"/>
    <mergeCell ref="G4:G6"/>
    <mergeCell ref="H4:H6"/>
    <mergeCell ref="I4:I6"/>
    <mergeCell ref="G7:G8"/>
    <mergeCell ref="H7:H8"/>
    <mergeCell ref="Q4:Q6"/>
    <mergeCell ref="P2:P3"/>
    <mergeCell ref="Q2:Q3"/>
    <mergeCell ref="G2:G3"/>
    <mergeCell ref="H2:H3"/>
    <mergeCell ref="I2:I3"/>
    <mergeCell ref="J2:J3"/>
    <mergeCell ref="K2:K3"/>
    <mergeCell ref="L2:L3"/>
    <mergeCell ref="A7:A8"/>
    <mergeCell ref="B7:B8"/>
    <mergeCell ref="C7:C8"/>
    <mergeCell ref="D7:D8"/>
    <mergeCell ref="E7:E8"/>
    <mergeCell ref="F7:F8"/>
    <mergeCell ref="A4:A6"/>
    <mergeCell ref="B4:B6"/>
    <mergeCell ref="C4:C6"/>
    <mergeCell ref="D4:D6"/>
    <mergeCell ref="E4:E6"/>
    <mergeCell ref="F4:F6"/>
    <mergeCell ref="G12:G13"/>
    <mergeCell ref="H12:H13"/>
    <mergeCell ref="I12:I13"/>
    <mergeCell ref="G10:G11"/>
    <mergeCell ref="H10:H11"/>
    <mergeCell ref="I10:I11"/>
    <mergeCell ref="J10:J11"/>
    <mergeCell ref="K10:K11"/>
    <mergeCell ref="L10:L11"/>
    <mergeCell ref="J12:J13"/>
    <mergeCell ref="K12:K13"/>
    <mergeCell ref="L12:L13"/>
    <mergeCell ref="P12:P13"/>
    <mergeCell ref="I7:I8"/>
    <mergeCell ref="J7:J8"/>
    <mergeCell ref="K7:K8"/>
    <mergeCell ref="L7:L8"/>
    <mergeCell ref="J4:J6"/>
    <mergeCell ref="K4:K6"/>
    <mergeCell ref="L4:L6"/>
    <mergeCell ref="P10:P11"/>
    <mergeCell ref="B10:B11"/>
    <mergeCell ref="C10:C11"/>
    <mergeCell ref="D10:D11"/>
    <mergeCell ref="E10:E11"/>
    <mergeCell ref="F10:F11"/>
    <mergeCell ref="A12:A13"/>
    <mergeCell ref="B12:B13"/>
    <mergeCell ref="C12:C13"/>
    <mergeCell ref="D12:D13"/>
    <mergeCell ref="E12:E13"/>
    <mergeCell ref="F12:F13"/>
    <mergeCell ref="A10:A11"/>
    <mergeCell ref="A22:A24"/>
    <mergeCell ref="B22:B24"/>
    <mergeCell ref="C22:C24"/>
    <mergeCell ref="D22:D24"/>
    <mergeCell ref="E22:E24"/>
    <mergeCell ref="F22:F24"/>
    <mergeCell ref="G22:G24"/>
    <mergeCell ref="H22:H24"/>
    <mergeCell ref="I22:I24"/>
    <mergeCell ref="Q28:Q30"/>
    <mergeCell ref="J22:J24"/>
    <mergeCell ref="K22:K24"/>
    <mergeCell ref="L22:L24"/>
    <mergeCell ref="P22:P24"/>
    <mergeCell ref="B31:B32"/>
    <mergeCell ref="C31:C32"/>
    <mergeCell ref="D31:D32"/>
    <mergeCell ref="E31:E32"/>
    <mergeCell ref="F31:F32"/>
    <mergeCell ref="G31:G32"/>
    <mergeCell ref="F27:F30"/>
    <mergeCell ref="G27:G30"/>
    <mergeCell ref="H27:H30"/>
    <mergeCell ref="Q22:Q24"/>
    <mergeCell ref="K33:K34"/>
    <mergeCell ref="A27:A30"/>
    <mergeCell ref="B27:B30"/>
    <mergeCell ref="C27:C30"/>
    <mergeCell ref="D27:D30"/>
    <mergeCell ref="E27:E30"/>
    <mergeCell ref="P27:P30"/>
    <mergeCell ref="F33:F34"/>
    <mergeCell ref="G33:G34"/>
    <mergeCell ref="H33:H34"/>
    <mergeCell ref="K31:K32"/>
    <mergeCell ref="L31:L32"/>
    <mergeCell ref="A33:A34"/>
    <mergeCell ref="B33:B34"/>
    <mergeCell ref="C33:C34"/>
    <mergeCell ref="D33:D34"/>
    <mergeCell ref="E33:E34"/>
    <mergeCell ref="L33:L34"/>
    <mergeCell ref="A31:A32"/>
    <mergeCell ref="K35:K37"/>
    <mergeCell ref="L35:L37"/>
    <mergeCell ref="P35:P37"/>
    <mergeCell ref="A35:A37"/>
    <mergeCell ref="B35:B37"/>
    <mergeCell ref="C35:C37"/>
    <mergeCell ref="D35:D37"/>
    <mergeCell ref="E35:E37"/>
    <mergeCell ref="F35:F37"/>
    <mergeCell ref="G35:G37"/>
    <mergeCell ref="H35:H37"/>
    <mergeCell ref="J35:J37"/>
    <mergeCell ref="A38:A40"/>
    <mergeCell ref="B38:B40"/>
    <mergeCell ref="C38:C40"/>
    <mergeCell ref="D38:D40"/>
    <mergeCell ref="E38:E40"/>
    <mergeCell ref="F38:F40"/>
    <mergeCell ref="G38:G40"/>
    <mergeCell ref="H38:H40"/>
    <mergeCell ref="I38:I40"/>
    <mergeCell ref="P44:P45"/>
    <mergeCell ref="G44:G45"/>
    <mergeCell ref="H44:H45"/>
    <mergeCell ref="I44:I45"/>
    <mergeCell ref="J44:J45"/>
    <mergeCell ref="A41:A43"/>
    <mergeCell ref="B41:B43"/>
    <mergeCell ref="C41:C43"/>
    <mergeCell ref="D41:D43"/>
    <mergeCell ref="E41:E43"/>
    <mergeCell ref="F41:F43"/>
    <mergeCell ref="P41:P43"/>
    <mergeCell ref="G41:G43"/>
    <mergeCell ref="H41:H43"/>
    <mergeCell ref="I41:I43"/>
    <mergeCell ref="J41:J43"/>
    <mergeCell ref="K41:K43"/>
    <mergeCell ref="L41:L43"/>
    <mergeCell ref="A44:A45"/>
    <mergeCell ref="B44:B45"/>
    <mergeCell ref="C44:C45"/>
    <mergeCell ref="D44:D45"/>
    <mergeCell ref="E44:E45"/>
    <mergeCell ref="F44:F45"/>
    <mergeCell ref="J47:J49"/>
    <mergeCell ref="A50:A52"/>
    <mergeCell ref="B50:B52"/>
    <mergeCell ref="C50:C52"/>
    <mergeCell ref="D50:D52"/>
    <mergeCell ref="E50:E52"/>
    <mergeCell ref="A47:A49"/>
    <mergeCell ref="B47:B49"/>
    <mergeCell ref="C47:C49"/>
    <mergeCell ref="D47:D49"/>
    <mergeCell ref="E47:E49"/>
    <mergeCell ref="F47:F49"/>
    <mergeCell ref="G47:G49"/>
    <mergeCell ref="H47:H49"/>
    <mergeCell ref="I47:I49"/>
    <mergeCell ref="A61:A63"/>
    <mergeCell ref="B61:B63"/>
    <mergeCell ref="C61:C63"/>
    <mergeCell ref="D61:D63"/>
    <mergeCell ref="E61:E63"/>
    <mergeCell ref="F61:F63"/>
    <mergeCell ref="G61:G63"/>
    <mergeCell ref="H61:H63"/>
    <mergeCell ref="I61:I63"/>
    <mergeCell ref="L50:L52"/>
    <mergeCell ref="F50:F52"/>
    <mergeCell ref="G50:G52"/>
    <mergeCell ref="H50:H52"/>
    <mergeCell ref="I50:I52"/>
    <mergeCell ref="J50:J52"/>
    <mergeCell ref="K50:K52"/>
    <mergeCell ref="K70:K71"/>
    <mergeCell ref="L70:L71"/>
    <mergeCell ref="J70:J71"/>
    <mergeCell ref="J61:J63"/>
    <mergeCell ref="K61:K63"/>
    <mergeCell ref="L61:L63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80:J81"/>
    <mergeCell ref="K80:K81"/>
    <mergeCell ref="P80:P81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K47:K48"/>
    <mergeCell ref="L47:L48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J89"/>
    <mergeCell ref="K88:K89"/>
    <mergeCell ref="A85:A87"/>
    <mergeCell ref="B85:B87"/>
    <mergeCell ref="C85:C87"/>
    <mergeCell ref="D85:D87"/>
    <mergeCell ref="E85:E87"/>
    <mergeCell ref="F85:F87"/>
    <mergeCell ref="G85:G87"/>
    <mergeCell ref="H85:H87"/>
    <mergeCell ref="J85:J87"/>
    <mergeCell ref="K85:K87"/>
    <mergeCell ref="L85:L87"/>
    <mergeCell ref="H82:H83"/>
    <mergeCell ref="I82:I83"/>
    <mergeCell ref="P85:P87"/>
    <mergeCell ref="K82:K83"/>
    <mergeCell ref="L82:L83"/>
    <mergeCell ref="A82:A83"/>
    <mergeCell ref="B82:B83"/>
    <mergeCell ref="C82:C83"/>
    <mergeCell ref="D82:D83"/>
    <mergeCell ref="E82:E83"/>
    <mergeCell ref="F82:F83"/>
    <mergeCell ref="G82:G83"/>
    <mergeCell ref="A90:A91"/>
    <mergeCell ref="B90:B91"/>
    <mergeCell ref="C90:C91"/>
    <mergeCell ref="D90:D91"/>
    <mergeCell ref="E90:E91"/>
    <mergeCell ref="F90:F91"/>
    <mergeCell ref="G90:G91"/>
    <mergeCell ref="H90:H91"/>
    <mergeCell ref="I90:I91"/>
    <mergeCell ref="J94:J95"/>
    <mergeCell ref="K94:K95"/>
    <mergeCell ref="L94:L95"/>
    <mergeCell ref="I85:I87"/>
    <mergeCell ref="J82:J83"/>
    <mergeCell ref="J90:J91"/>
    <mergeCell ref="K90:K91"/>
    <mergeCell ref="L90:L91"/>
    <mergeCell ref="P90:P91"/>
    <mergeCell ref="B94:B95"/>
    <mergeCell ref="A94:A95"/>
    <mergeCell ref="C94:C95"/>
    <mergeCell ref="D94:D95"/>
    <mergeCell ref="E94:E95"/>
    <mergeCell ref="F94:F95"/>
    <mergeCell ref="G94:G95"/>
    <mergeCell ref="H94:H95"/>
    <mergeCell ref="I94:I95"/>
    <mergeCell ref="Q82:Q83"/>
    <mergeCell ref="J100:J101"/>
    <mergeCell ref="K100:K101"/>
    <mergeCell ref="L100:L101"/>
    <mergeCell ref="P100:P101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97:J98"/>
    <mergeCell ref="K97:K98"/>
    <mergeCell ref="L97:L98"/>
    <mergeCell ref="A97:A98"/>
    <mergeCell ref="B97:B98"/>
    <mergeCell ref="C97:C98"/>
    <mergeCell ref="D97:D98"/>
    <mergeCell ref="E97:E98"/>
    <mergeCell ref="F97:F98"/>
    <mergeCell ref="P94:P95"/>
  </mergeCells>
  <pageMargins left="0.25" right="0.25" top="0.75" bottom="0.75" header="0.3" footer="0.3"/>
  <pageSetup scale="5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7"/>
  <sheetViews>
    <sheetView zoomScaleNormal="100" workbookViewId="0">
      <pane ySplit="1" topLeftCell="A52" activePane="bottomLeft" state="frozen"/>
      <selection pane="bottomLeft" activeCell="E61" sqref="E61:E63"/>
    </sheetView>
  </sheetViews>
  <sheetFormatPr baseColWidth="10" defaultRowHeight="30" customHeight="1" x14ac:dyDescent="0.25"/>
  <cols>
    <col min="1" max="1" width="4.28515625" style="8" customWidth="1"/>
    <col min="2" max="2" width="16.85546875" style="14" customWidth="1"/>
    <col min="3" max="3" width="18" style="14" customWidth="1"/>
    <col min="4" max="4" width="4.140625" style="14" customWidth="1"/>
    <col min="5" max="5" width="14" style="19" customWidth="1"/>
    <col min="6" max="6" width="13.28515625" style="14" customWidth="1"/>
    <col min="7" max="7" width="13.85546875" style="14" customWidth="1"/>
    <col min="8" max="8" width="13.140625" style="14" customWidth="1"/>
    <col min="9" max="9" width="17" style="14" customWidth="1"/>
    <col min="10" max="10" width="14.7109375" style="14" customWidth="1"/>
    <col min="11" max="11" width="12.28515625" style="580" customWidth="1"/>
    <col min="12" max="12" width="11.5703125" style="580" customWidth="1"/>
    <col min="13" max="13" width="11.85546875" style="580" customWidth="1"/>
    <col min="14" max="14" width="6.7109375" style="14" customWidth="1"/>
    <col min="15" max="15" width="7.5703125" style="14" customWidth="1"/>
    <col min="16" max="16" width="6.85546875" style="14" customWidth="1"/>
    <col min="17" max="17" width="21.42578125" style="14" customWidth="1"/>
    <col min="18" max="18" width="17.85546875" style="14" customWidth="1"/>
    <col min="19" max="19" width="39.85546875" style="20" customWidth="1"/>
    <col min="20" max="16384" width="11.42578125" style="15"/>
  </cols>
  <sheetData>
    <row r="1" spans="1:20" s="14" customFormat="1" ht="22.5" customHeight="1" x14ac:dyDescent="0.25">
      <c r="A1" s="134">
        <v>74</v>
      </c>
      <c r="B1" s="135" t="s">
        <v>404</v>
      </c>
      <c r="C1" s="135" t="s">
        <v>405</v>
      </c>
      <c r="D1" s="269" t="s">
        <v>406</v>
      </c>
      <c r="E1" s="270" t="s">
        <v>407</v>
      </c>
      <c r="F1" s="269" t="s">
        <v>408</v>
      </c>
      <c r="G1" s="271" t="s">
        <v>701</v>
      </c>
      <c r="H1" s="269" t="s">
        <v>13</v>
      </c>
      <c r="I1" s="269" t="s">
        <v>409</v>
      </c>
      <c r="J1" s="272" t="s">
        <v>0</v>
      </c>
      <c r="K1" s="579" t="s">
        <v>410</v>
      </c>
      <c r="L1" s="579" t="s">
        <v>1</v>
      </c>
      <c r="M1" s="579" t="s">
        <v>2</v>
      </c>
      <c r="N1" s="269" t="s">
        <v>906</v>
      </c>
      <c r="O1" s="269" t="s">
        <v>412</v>
      </c>
      <c r="P1" s="269" t="s">
        <v>907</v>
      </c>
      <c r="Q1" s="269" t="s">
        <v>545</v>
      </c>
      <c r="R1" s="269" t="s">
        <v>3</v>
      </c>
      <c r="S1" s="273" t="s">
        <v>544</v>
      </c>
    </row>
    <row r="2" spans="1:20" ht="30" customHeight="1" x14ac:dyDescent="0.25">
      <c r="A2" s="637">
        <v>1</v>
      </c>
      <c r="B2" s="634" t="s">
        <v>543</v>
      </c>
      <c r="C2" s="634" t="s">
        <v>542</v>
      </c>
      <c r="D2" s="634" t="s">
        <v>449</v>
      </c>
      <c r="E2" s="643">
        <v>1062605273</v>
      </c>
      <c r="F2" s="634" t="s">
        <v>486</v>
      </c>
      <c r="G2" s="634" t="s">
        <v>749</v>
      </c>
      <c r="H2" s="634" t="s">
        <v>10</v>
      </c>
      <c r="I2" s="634" t="s">
        <v>541</v>
      </c>
      <c r="J2" s="634">
        <v>3145290652</v>
      </c>
      <c r="K2" s="640">
        <v>43413</v>
      </c>
      <c r="L2" s="640">
        <v>43418</v>
      </c>
      <c r="M2" s="640">
        <v>43189</v>
      </c>
      <c r="N2" s="274">
        <v>20</v>
      </c>
      <c r="O2" s="274" t="s">
        <v>4</v>
      </c>
      <c r="P2" s="274">
        <v>90</v>
      </c>
      <c r="Q2" s="274" t="s">
        <v>8</v>
      </c>
      <c r="R2" s="634" t="s">
        <v>1196</v>
      </c>
      <c r="S2" s="658">
        <v>25000</v>
      </c>
    </row>
    <row r="3" spans="1:20" ht="30" customHeight="1" x14ac:dyDescent="0.25">
      <c r="A3" s="638"/>
      <c r="B3" s="635"/>
      <c r="C3" s="635"/>
      <c r="D3" s="635"/>
      <c r="E3" s="644"/>
      <c r="F3" s="635"/>
      <c r="G3" s="635"/>
      <c r="H3" s="635"/>
      <c r="I3" s="635"/>
      <c r="J3" s="635"/>
      <c r="K3" s="641"/>
      <c r="L3" s="641"/>
      <c r="M3" s="641"/>
      <c r="N3" s="274">
        <v>20</v>
      </c>
      <c r="O3" s="274" t="s">
        <v>9</v>
      </c>
      <c r="P3" s="274">
        <v>90</v>
      </c>
      <c r="Q3" s="274" t="s">
        <v>526</v>
      </c>
      <c r="R3" s="635"/>
      <c r="S3" s="659"/>
    </row>
    <row r="4" spans="1:20" ht="30" customHeight="1" x14ac:dyDescent="0.25">
      <c r="A4" s="638"/>
      <c r="B4" s="635"/>
      <c r="C4" s="635"/>
      <c r="D4" s="635"/>
      <c r="E4" s="644"/>
      <c r="F4" s="635"/>
      <c r="G4" s="635"/>
      <c r="H4" s="635"/>
      <c r="I4" s="635"/>
      <c r="J4" s="635"/>
      <c r="K4" s="641"/>
      <c r="L4" s="641"/>
      <c r="M4" s="641"/>
      <c r="N4" s="274">
        <v>20</v>
      </c>
      <c r="O4" s="274" t="s">
        <v>254</v>
      </c>
      <c r="P4" s="274">
        <v>90</v>
      </c>
      <c r="Q4" s="274" t="s">
        <v>1339</v>
      </c>
      <c r="R4" s="635"/>
      <c r="S4" s="659"/>
    </row>
    <row r="5" spans="1:20" ht="30" customHeight="1" x14ac:dyDescent="0.25">
      <c r="A5" s="639"/>
      <c r="B5" s="636"/>
      <c r="C5" s="636"/>
      <c r="D5" s="636"/>
      <c r="E5" s="645"/>
      <c r="F5" s="636"/>
      <c r="G5" s="636"/>
      <c r="H5" s="636"/>
      <c r="I5" s="636"/>
      <c r="J5" s="636"/>
      <c r="K5" s="642"/>
      <c r="L5" s="642"/>
      <c r="M5" s="642"/>
      <c r="N5" s="274">
        <v>20</v>
      </c>
      <c r="O5" s="274" t="s">
        <v>253</v>
      </c>
      <c r="P5" s="274">
        <v>90</v>
      </c>
      <c r="Q5" s="274" t="s">
        <v>246</v>
      </c>
      <c r="R5" s="636"/>
      <c r="S5" s="660"/>
    </row>
    <row r="6" spans="1:20" ht="30" customHeight="1" x14ac:dyDescent="0.25">
      <c r="A6" s="637">
        <v>2</v>
      </c>
      <c r="B6" s="634" t="s">
        <v>539</v>
      </c>
      <c r="C6" s="634" t="s">
        <v>538</v>
      </c>
      <c r="D6" s="634" t="s">
        <v>415</v>
      </c>
      <c r="E6" s="643">
        <v>50955422</v>
      </c>
      <c r="F6" s="634" t="s">
        <v>416</v>
      </c>
      <c r="G6" s="634" t="s">
        <v>750</v>
      </c>
      <c r="H6" s="634" t="s">
        <v>10</v>
      </c>
      <c r="I6" s="634" t="s">
        <v>537</v>
      </c>
      <c r="J6" s="634">
        <v>3124502273</v>
      </c>
      <c r="K6" s="640">
        <v>43346</v>
      </c>
      <c r="L6" s="640">
        <v>43347</v>
      </c>
      <c r="M6" s="640">
        <v>43554</v>
      </c>
      <c r="N6" s="274">
        <v>12</v>
      </c>
      <c r="O6" s="274" t="s">
        <v>254</v>
      </c>
      <c r="P6" s="274">
        <v>72</v>
      </c>
      <c r="Q6" s="274" t="s">
        <v>494</v>
      </c>
      <c r="R6" s="634" t="s">
        <v>714</v>
      </c>
      <c r="S6" s="275"/>
    </row>
    <row r="7" spans="1:20" ht="30" customHeight="1" x14ac:dyDescent="0.25">
      <c r="A7" s="638"/>
      <c r="B7" s="635"/>
      <c r="C7" s="635"/>
      <c r="D7" s="635"/>
      <c r="E7" s="644"/>
      <c r="F7" s="635"/>
      <c r="G7" s="635"/>
      <c r="H7" s="635"/>
      <c r="I7" s="635"/>
      <c r="J7" s="635"/>
      <c r="K7" s="641"/>
      <c r="L7" s="641"/>
      <c r="M7" s="641"/>
      <c r="N7" s="274">
        <v>12</v>
      </c>
      <c r="O7" s="274" t="s">
        <v>4</v>
      </c>
      <c r="P7" s="274">
        <v>72</v>
      </c>
      <c r="Q7" s="274" t="s">
        <v>8</v>
      </c>
      <c r="R7" s="635"/>
      <c r="S7" s="275"/>
    </row>
    <row r="8" spans="1:20" ht="30" customHeight="1" x14ac:dyDescent="0.25">
      <c r="A8" s="639"/>
      <c r="B8" s="636"/>
      <c r="C8" s="636"/>
      <c r="D8" s="636"/>
      <c r="E8" s="645"/>
      <c r="F8" s="636"/>
      <c r="G8" s="636"/>
      <c r="H8" s="636"/>
      <c r="I8" s="636"/>
      <c r="J8" s="636"/>
      <c r="K8" s="642"/>
      <c r="L8" s="642"/>
      <c r="M8" s="642"/>
      <c r="N8" s="274">
        <v>12</v>
      </c>
      <c r="O8" s="274" t="s">
        <v>9</v>
      </c>
      <c r="P8" s="274">
        <v>72</v>
      </c>
      <c r="Q8" s="274" t="s">
        <v>526</v>
      </c>
      <c r="R8" s="636"/>
      <c r="S8" s="275"/>
    </row>
    <row r="9" spans="1:20" ht="30" customHeight="1" x14ac:dyDescent="0.25">
      <c r="A9" s="637">
        <v>3</v>
      </c>
      <c r="B9" s="634" t="s">
        <v>536</v>
      </c>
      <c r="C9" s="634" t="s">
        <v>535</v>
      </c>
      <c r="D9" s="634" t="s">
        <v>415</v>
      </c>
      <c r="E9" s="643">
        <v>45425572</v>
      </c>
      <c r="F9" s="634" t="s">
        <v>416</v>
      </c>
      <c r="G9" s="276"/>
      <c r="H9" s="634" t="s">
        <v>534</v>
      </c>
      <c r="I9" s="634" t="s">
        <v>533</v>
      </c>
      <c r="J9" s="634">
        <v>3205178764</v>
      </c>
      <c r="K9" s="640">
        <v>43376</v>
      </c>
      <c r="L9" s="640">
        <v>43377</v>
      </c>
      <c r="M9" s="640">
        <v>43403</v>
      </c>
      <c r="N9" s="274">
        <v>12</v>
      </c>
      <c r="O9" s="274" t="s">
        <v>4</v>
      </c>
      <c r="P9" s="274">
        <v>12</v>
      </c>
      <c r="Q9" s="274" t="s">
        <v>866</v>
      </c>
      <c r="R9" s="277"/>
      <c r="S9" s="634"/>
    </row>
    <row r="10" spans="1:20" ht="30" customHeight="1" x14ac:dyDescent="0.25">
      <c r="A10" s="639"/>
      <c r="B10" s="636"/>
      <c r="C10" s="636"/>
      <c r="D10" s="636"/>
      <c r="E10" s="645"/>
      <c r="F10" s="636"/>
      <c r="G10" s="278"/>
      <c r="H10" s="636"/>
      <c r="I10" s="636"/>
      <c r="J10" s="636"/>
      <c r="K10" s="642"/>
      <c r="L10" s="642"/>
      <c r="M10" s="642"/>
      <c r="N10" s="274">
        <v>12</v>
      </c>
      <c r="O10" s="274" t="s">
        <v>6</v>
      </c>
      <c r="P10" s="274">
        <v>12</v>
      </c>
      <c r="Q10" s="274" t="s">
        <v>866</v>
      </c>
      <c r="R10" s="277"/>
      <c r="S10" s="636"/>
      <c r="T10" s="16"/>
    </row>
    <row r="11" spans="1:20" s="18" customFormat="1" ht="30" customHeight="1" x14ac:dyDescent="0.25">
      <c r="A11" s="239"/>
      <c r="B11" s="267" t="s">
        <v>530</v>
      </c>
      <c r="C11" s="267" t="s">
        <v>529</v>
      </c>
      <c r="D11" s="267" t="s">
        <v>415</v>
      </c>
      <c r="E11" s="294">
        <v>1137975345</v>
      </c>
      <c r="F11" s="267" t="s">
        <v>416</v>
      </c>
      <c r="G11" s="267"/>
      <c r="H11" s="267" t="s">
        <v>528</v>
      </c>
      <c r="I11" s="267" t="s">
        <v>528</v>
      </c>
      <c r="J11" s="267">
        <v>3218279582</v>
      </c>
      <c r="K11" s="295">
        <v>43297</v>
      </c>
      <c r="L11" s="295"/>
      <c r="M11" s="295"/>
      <c r="N11" s="267"/>
      <c r="O11" s="267" t="s">
        <v>4</v>
      </c>
      <c r="P11" s="267">
        <v>20</v>
      </c>
      <c r="Q11" s="267"/>
      <c r="R11" s="267"/>
      <c r="S11" s="296" t="s">
        <v>893</v>
      </c>
      <c r="T11" s="17"/>
    </row>
    <row r="12" spans="1:20" ht="30" customHeight="1" x14ac:dyDescent="0.25">
      <c r="A12" s="637">
        <v>4</v>
      </c>
      <c r="B12" s="634" t="s">
        <v>525</v>
      </c>
      <c r="C12" s="634" t="s">
        <v>524</v>
      </c>
      <c r="D12" s="634" t="s">
        <v>415</v>
      </c>
      <c r="E12" s="643">
        <v>1063140920</v>
      </c>
      <c r="F12" s="634" t="s">
        <v>418</v>
      </c>
      <c r="G12" s="276"/>
      <c r="H12" s="634" t="s">
        <v>22</v>
      </c>
      <c r="I12" s="634" t="s">
        <v>523</v>
      </c>
      <c r="J12" s="634" t="s">
        <v>522</v>
      </c>
      <c r="K12" s="640">
        <v>43312</v>
      </c>
      <c r="L12" s="640">
        <v>43313</v>
      </c>
      <c r="M12" s="640">
        <v>43434</v>
      </c>
      <c r="N12" s="274">
        <v>20</v>
      </c>
      <c r="O12" s="274" t="s">
        <v>4</v>
      </c>
      <c r="P12" s="274">
        <v>80</v>
      </c>
      <c r="Q12" s="274" t="s">
        <v>854</v>
      </c>
      <c r="R12" s="634" t="s">
        <v>521</v>
      </c>
      <c r="S12" s="275"/>
    </row>
    <row r="13" spans="1:20" ht="30" customHeight="1" x14ac:dyDescent="0.25">
      <c r="A13" s="638"/>
      <c r="B13" s="635"/>
      <c r="C13" s="635"/>
      <c r="D13" s="635"/>
      <c r="E13" s="644"/>
      <c r="F13" s="635"/>
      <c r="G13" s="279"/>
      <c r="H13" s="635"/>
      <c r="I13" s="635"/>
      <c r="J13" s="635"/>
      <c r="K13" s="641"/>
      <c r="L13" s="641"/>
      <c r="M13" s="641"/>
      <c r="N13" s="274">
        <v>20</v>
      </c>
      <c r="O13" s="274" t="s">
        <v>9</v>
      </c>
      <c r="P13" s="274">
        <v>80</v>
      </c>
      <c r="Q13" s="274" t="s">
        <v>260</v>
      </c>
      <c r="R13" s="635"/>
      <c r="S13" s="275"/>
    </row>
    <row r="14" spans="1:20" ht="30" customHeight="1" x14ac:dyDescent="0.25">
      <c r="A14" s="639"/>
      <c r="B14" s="636"/>
      <c r="C14" s="636"/>
      <c r="D14" s="636"/>
      <c r="E14" s="645"/>
      <c r="F14" s="636"/>
      <c r="G14" s="278"/>
      <c r="H14" s="636"/>
      <c r="I14" s="636"/>
      <c r="J14" s="636"/>
      <c r="K14" s="642"/>
      <c r="L14" s="642"/>
      <c r="M14" s="642"/>
      <c r="N14" s="274">
        <v>12</v>
      </c>
      <c r="O14" s="274" t="s">
        <v>254</v>
      </c>
      <c r="P14" s="274">
        <v>48</v>
      </c>
      <c r="Q14" s="274" t="s">
        <v>520</v>
      </c>
      <c r="R14" s="636"/>
      <c r="S14" s="275"/>
    </row>
    <row r="15" spans="1:20" ht="30" customHeight="1" x14ac:dyDescent="0.25">
      <c r="A15" s="280">
        <v>5</v>
      </c>
      <c r="B15" s="274" t="s">
        <v>519</v>
      </c>
      <c r="C15" s="274" t="s">
        <v>518</v>
      </c>
      <c r="D15" s="274" t="s">
        <v>415</v>
      </c>
      <c r="E15" s="281">
        <v>25908304</v>
      </c>
      <c r="F15" s="274" t="s">
        <v>486</v>
      </c>
      <c r="G15" s="274" t="s">
        <v>755</v>
      </c>
      <c r="H15" s="274" t="s">
        <v>132</v>
      </c>
      <c r="I15" s="274" t="s">
        <v>517</v>
      </c>
      <c r="J15" s="274" t="s">
        <v>768</v>
      </c>
      <c r="K15" s="282">
        <v>43325</v>
      </c>
      <c r="L15" s="282">
        <v>43326</v>
      </c>
      <c r="M15" s="282">
        <v>43509</v>
      </c>
      <c r="N15" s="274">
        <v>16</v>
      </c>
      <c r="O15" s="274" t="s">
        <v>4</v>
      </c>
      <c r="P15" s="274">
        <v>96</v>
      </c>
      <c r="Q15" s="274" t="s">
        <v>516</v>
      </c>
      <c r="R15" s="274" t="s">
        <v>515</v>
      </c>
      <c r="S15" s="275"/>
    </row>
    <row r="16" spans="1:20" ht="30" customHeight="1" x14ac:dyDescent="0.25">
      <c r="A16" s="419">
        <v>6</v>
      </c>
      <c r="B16" s="417" t="s">
        <v>513</v>
      </c>
      <c r="C16" s="417" t="s">
        <v>512</v>
      </c>
      <c r="D16" s="417" t="s">
        <v>415</v>
      </c>
      <c r="E16" s="418">
        <v>26027649</v>
      </c>
      <c r="F16" s="417" t="s">
        <v>418</v>
      </c>
      <c r="G16" s="417" t="s">
        <v>780</v>
      </c>
      <c r="H16" s="417" t="s">
        <v>21</v>
      </c>
      <c r="I16" s="417" t="s">
        <v>511</v>
      </c>
      <c r="J16" s="417">
        <v>3145141596</v>
      </c>
      <c r="K16" s="518">
        <v>43335</v>
      </c>
      <c r="L16" s="518">
        <v>43418</v>
      </c>
      <c r="M16" s="518">
        <v>43434</v>
      </c>
      <c r="N16" s="267">
        <v>12</v>
      </c>
      <c r="O16" s="267" t="s">
        <v>4</v>
      </c>
      <c r="P16" s="267">
        <v>12</v>
      </c>
      <c r="Q16" s="267" t="s">
        <v>7</v>
      </c>
      <c r="R16" s="472" t="s">
        <v>1205</v>
      </c>
      <c r="S16" s="416"/>
    </row>
    <row r="17" spans="1:19" ht="30" customHeight="1" x14ac:dyDescent="0.25">
      <c r="A17" s="637">
        <v>7</v>
      </c>
      <c r="B17" s="634" t="s">
        <v>509</v>
      </c>
      <c r="C17" s="634" t="s">
        <v>508</v>
      </c>
      <c r="D17" s="634" t="s">
        <v>415</v>
      </c>
      <c r="E17" s="643">
        <v>1546849</v>
      </c>
      <c r="F17" s="634" t="s">
        <v>418</v>
      </c>
      <c r="G17" s="634"/>
      <c r="H17" s="634" t="s">
        <v>10</v>
      </c>
      <c r="I17" s="634" t="s">
        <v>507</v>
      </c>
      <c r="J17" s="634">
        <v>3187664648</v>
      </c>
      <c r="K17" s="640">
        <v>43335</v>
      </c>
      <c r="L17" s="640">
        <v>43344</v>
      </c>
      <c r="M17" s="640">
        <v>43434</v>
      </c>
      <c r="N17" s="274">
        <v>40</v>
      </c>
      <c r="O17" s="274" t="s">
        <v>4</v>
      </c>
      <c r="P17" s="274">
        <v>120</v>
      </c>
      <c r="Q17" s="274" t="s">
        <v>8</v>
      </c>
      <c r="R17" s="274" t="s">
        <v>506</v>
      </c>
      <c r="S17" s="656" t="s">
        <v>1310</v>
      </c>
    </row>
    <row r="18" spans="1:19" ht="30" customHeight="1" x14ac:dyDescent="0.25">
      <c r="A18" s="638"/>
      <c r="B18" s="635"/>
      <c r="C18" s="635"/>
      <c r="D18" s="635"/>
      <c r="E18" s="644"/>
      <c r="F18" s="635"/>
      <c r="G18" s="635"/>
      <c r="H18" s="635"/>
      <c r="I18" s="635"/>
      <c r="J18" s="635"/>
      <c r="K18" s="642"/>
      <c r="L18" s="642"/>
      <c r="M18" s="642"/>
      <c r="N18" s="274">
        <v>60</v>
      </c>
      <c r="O18" s="274" t="s">
        <v>6</v>
      </c>
      <c r="P18" s="274">
        <v>180</v>
      </c>
      <c r="Q18" s="274" t="s">
        <v>8</v>
      </c>
      <c r="R18" s="274" t="s">
        <v>505</v>
      </c>
      <c r="S18" s="657"/>
    </row>
    <row r="19" spans="1:19" ht="30" customHeight="1" x14ac:dyDescent="0.25">
      <c r="A19" s="639"/>
      <c r="B19" s="636"/>
      <c r="C19" s="636"/>
      <c r="D19" s="636"/>
      <c r="E19" s="645"/>
      <c r="F19" s="636"/>
      <c r="G19" s="636"/>
      <c r="H19" s="636"/>
      <c r="I19" s="636"/>
      <c r="J19" s="636"/>
      <c r="K19" s="517">
        <v>43402</v>
      </c>
      <c r="L19" s="517">
        <v>43405</v>
      </c>
      <c r="M19" s="517">
        <v>43434</v>
      </c>
      <c r="N19" s="274">
        <v>12</v>
      </c>
      <c r="O19" s="274" t="s">
        <v>254</v>
      </c>
      <c r="P19" s="274">
        <v>12</v>
      </c>
      <c r="Q19" s="274" t="s">
        <v>494</v>
      </c>
      <c r="R19" s="274"/>
      <c r="S19" s="283"/>
    </row>
    <row r="20" spans="1:19" ht="30" customHeight="1" x14ac:dyDescent="0.25">
      <c r="A20" s="280">
        <v>8</v>
      </c>
      <c r="B20" s="274" t="s">
        <v>504</v>
      </c>
      <c r="C20" s="274" t="s">
        <v>503</v>
      </c>
      <c r="D20" s="274" t="s">
        <v>453</v>
      </c>
      <c r="E20" s="281">
        <v>1138028726</v>
      </c>
      <c r="F20" s="274" t="s">
        <v>454</v>
      </c>
      <c r="G20" s="274"/>
      <c r="H20" s="274" t="s">
        <v>16</v>
      </c>
      <c r="I20" s="274" t="s">
        <v>502</v>
      </c>
      <c r="J20" s="274">
        <v>3003446207</v>
      </c>
      <c r="K20" s="282">
        <v>43336</v>
      </c>
      <c r="L20" s="282">
        <v>43339</v>
      </c>
      <c r="M20" s="282">
        <v>43502</v>
      </c>
      <c r="N20" s="274">
        <v>48</v>
      </c>
      <c r="O20" s="274" t="s">
        <v>9</v>
      </c>
      <c r="P20" s="274">
        <v>48</v>
      </c>
      <c r="Q20" s="274" t="s">
        <v>501</v>
      </c>
      <c r="R20" s="274" t="s">
        <v>500</v>
      </c>
      <c r="S20" s="275" t="s">
        <v>499</v>
      </c>
    </row>
    <row r="21" spans="1:19" ht="30" customHeight="1" x14ac:dyDescent="0.25">
      <c r="A21" s="280">
        <v>9</v>
      </c>
      <c r="B21" s="274" t="s">
        <v>498</v>
      </c>
      <c r="C21" s="274" t="s">
        <v>497</v>
      </c>
      <c r="D21" s="274" t="s">
        <v>415</v>
      </c>
      <c r="E21" s="281">
        <v>25975119</v>
      </c>
      <c r="F21" s="274" t="s">
        <v>418</v>
      </c>
      <c r="G21" s="274"/>
      <c r="H21" s="274" t="s">
        <v>22</v>
      </c>
      <c r="I21" s="274" t="s">
        <v>496</v>
      </c>
      <c r="J21" s="274" t="s">
        <v>601</v>
      </c>
      <c r="K21" s="282">
        <v>43339</v>
      </c>
      <c r="L21" s="282">
        <v>43340</v>
      </c>
      <c r="M21" s="282">
        <v>43431</v>
      </c>
      <c r="N21" s="274">
        <v>30</v>
      </c>
      <c r="O21" s="274" t="s">
        <v>4</v>
      </c>
      <c r="P21" s="274">
        <v>90</v>
      </c>
      <c r="Q21" s="274" t="s">
        <v>854</v>
      </c>
      <c r="R21" s="274" t="s">
        <v>495</v>
      </c>
      <c r="S21" s="275"/>
    </row>
    <row r="22" spans="1:19" ht="30" customHeight="1" x14ac:dyDescent="0.25">
      <c r="A22" s="280">
        <v>10</v>
      </c>
      <c r="B22" s="276" t="s">
        <v>493</v>
      </c>
      <c r="C22" s="276" t="s">
        <v>492</v>
      </c>
      <c r="D22" s="276" t="s">
        <v>415</v>
      </c>
      <c r="E22" s="284">
        <v>25756969</v>
      </c>
      <c r="F22" s="276" t="s">
        <v>416</v>
      </c>
      <c r="G22" s="276" t="s">
        <v>752</v>
      </c>
      <c r="H22" s="276" t="s">
        <v>10</v>
      </c>
      <c r="I22" s="276" t="s">
        <v>491</v>
      </c>
      <c r="J22" s="276" t="s">
        <v>490</v>
      </c>
      <c r="K22" s="282">
        <v>43340</v>
      </c>
      <c r="L22" s="282">
        <v>43342</v>
      </c>
      <c r="M22" s="282">
        <v>43433</v>
      </c>
      <c r="N22" s="274">
        <v>15</v>
      </c>
      <c r="O22" s="274" t="s">
        <v>4</v>
      </c>
      <c r="P22" s="274">
        <v>45</v>
      </c>
      <c r="Q22" s="274" t="s">
        <v>11</v>
      </c>
      <c r="R22" s="274" t="s">
        <v>489</v>
      </c>
      <c r="S22" s="471" t="s">
        <v>1285</v>
      </c>
    </row>
    <row r="23" spans="1:19" ht="30" customHeight="1" x14ac:dyDescent="0.25">
      <c r="A23" s="280">
        <v>11</v>
      </c>
      <c r="B23" s="274" t="s">
        <v>660</v>
      </c>
      <c r="C23" s="274" t="s">
        <v>661</v>
      </c>
      <c r="D23" s="274" t="s">
        <v>415</v>
      </c>
      <c r="E23" s="281">
        <v>26116810</v>
      </c>
      <c r="F23" s="274" t="s">
        <v>486</v>
      </c>
      <c r="G23" s="274" t="s">
        <v>782</v>
      </c>
      <c r="H23" s="274" t="s">
        <v>142</v>
      </c>
      <c r="I23" s="274"/>
      <c r="J23" s="274"/>
      <c r="K23" s="282">
        <v>43346</v>
      </c>
      <c r="L23" s="282">
        <v>43347</v>
      </c>
      <c r="M23" s="282">
        <v>43434</v>
      </c>
      <c r="N23" s="274">
        <v>12</v>
      </c>
      <c r="O23" s="274" t="s">
        <v>4</v>
      </c>
      <c r="P23" s="274">
        <v>36</v>
      </c>
      <c r="Q23" s="274" t="s">
        <v>401</v>
      </c>
      <c r="R23" s="274" t="s">
        <v>662</v>
      </c>
      <c r="S23" s="275"/>
    </row>
    <row r="24" spans="1:19" ht="30" customHeight="1" x14ac:dyDescent="0.25">
      <c r="A24" s="280">
        <v>12</v>
      </c>
      <c r="B24" s="274" t="s">
        <v>176</v>
      </c>
      <c r="C24" s="274" t="s">
        <v>667</v>
      </c>
      <c r="D24" s="274" t="s">
        <v>415</v>
      </c>
      <c r="E24" s="281">
        <v>1003288014</v>
      </c>
      <c r="F24" s="274" t="s">
        <v>418</v>
      </c>
      <c r="G24" s="274" t="s">
        <v>761</v>
      </c>
      <c r="H24" s="274" t="s">
        <v>668</v>
      </c>
      <c r="I24" s="285" t="s">
        <v>669</v>
      </c>
      <c r="J24" s="274" t="s">
        <v>670</v>
      </c>
      <c r="K24" s="282">
        <v>43427</v>
      </c>
      <c r="L24" s="282">
        <v>43428</v>
      </c>
      <c r="M24" s="282">
        <v>43519</v>
      </c>
      <c r="N24" s="274">
        <v>60</v>
      </c>
      <c r="O24" s="274" t="s">
        <v>4</v>
      </c>
      <c r="P24" s="274">
        <v>240</v>
      </c>
      <c r="Q24" s="274" t="s">
        <v>671</v>
      </c>
      <c r="R24" s="274" t="s">
        <v>1245</v>
      </c>
      <c r="S24" s="482" t="s">
        <v>1246</v>
      </c>
    </row>
    <row r="25" spans="1:19" ht="30" customHeight="1" x14ac:dyDescent="0.25">
      <c r="A25" s="665">
        <v>13</v>
      </c>
      <c r="B25" s="661" t="s">
        <v>514</v>
      </c>
      <c r="C25" s="661" t="s">
        <v>686</v>
      </c>
      <c r="D25" s="661" t="s">
        <v>415</v>
      </c>
      <c r="E25" s="667">
        <v>1564567</v>
      </c>
      <c r="F25" s="661" t="s">
        <v>418</v>
      </c>
      <c r="G25" s="661" t="s">
        <v>730</v>
      </c>
      <c r="H25" s="661" t="s">
        <v>274</v>
      </c>
      <c r="I25" s="661" t="s">
        <v>687</v>
      </c>
      <c r="J25" s="661">
        <v>3005024497</v>
      </c>
      <c r="K25" s="663">
        <v>43382</v>
      </c>
      <c r="L25" s="663">
        <v>43412</v>
      </c>
      <c r="M25" s="663">
        <v>43441</v>
      </c>
      <c r="N25" s="267">
        <v>12</v>
      </c>
      <c r="O25" s="267" t="s">
        <v>4</v>
      </c>
      <c r="P25" s="267">
        <v>12</v>
      </c>
      <c r="Q25" s="267" t="s">
        <v>56</v>
      </c>
      <c r="R25" s="646" t="s">
        <v>1331</v>
      </c>
      <c r="S25" s="471" t="s">
        <v>1332</v>
      </c>
    </row>
    <row r="26" spans="1:19" ht="30" customHeight="1" x14ac:dyDescent="0.25">
      <c r="A26" s="666"/>
      <c r="B26" s="662"/>
      <c r="C26" s="662"/>
      <c r="D26" s="662"/>
      <c r="E26" s="668"/>
      <c r="F26" s="662"/>
      <c r="G26" s="662"/>
      <c r="H26" s="662"/>
      <c r="I26" s="662"/>
      <c r="J26" s="662"/>
      <c r="K26" s="664"/>
      <c r="L26" s="664"/>
      <c r="M26" s="664"/>
      <c r="N26" s="267">
        <v>12</v>
      </c>
      <c r="O26" s="267" t="s">
        <v>254</v>
      </c>
      <c r="P26" s="267">
        <v>12</v>
      </c>
      <c r="Q26" s="267" t="s">
        <v>154</v>
      </c>
      <c r="R26" s="647"/>
      <c r="S26" s="471"/>
    </row>
    <row r="27" spans="1:19" ht="42" customHeight="1" x14ac:dyDescent="0.25">
      <c r="A27" s="280">
        <v>14</v>
      </c>
      <c r="B27" s="274" t="s">
        <v>728</v>
      </c>
      <c r="C27" s="274" t="s">
        <v>729</v>
      </c>
      <c r="D27" s="274" t="s">
        <v>415</v>
      </c>
      <c r="E27" s="281">
        <v>50847672</v>
      </c>
      <c r="F27" s="274" t="s">
        <v>418</v>
      </c>
      <c r="G27" s="274" t="s">
        <v>730</v>
      </c>
      <c r="H27" s="274" t="s">
        <v>10</v>
      </c>
      <c r="I27" s="286" t="s">
        <v>731</v>
      </c>
      <c r="J27" s="274" t="s">
        <v>732</v>
      </c>
      <c r="K27" s="282">
        <v>43363</v>
      </c>
      <c r="L27" s="282">
        <v>43364</v>
      </c>
      <c r="M27" s="282">
        <v>43485</v>
      </c>
      <c r="N27" s="274">
        <v>20</v>
      </c>
      <c r="O27" s="274" t="s">
        <v>254</v>
      </c>
      <c r="P27" s="274">
        <v>80</v>
      </c>
      <c r="Q27" s="274" t="s">
        <v>494</v>
      </c>
      <c r="R27" s="274" t="s">
        <v>733</v>
      </c>
      <c r="S27" s="275"/>
    </row>
    <row r="28" spans="1:19" ht="30" customHeight="1" x14ac:dyDescent="0.25">
      <c r="A28" s="280">
        <v>15</v>
      </c>
      <c r="B28" s="274" t="s">
        <v>734</v>
      </c>
      <c r="C28" s="274" t="s">
        <v>735</v>
      </c>
      <c r="D28" s="274" t="s">
        <v>415</v>
      </c>
      <c r="E28" s="281">
        <v>15017839</v>
      </c>
      <c r="F28" s="274" t="s">
        <v>418</v>
      </c>
      <c r="G28" s="274" t="s">
        <v>736</v>
      </c>
      <c r="H28" s="274" t="s">
        <v>22</v>
      </c>
      <c r="I28" s="274" t="s">
        <v>737</v>
      </c>
      <c r="J28" s="274" t="s">
        <v>738</v>
      </c>
      <c r="K28" s="282">
        <v>43364</v>
      </c>
      <c r="L28" s="282">
        <v>43367</v>
      </c>
      <c r="M28" s="282">
        <v>43427</v>
      </c>
      <c r="N28" s="274">
        <v>20</v>
      </c>
      <c r="O28" s="274" t="s">
        <v>4</v>
      </c>
      <c r="P28" s="274">
        <v>40</v>
      </c>
      <c r="Q28" s="274" t="s">
        <v>854</v>
      </c>
      <c r="R28" s="274" t="s">
        <v>739</v>
      </c>
      <c r="S28" s="275"/>
    </row>
    <row r="29" spans="1:19" ht="30" customHeight="1" x14ac:dyDescent="0.25">
      <c r="A29" s="280">
        <v>16</v>
      </c>
      <c r="B29" s="274" t="s">
        <v>758</v>
      </c>
      <c r="C29" s="274" t="s">
        <v>759</v>
      </c>
      <c r="D29" s="274" t="s">
        <v>415</v>
      </c>
      <c r="E29" s="281">
        <v>34970856</v>
      </c>
      <c r="F29" s="274" t="s">
        <v>416</v>
      </c>
      <c r="G29" s="274" t="s">
        <v>755</v>
      </c>
      <c r="H29" s="274" t="s">
        <v>10</v>
      </c>
      <c r="I29" s="274" t="s">
        <v>760</v>
      </c>
      <c r="J29" s="274">
        <v>3104284432</v>
      </c>
      <c r="K29" s="282">
        <v>43412</v>
      </c>
      <c r="L29" s="282">
        <v>43417</v>
      </c>
      <c r="M29" s="282">
        <v>43434</v>
      </c>
      <c r="N29" s="274">
        <v>15</v>
      </c>
      <c r="O29" s="274" t="s">
        <v>4</v>
      </c>
      <c r="P29" s="274">
        <v>15</v>
      </c>
      <c r="Q29" s="274" t="s">
        <v>8</v>
      </c>
      <c r="R29" s="287" t="s">
        <v>1162</v>
      </c>
      <c r="S29" s="275"/>
    </row>
    <row r="30" spans="1:19" ht="30" customHeight="1" x14ac:dyDescent="0.25">
      <c r="A30" s="637">
        <v>17</v>
      </c>
      <c r="B30" s="634" t="s">
        <v>839</v>
      </c>
      <c r="C30" s="634" t="s">
        <v>840</v>
      </c>
      <c r="D30" s="634" t="s">
        <v>415</v>
      </c>
      <c r="E30" s="643">
        <v>26022651</v>
      </c>
      <c r="F30" s="634" t="s">
        <v>440</v>
      </c>
      <c r="G30" s="634" t="s">
        <v>754</v>
      </c>
      <c r="H30" s="634" t="s">
        <v>21</v>
      </c>
      <c r="I30" s="634" t="s">
        <v>841</v>
      </c>
      <c r="J30" s="634" t="s">
        <v>842</v>
      </c>
      <c r="K30" s="640">
        <v>43372</v>
      </c>
      <c r="L30" s="640">
        <v>43374</v>
      </c>
      <c r="M30" s="640">
        <v>43496</v>
      </c>
      <c r="N30" s="274">
        <v>12</v>
      </c>
      <c r="O30" s="274" t="s">
        <v>4</v>
      </c>
      <c r="P30" s="274">
        <v>48</v>
      </c>
      <c r="Q30" s="274" t="s">
        <v>7</v>
      </c>
      <c r="R30" s="634" t="s">
        <v>1129</v>
      </c>
      <c r="S30" s="275"/>
    </row>
    <row r="31" spans="1:19" ht="30" customHeight="1" x14ac:dyDescent="0.25">
      <c r="A31" s="639"/>
      <c r="B31" s="636"/>
      <c r="C31" s="636"/>
      <c r="D31" s="636"/>
      <c r="E31" s="645"/>
      <c r="F31" s="636"/>
      <c r="G31" s="636"/>
      <c r="H31" s="636"/>
      <c r="I31" s="636"/>
      <c r="J31" s="636"/>
      <c r="K31" s="642"/>
      <c r="L31" s="642"/>
      <c r="M31" s="642"/>
      <c r="N31" s="274">
        <v>12</v>
      </c>
      <c r="O31" s="274" t="s">
        <v>254</v>
      </c>
      <c r="P31" s="274">
        <v>48</v>
      </c>
      <c r="Q31" s="274" t="s">
        <v>1109</v>
      </c>
      <c r="R31" s="636"/>
      <c r="S31" s="275"/>
    </row>
    <row r="32" spans="1:19" ht="30" customHeight="1" x14ac:dyDescent="0.25">
      <c r="A32" s="280">
        <v>18</v>
      </c>
      <c r="B32" s="274" t="s">
        <v>845</v>
      </c>
      <c r="C32" s="274" t="s">
        <v>846</v>
      </c>
      <c r="D32" s="274" t="s">
        <v>415</v>
      </c>
      <c r="E32" s="281">
        <v>30625013</v>
      </c>
      <c r="F32" s="274" t="s">
        <v>486</v>
      </c>
      <c r="G32" s="274" t="s">
        <v>755</v>
      </c>
      <c r="H32" s="274" t="s">
        <v>251</v>
      </c>
      <c r="I32" s="274" t="s">
        <v>847</v>
      </c>
      <c r="J32" s="274" t="s">
        <v>848</v>
      </c>
      <c r="K32" s="282">
        <v>43374</v>
      </c>
      <c r="L32" s="282">
        <v>43375</v>
      </c>
      <c r="M32" s="282">
        <v>43464</v>
      </c>
      <c r="N32" s="274">
        <v>20</v>
      </c>
      <c r="O32" s="274" t="s">
        <v>4</v>
      </c>
      <c r="P32" s="274">
        <v>60</v>
      </c>
      <c r="Q32" s="274" t="s">
        <v>245</v>
      </c>
      <c r="R32" s="274" t="s">
        <v>849</v>
      </c>
      <c r="S32" s="275"/>
    </row>
    <row r="33" spans="1:19" ht="30" customHeight="1" x14ac:dyDescent="0.25">
      <c r="A33" s="637">
        <v>19</v>
      </c>
      <c r="B33" s="634" t="s">
        <v>850</v>
      </c>
      <c r="C33" s="634" t="s">
        <v>851</v>
      </c>
      <c r="D33" s="634" t="s">
        <v>449</v>
      </c>
      <c r="E33" s="643">
        <v>1003097653</v>
      </c>
      <c r="F33" s="634" t="s">
        <v>486</v>
      </c>
      <c r="G33" s="634" t="s">
        <v>785</v>
      </c>
      <c r="H33" s="634" t="s">
        <v>22</v>
      </c>
      <c r="I33" s="634" t="s">
        <v>852</v>
      </c>
      <c r="J33" s="634" t="s">
        <v>853</v>
      </c>
      <c r="K33" s="640">
        <v>43374</v>
      </c>
      <c r="L33" s="640">
        <v>43375</v>
      </c>
      <c r="M33" s="640">
        <v>43464</v>
      </c>
      <c r="N33" s="274">
        <v>8</v>
      </c>
      <c r="O33" s="274" t="s">
        <v>4</v>
      </c>
      <c r="P33" s="274">
        <v>24</v>
      </c>
      <c r="Q33" s="274" t="s">
        <v>854</v>
      </c>
      <c r="R33" s="634" t="s">
        <v>855</v>
      </c>
      <c r="S33" s="275"/>
    </row>
    <row r="34" spans="1:19" ht="30" customHeight="1" x14ac:dyDescent="0.25">
      <c r="A34" s="638"/>
      <c r="B34" s="635"/>
      <c r="C34" s="635"/>
      <c r="D34" s="635"/>
      <c r="E34" s="644"/>
      <c r="F34" s="635"/>
      <c r="G34" s="635"/>
      <c r="H34" s="635"/>
      <c r="I34" s="635"/>
      <c r="J34" s="635"/>
      <c r="K34" s="641"/>
      <c r="L34" s="641"/>
      <c r="M34" s="641"/>
      <c r="N34" s="274">
        <v>8</v>
      </c>
      <c r="O34" s="274" t="s">
        <v>254</v>
      </c>
      <c r="P34" s="274">
        <v>24</v>
      </c>
      <c r="Q34" s="274" t="s">
        <v>520</v>
      </c>
      <c r="R34" s="635"/>
      <c r="S34" s="275"/>
    </row>
    <row r="35" spans="1:19" ht="30" customHeight="1" x14ac:dyDescent="0.25">
      <c r="A35" s="639"/>
      <c r="B35" s="636"/>
      <c r="C35" s="636"/>
      <c r="D35" s="636"/>
      <c r="E35" s="645"/>
      <c r="F35" s="636"/>
      <c r="G35" s="636"/>
      <c r="H35" s="636"/>
      <c r="I35" s="636"/>
      <c r="J35" s="636"/>
      <c r="K35" s="642"/>
      <c r="L35" s="642"/>
      <c r="M35" s="642"/>
      <c r="N35" s="274">
        <v>8</v>
      </c>
      <c r="O35" s="274" t="s">
        <v>9</v>
      </c>
      <c r="P35" s="274">
        <v>24</v>
      </c>
      <c r="Q35" s="274" t="s">
        <v>260</v>
      </c>
      <c r="R35" s="636"/>
      <c r="S35" s="275"/>
    </row>
    <row r="36" spans="1:19" ht="30" customHeight="1" x14ac:dyDescent="0.25">
      <c r="A36" s="637">
        <v>20</v>
      </c>
      <c r="B36" s="634" t="s">
        <v>856</v>
      </c>
      <c r="C36" s="634" t="s">
        <v>857</v>
      </c>
      <c r="D36" s="634" t="s">
        <v>415</v>
      </c>
      <c r="E36" s="643">
        <v>50847871</v>
      </c>
      <c r="F36" s="634" t="s">
        <v>418</v>
      </c>
      <c r="G36" s="634" t="s">
        <v>858</v>
      </c>
      <c r="H36" s="634" t="s">
        <v>10</v>
      </c>
      <c r="I36" s="634" t="s">
        <v>859</v>
      </c>
      <c r="J36" s="634">
        <v>3003961992</v>
      </c>
      <c r="K36" s="640">
        <v>43374</v>
      </c>
      <c r="L36" s="640">
        <v>43375</v>
      </c>
      <c r="M36" s="640">
        <v>43554</v>
      </c>
      <c r="N36" s="274">
        <v>20</v>
      </c>
      <c r="O36" s="274" t="s">
        <v>4</v>
      </c>
      <c r="P36" s="274">
        <v>120</v>
      </c>
      <c r="Q36" s="274" t="s">
        <v>8</v>
      </c>
      <c r="R36" s="634" t="s">
        <v>860</v>
      </c>
      <c r="S36" s="275"/>
    </row>
    <row r="37" spans="1:19" ht="30" customHeight="1" x14ac:dyDescent="0.25">
      <c r="A37" s="638"/>
      <c r="B37" s="635"/>
      <c r="C37" s="635"/>
      <c r="D37" s="635"/>
      <c r="E37" s="644"/>
      <c r="F37" s="635"/>
      <c r="G37" s="635"/>
      <c r="H37" s="635"/>
      <c r="I37" s="635"/>
      <c r="J37" s="635"/>
      <c r="K37" s="641"/>
      <c r="L37" s="641"/>
      <c r="M37" s="641"/>
      <c r="N37" s="274">
        <v>20</v>
      </c>
      <c r="O37" s="274" t="s">
        <v>254</v>
      </c>
      <c r="P37" s="274">
        <v>120</v>
      </c>
      <c r="Q37" s="274" t="s">
        <v>494</v>
      </c>
      <c r="R37" s="635"/>
      <c r="S37" s="275"/>
    </row>
    <row r="38" spans="1:19" ht="30" customHeight="1" x14ac:dyDescent="0.25">
      <c r="A38" s="639"/>
      <c r="B38" s="636"/>
      <c r="C38" s="636"/>
      <c r="D38" s="636"/>
      <c r="E38" s="645"/>
      <c r="F38" s="636"/>
      <c r="G38" s="636"/>
      <c r="H38" s="636"/>
      <c r="I38" s="636"/>
      <c r="J38" s="636"/>
      <c r="K38" s="642"/>
      <c r="L38" s="642"/>
      <c r="M38" s="642"/>
      <c r="N38" s="274">
        <v>20</v>
      </c>
      <c r="O38" s="274" t="s">
        <v>9</v>
      </c>
      <c r="P38" s="274">
        <v>120</v>
      </c>
      <c r="Q38" s="274" t="s">
        <v>526</v>
      </c>
      <c r="R38" s="636"/>
      <c r="S38" s="275"/>
    </row>
    <row r="39" spans="1:19" ht="30" customHeight="1" x14ac:dyDescent="0.25">
      <c r="A39" s="637">
        <v>21</v>
      </c>
      <c r="B39" s="634" t="s">
        <v>874</v>
      </c>
      <c r="C39" s="634" t="s">
        <v>875</v>
      </c>
      <c r="D39" s="634"/>
      <c r="E39" s="643"/>
      <c r="F39" s="634" t="s">
        <v>416</v>
      </c>
      <c r="G39" s="634"/>
      <c r="H39" s="634" t="s">
        <v>10</v>
      </c>
      <c r="I39" s="634" t="s">
        <v>876</v>
      </c>
      <c r="J39" s="634" t="s">
        <v>877</v>
      </c>
      <c r="K39" s="640">
        <v>43376</v>
      </c>
      <c r="L39" s="640">
        <v>43377</v>
      </c>
      <c r="M39" s="640">
        <v>43495</v>
      </c>
      <c r="N39" s="274">
        <v>15</v>
      </c>
      <c r="O39" s="274" t="s">
        <v>4</v>
      </c>
      <c r="P39" s="274">
        <v>60</v>
      </c>
      <c r="Q39" s="274" t="s">
        <v>8</v>
      </c>
      <c r="R39" s="634" t="s">
        <v>1131</v>
      </c>
      <c r="S39" s="275"/>
    </row>
    <row r="40" spans="1:19" ht="30" customHeight="1" x14ac:dyDescent="0.25">
      <c r="A40" s="638"/>
      <c r="B40" s="635"/>
      <c r="C40" s="635"/>
      <c r="D40" s="635"/>
      <c r="E40" s="644"/>
      <c r="F40" s="635"/>
      <c r="G40" s="635"/>
      <c r="H40" s="635"/>
      <c r="I40" s="635"/>
      <c r="J40" s="635"/>
      <c r="K40" s="641"/>
      <c r="L40" s="641"/>
      <c r="M40" s="641"/>
      <c r="N40" s="274">
        <v>15</v>
      </c>
      <c r="O40" s="274" t="s">
        <v>254</v>
      </c>
      <c r="P40" s="274">
        <v>60</v>
      </c>
      <c r="Q40" s="274" t="s">
        <v>494</v>
      </c>
      <c r="R40" s="635"/>
      <c r="S40" s="275"/>
    </row>
    <row r="41" spans="1:19" ht="30" customHeight="1" x14ac:dyDescent="0.25">
      <c r="A41" s="639"/>
      <c r="B41" s="636"/>
      <c r="C41" s="636"/>
      <c r="D41" s="636"/>
      <c r="E41" s="645"/>
      <c r="F41" s="636"/>
      <c r="G41" s="636"/>
      <c r="H41" s="636"/>
      <c r="I41" s="636"/>
      <c r="J41" s="636"/>
      <c r="K41" s="642"/>
      <c r="L41" s="642"/>
      <c r="M41" s="642"/>
      <c r="N41" s="274">
        <v>15</v>
      </c>
      <c r="O41" s="274" t="s">
        <v>9</v>
      </c>
      <c r="P41" s="274">
        <v>60</v>
      </c>
      <c r="Q41" s="274" t="s">
        <v>526</v>
      </c>
      <c r="R41" s="636"/>
      <c r="S41" s="275"/>
    </row>
    <row r="42" spans="1:19" ht="30" customHeight="1" x14ac:dyDescent="0.25">
      <c r="A42" s="637">
        <v>22</v>
      </c>
      <c r="B42" s="650" t="s">
        <v>913</v>
      </c>
      <c r="C42" s="650" t="s">
        <v>914</v>
      </c>
      <c r="D42" s="650" t="s">
        <v>415</v>
      </c>
      <c r="E42" s="652">
        <v>9305275</v>
      </c>
      <c r="F42" s="650" t="s">
        <v>416</v>
      </c>
      <c r="G42" s="650" t="s">
        <v>751</v>
      </c>
      <c r="H42" s="650" t="s">
        <v>10</v>
      </c>
      <c r="I42" s="650" t="s">
        <v>915</v>
      </c>
      <c r="J42" s="654">
        <v>3113599433</v>
      </c>
      <c r="K42" s="648">
        <v>43417</v>
      </c>
      <c r="L42" s="648">
        <v>43418</v>
      </c>
      <c r="M42" s="648">
        <v>43447</v>
      </c>
      <c r="N42" s="288">
        <v>20</v>
      </c>
      <c r="O42" s="288" t="s">
        <v>4</v>
      </c>
      <c r="P42" s="288">
        <v>10</v>
      </c>
      <c r="Q42" s="288" t="s">
        <v>8</v>
      </c>
      <c r="R42" s="274"/>
      <c r="S42" s="275" t="s">
        <v>1167</v>
      </c>
    </row>
    <row r="43" spans="1:19" ht="30" customHeight="1" x14ac:dyDescent="0.25">
      <c r="A43" s="639"/>
      <c r="B43" s="651"/>
      <c r="C43" s="651"/>
      <c r="D43" s="651"/>
      <c r="E43" s="653"/>
      <c r="F43" s="651"/>
      <c r="G43" s="651"/>
      <c r="H43" s="651"/>
      <c r="I43" s="651"/>
      <c r="J43" s="655"/>
      <c r="K43" s="649"/>
      <c r="L43" s="649"/>
      <c r="M43" s="649"/>
      <c r="N43" s="288">
        <v>12</v>
      </c>
      <c r="O43" s="288" t="s">
        <v>254</v>
      </c>
      <c r="P43" s="288">
        <v>12</v>
      </c>
      <c r="Q43" s="288" t="s">
        <v>494</v>
      </c>
      <c r="R43" s="274"/>
      <c r="S43" s="275"/>
    </row>
    <row r="44" spans="1:19" ht="30" customHeight="1" x14ac:dyDescent="0.25">
      <c r="A44" s="280">
        <v>23</v>
      </c>
      <c r="B44" s="274" t="s">
        <v>919</v>
      </c>
      <c r="C44" s="274" t="s">
        <v>920</v>
      </c>
      <c r="D44" s="274" t="s">
        <v>415</v>
      </c>
      <c r="E44" s="281">
        <v>78029710</v>
      </c>
      <c r="F44" s="274" t="s">
        <v>418</v>
      </c>
      <c r="G44" s="274" t="s">
        <v>921</v>
      </c>
      <c r="H44" s="274" t="s">
        <v>115</v>
      </c>
      <c r="I44" s="274"/>
      <c r="J44" s="274" t="s">
        <v>922</v>
      </c>
      <c r="K44" s="282">
        <v>43384</v>
      </c>
      <c r="L44" s="282">
        <v>43385</v>
      </c>
      <c r="M44" s="282">
        <v>43201</v>
      </c>
      <c r="N44" s="274">
        <v>20</v>
      </c>
      <c r="O44" s="274" t="s">
        <v>4</v>
      </c>
      <c r="P44" s="274">
        <v>120</v>
      </c>
      <c r="Q44" s="274" t="s">
        <v>41</v>
      </c>
      <c r="R44" s="274" t="s">
        <v>923</v>
      </c>
      <c r="S44" s="274">
        <v>160000</v>
      </c>
    </row>
    <row r="45" spans="1:19" ht="30" customHeight="1" x14ac:dyDescent="0.25">
      <c r="A45" s="280">
        <v>24</v>
      </c>
      <c r="B45" s="274" t="s">
        <v>227</v>
      </c>
      <c r="C45" s="274" t="s">
        <v>928</v>
      </c>
      <c r="D45" s="274" t="s">
        <v>415</v>
      </c>
      <c r="E45" s="281">
        <v>35045166</v>
      </c>
      <c r="F45" s="274" t="s">
        <v>418</v>
      </c>
      <c r="G45" s="274" t="s">
        <v>751</v>
      </c>
      <c r="H45" s="274" t="s">
        <v>22</v>
      </c>
      <c r="I45" s="274" t="s">
        <v>929</v>
      </c>
      <c r="J45" s="274" t="s">
        <v>930</v>
      </c>
      <c r="K45" s="282">
        <v>43385</v>
      </c>
      <c r="L45" s="282">
        <v>43389</v>
      </c>
      <c r="M45" s="282">
        <v>43146</v>
      </c>
      <c r="N45" s="274">
        <v>20</v>
      </c>
      <c r="O45" s="274" t="s">
        <v>4</v>
      </c>
      <c r="P45" s="274">
        <v>120</v>
      </c>
      <c r="Q45" s="274" t="s">
        <v>854</v>
      </c>
      <c r="R45" s="274" t="s">
        <v>931</v>
      </c>
      <c r="S45" s="275"/>
    </row>
    <row r="46" spans="1:19" ht="30" customHeight="1" x14ac:dyDescent="0.25">
      <c r="A46" s="637">
        <v>25</v>
      </c>
      <c r="B46" s="634" t="s">
        <v>972</v>
      </c>
      <c r="C46" s="634" t="s">
        <v>973</v>
      </c>
      <c r="D46" s="634" t="s">
        <v>415</v>
      </c>
      <c r="E46" s="643">
        <v>15019047</v>
      </c>
      <c r="F46" s="634" t="s">
        <v>418</v>
      </c>
      <c r="G46" s="634" t="s">
        <v>810</v>
      </c>
      <c r="H46" s="634" t="s">
        <v>974</v>
      </c>
      <c r="I46" s="634" t="s">
        <v>1006</v>
      </c>
      <c r="J46" s="634" t="s">
        <v>975</v>
      </c>
      <c r="K46" s="640">
        <v>43389</v>
      </c>
      <c r="L46" s="640">
        <v>43390</v>
      </c>
      <c r="M46" s="640">
        <v>43481</v>
      </c>
      <c r="N46" s="274">
        <v>20</v>
      </c>
      <c r="O46" s="274" t="s">
        <v>4</v>
      </c>
      <c r="P46" s="274">
        <v>60</v>
      </c>
      <c r="Q46" s="274" t="s">
        <v>19</v>
      </c>
      <c r="R46" s="634" t="s">
        <v>1043</v>
      </c>
      <c r="S46" s="275"/>
    </row>
    <row r="47" spans="1:19" ht="30" customHeight="1" x14ac:dyDescent="0.25">
      <c r="A47" s="638"/>
      <c r="B47" s="635"/>
      <c r="C47" s="635"/>
      <c r="D47" s="635"/>
      <c r="E47" s="644"/>
      <c r="F47" s="635"/>
      <c r="G47" s="635"/>
      <c r="H47" s="635"/>
      <c r="I47" s="635"/>
      <c r="J47" s="635"/>
      <c r="K47" s="641"/>
      <c r="L47" s="641"/>
      <c r="M47" s="641"/>
      <c r="N47" s="274">
        <v>20</v>
      </c>
      <c r="O47" s="274" t="s">
        <v>254</v>
      </c>
      <c r="P47" s="274">
        <v>60</v>
      </c>
      <c r="Q47" s="274" t="s">
        <v>520</v>
      </c>
      <c r="R47" s="635"/>
      <c r="S47" s="275"/>
    </row>
    <row r="48" spans="1:19" ht="30" customHeight="1" x14ac:dyDescent="0.25">
      <c r="A48" s="639"/>
      <c r="B48" s="636"/>
      <c r="C48" s="636"/>
      <c r="D48" s="636"/>
      <c r="E48" s="645"/>
      <c r="F48" s="636"/>
      <c r="G48" s="636"/>
      <c r="H48" s="636"/>
      <c r="I48" s="636"/>
      <c r="J48" s="636"/>
      <c r="K48" s="642"/>
      <c r="L48" s="642"/>
      <c r="M48" s="642"/>
      <c r="N48" s="274">
        <v>20</v>
      </c>
      <c r="O48" s="274" t="s">
        <v>9</v>
      </c>
      <c r="P48" s="274">
        <v>60</v>
      </c>
      <c r="Q48" s="274" t="s">
        <v>260</v>
      </c>
      <c r="R48" s="636"/>
      <c r="S48" s="275"/>
    </row>
    <row r="49" spans="1:19" ht="30" customHeight="1" x14ac:dyDescent="0.25">
      <c r="A49" s="280">
        <v>26</v>
      </c>
      <c r="B49" s="274" t="s">
        <v>979</v>
      </c>
      <c r="C49" s="274" t="s">
        <v>980</v>
      </c>
      <c r="D49" s="274" t="s">
        <v>415</v>
      </c>
      <c r="E49" s="281">
        <v>25840265</v>
      </c>
      <c r="F49" s="274" t="s">
        <v>416</v>
      </c>
      <c r="G49" s="274" t="s">
        <v>981</v>
      </c>
      <c r="H49" s="274" t="s">
        <v>10</v>
      </c>
      <c r="I49" s="274" t="s">
        <v>982</v>
      </c>
      <c r="J49" s="274" t="s">
        <v>983</v>
      </c>
      <c r="K49" s="282">
        <v>43390</v>
      </c>
      <c r="L49" s="282">
        <v>43391</v>
      </c>
      <c r="M49" s="282">
        <v>43421</v>
      </c>
      <c r="N49" s="274">
        <v>30</v>
      </c>
      <c r="O49" s="274" t="s">
        <v>4</v>
      </c>
      <c r="P49" s="274">
        <v>30</v>
      </c>
      <c r="Q49" s="274" t="s">
        <v>11</v>
      </c>
      <c r="R49" s="274"/>
      <c r="S49" s="275"/>
    </row>
    <row r="50" spans="1:19" ht="30" customHeight="1" x14ac:dyDescent="0.25">
      <c r="A50" s="280">
        <v>27</v>
      </c>
      <c r="B50" s="274" t="s">
        <v>991</v>
      </c>
      <c r="C50" s="274" t="s">
        <v>992</v>
      </c>
      <c r="D50" s="274" t="s">
        <v>415</v>
      </c>
      <c r="E50" s="281">
        <v>6587067</v>
      </c>
      <c r="F50" s="274" t="s">
        <v>486</v>
      </c>
      <c r="G50" s="274" t="s">
        <v>730</v>
      </c>
      <c r="H50" s="274" t="s">
        <v>487</v>
      </c>
      <c r="I50" s="274" t="s">
        <v>993</v>
      </c>
      <c r="J50" s="274" t="s">
        <v>994</v>
      </c>
      <c r="K50" s="282">
        <v>43390</v>
      </c>
      <c r="L50" s="282">
        <v>43391</v>
      </c>
      <c r="M50" s="282">
        <v>43421</v>
      </c>
      <c r="N50" s="274">
        <v>20</v>
      </c>
      <c r="O50" s="274" t="s">
        <v>4</v>
      </c>
      <c r="P50" s="274">
        <v>20</v>
      </c>
      <c r="Q50" s="274" t="s">
        <v>245</v>
      </c>
      <c r="R50" s="274"/>
      <c r="S50" s="275"/>
    </row>
    <row r="51" spans="1:19" ht="30" customHeight="1" x14ac:dyDescent="0.25">
      <c r="A51" s="280">
        <v>28</v>
      </c>
      <c r="B51" s="274" t="s">
        <v>995</v>
      </c>
      <c r="C51" s="274" t="s">
        <v>996</v>
      </c>
      <c r="D51" s="274" t="s">
        <v>415</v>
      </c>
      <c r="E51" s="281">
        <v>6616313</v>
      </c>
      <c r="F51" s="274" t="s">
        <v>418</v>
      </c>
      <c r="G51" s="274" t="s">
        <v>997</v>
      </c>
      <c r="H51" s="274" t="s">
        <v>25</v>
      </c>
      <c r="I51" s="274" t="s">
        <v>998</v>
      </c>
      <c r="J51" s="274" t="s">
        <v>999</v>
      </c>
      <c r="K51" s="282">
        <v>43391</v>
      </c>
      <c r="L51" s="282">
        <v>43392</v>
      </c>
      <c r="M51" s="282">
        <v>43483</v>
      </c>
      <c r="N51" s="274">
        <v>12</v>
      </c>
      <c r="O51" s="274" t="s">
        <v>4</v>
      </c>
      <c r="P51" s="274">
        <v>36</v>
      </c>
      <c r="Q51" s="274" t="s">
        <v>151</v>
      </c>
      <c r="R51" s="289">
        <v>18000</v>
      </c>
      <c r="S51" s="275"/>
    </row>
    <row r="52" spans="1:19" ht="30" customHeight="1" x14ac:dyDescent="0.25">
      <c r="A52" s="637">
        <v>29</v>
      </c>
      <c r="B52" s="634" t="s">
        <v>1037</v>
      </c>
      <c r="C52" s="634" t="s">
        <v>1038</v>
      </c>
      <c r="D52" s="634" t="s">
        <v>415</v>
      </c>
      <c r="E52" s="643">
        <v>15302849</v>
      </c>
      <c r="F52" s="634" t="s">
        <v>416</v>
      </c>
      <c r="G52" s="634" t="s">
        <v>726</v>
      </c>
      <c r="H52" s="634" t="s">
        <v>21</v>
      </c>
      <c r="I52" s="634" t="s">
        <v>1040</v>
      </c>
      <c r="J52" s="634" t="s">
        <v>1039</v>
      </c>
      <c r="K52" s="640">
        <v>43426</v>
      </c>
      <c r="L52" s="640">
        <v>43426</v>
      </c>
      <c r="M52" s="640">
        <v>43464</v>
      </c>
      <c r="N52" s="274">
        <v>16</v>
      </c>
      <c r="O52" s="274" t="s">
        <v>6</v>
      </c>
      <c r="P52" s="274">
        <v>30</v>
      </c>
      <c r="Q52" s="274" t="s">
        <v>7</v>
      </c>
      <c r="R52" s="274"/>
      <c r="S52" s="275"/>
    </row>
    <row r="53" spans="1:19" ht="30" customHeight="1" x14ac:dyDescent="0.25">
      <c r="A53" s="638"/>
      <c r="B53" s="635"/>
      <c r="C53" s="635"/>
      <c r="D53" s="635"/>
      <c r="E53" s="644"/>
      <c r="F53" s="635"/>
      <c r="G53" s="635"/>
      <c r="H53" s="635"/>
      <c r="I53" s="635"/>
      <c r="J53" s="635"/>
      <c r="K53" s="641"/>
      <c r="L53" s="641"/>
      <c r="M53" s="641"/>
      <c r="N53" s="274">
        <v>12</v>
      </c>
      <c r="O53" s="274" t="s">
        <v>4</v>
      </c>
      <c r="P53" s="274">
        <v>30</v>
      </c>
      <c r="Q53" s="274" t="s">
        <v>7</v>
      </c>
      <c r="R53" s="622"/>
      <c r="S53" s="275"/>
    </row>
    <row r="54" spans="1:19" ht="30" customHeight="1" x14ac:dyDescent="0.25">
      <c r="A54" s="639"/>
      <c r="B54" s="636"/>
      <c r="C54" s="636"/>
      <c r="D54" s="636"/>
      <c r="E54" s="645"/>
      <c r="F54" s="636"/>
      <c r="G54" s="636"/>
      <c r="H54" s="636"/>
      <c r="I54" s="636"/>
      <c r="J54" s="636"/>
      <c r="K54" s="642"/>
      <c r="L54" s="642"/>
      <c r="M54" s="642"/>
      <c r="N54" s="274">
        <v>12</v>
      </c>
      <c r="O54" s="274" t="s">
        <v>254</v>
      </c>
      <c r="P54" s="274">
        <v>30</v>
      </c>
      <c r="Q54" s="274" t="s">
        <v>1109</v>
      </c>
      <c r="R54" s="623"/>
      <c r="S54" s="275"/>
    </row>
    <row r="55" spans="1:19" ht="30" customHeight="1" x14ac:dyDescent="0.25">
      <c r="A55" s="280">
        <v>30</v>
      </c>
      <c r="B55" s="274" t="s">
        <v>1070</v>
      </c>
      <c r="C55" s="274" t="s">
        <v>1071</v>
      </c>
      <c r="D55" s="274" t="s">
        <v>415</v>
      </c>
      <c r="E55" s="281">
        <v>73165671</v>
      </c>
      <c r="F55" s="274" t="s">
        <v>486</v>
      </c>
      <c r="G55" s="274" t="s">
        <v>1072</v>
      </c>
      <c r="H55" s="274" t="s">
        <v>487</v>
      </c>
      <c r="I55" s="274" t="s">
        <v>1073</v>
      </c>
      <c r="J55" s="274">
        <v>3002649532</v>
      </c>
      <c r="K55" s="282">
        <v>43402</v>
      </c>
      <c r="L55" s="282">
        <v>43403</v>
      </c>
      <c r="M55" s="282">
        <v>43433</v>
      </c>
      <c r="N55" s="274">
        <v>15</v>
      </c>
      <c r="O55" s="274" t="s">
        <v>4</v>
      </c>
      <c r="P55" s="274">
        <v>15</v>
      </c>
      <c r="Q55" s="274" t="s">
        <v>245</v>
      </c>
      <c r="R55" s="274"/>
      <c r="S55" s="275"/>
    </row>
    <row r="56" spans="1:19" ht="30" customHeight="1" x14ac:dyDescent="0.25">
      <c r="A56" s="637">
        <v>31</v>
      </c>
      <c r="B56" s="634" t="s">
        <v>1123</v>
      </c>
      <c r="C56" s="634" t="s">
        <v>1124</v>
      </c>
      <c r="D56" s="634" t="s">
        <v>415</v>
      </c>
      <c r="E56" s="643">
        <v>10905262</v>
      </c>
      <c r="F56" s="634" t="s">
        <v>486</v>
      </c>
      <c r="G56" s="634" t="s">
        <v>1128</v>
      </c>
      <c r="H56" s="634" t="s">
        <v>21</v>
      </c>
      <c r="I56" s="634" t="s">
        <v>1125</v>
      </c>
      <c r="J56" s="634" t="s">
        <v>1126</v>
      </c>
      <c r="K56" s="640">
        <v>43412</v>
      </c>
      <c r="L56" s="640">
        <v>43413</v>
      </c>
      <c r="M56" s="640">
        <v>43504</v>
      </c>
      <c r="N56" s="274">
        <v>12</v>
      </c>
      <c r="O56" s="274" t="s">
        <v>4</v>
      </c>
      <c r="P56" s="274">
        <v>36</v>
      </c>
      <c r="Q56" s="274" t="s">
        <v>866</v>
      </c>
      <c r="R56" s="634" t="s">
        <v>1127</v>
      </c>
      <c r="S56" s="275"/>
    </row>
    <row r="57" spans="1:19" ht="30" customHeight="1" x14ac:dyDescent="0.25">
      <c r="A57" s="639"/>
      <c r="B57" s="636"/>
      <c r="C57" s="636"/>
      <c r="D57" s="636"/>
      <c r="E57" s="645"/>
      <c r="F57" s="636"/>
      <c r="G57" s="636"/>
      <c r="H57" s="636"/>
      <c r="I57" s="636"/>
      <c r="J57" s="636"/>
      <c r="K57" s="642"/>
      <c r="L57" s="642"/>
      <c r="M57" s="642"/>
      <c r="N57" s="274">
        <v>12</v>
      </c>
      <c r="O57" s="274" t="s">
        <v>9</v>
      </c>
      <c r="P57" s="274">
        <v>36</v>
      </c>
      <c r="Q57" s="274" t="s">
        <v>510</v>
      </c>
      <c r="R57" s="636"/>
      <c r="S57" s="275"/>
    </row>
    <row r="58" spans="1:19" ht="30" customHeight="1" x14ac:dyDescent="0.25">
      <c r="A58" s="280">
        <v>32</v>
      </c>
      <c r="B58" s="274" t="s">
        <v>1137</v>
      </c>
      <c r="C58" s="274" t="s">
        <v>1138</v>
      </c>
      <c r="D58" s="274" t="s">
        <v>415</v>
      </c>
      <c r="E58" s="281">
        <v>26084151</v>
      </c>
      <c r="F58" s="274" t="s">
        <v>486</v>
      </c>
      <c r="G58" s="274" t="s">
        <v>1139</v>
      </c>
      <c r="H58" s="274" t="s">
        <v>1140</v>
      </c>
      <c r="I58" s="274" t="s">
        <v>1141</v>
      </c>
      <c r="J58" s="274" t="s">
        <v>1142</v>
      </c>
      <c r="K58" s="282">
        <v>43412</v>
      </c>
      <c r="L58" s="282">
        <v>43413</v>
      </c>
      <c r="M58" s="282">
        <v>43495</v>
      </c>
      <c r="N58" s="274">
        <v>12</v>
      </c>
      <c r="O58" s="274" t="s">
        <v>4</v>
      </c>
      <c r="P58" s="274">
        <v>36</v>
      </c>
      <c r="Q58" s="274" t="s">
        <v>1143</v>
      </c>
      <c r="R58" s="274" t="s">
        <v>1144</v>
      </c>
      <c r="S58" s="275"/>
    </row>
    <row r="59" spans="1:19" ht="30" customHeight="1" x14ac:dyDescent="0.25">
      <c r="A59" s="280">
        <v>33</v>
      </c>
      <c r="B59" s="274" t="s">
        <v>1145</v>
      </c>
      <c r="C59" s="274" t="s">
        <v>1146</v>
      </c>
      <c r="D59" s="274" t="s">
        <v>415</v>
      </c>
      <c r="E59" s="281">
        <v>25886632</v>
      </c>
      <c r="F59" s="274" t="s">
        <v>486</v>
      </c>
      <c r="G59" s="274" t="s">
        <v>1147</v>
      </c>
      <c r="H59" s="274" t="s">
        <v>1140</v>
      </c>
      <c r="I59" s="274" t="s">
        <v>1148</v>
      </c>
      <c r="J59" s="274">
        <v>3024213232</v>
      </c>
      <c r="K59" s="282">
        <v>43412</v>
      </c>
      <c r="L59" s="282">
        <v>43413</v>
      </c>
      <c r="M59" s="282">
        <v>43442</v>
      </c>
      <c r="N59" s="274">
        <v>20</v>
      </c>
      <c r="O59" s="274" t="s">
        <v>4</v>
      </c>
      <c r="P59" s="274">
        <v>20</v>
      </c>
      <c r="Q59" s="274" t="s">
        <v>1143</v>
      </c>
      <c r="R59" s="274"/>
      <c r="S59" s="275"/>
    </row>
    <row r="60" spans="1:19" s="1" customFormat="1" ht="30" customHeight="1" x14ac:dyDescent="0.25">
      <c r="A60" s="280">
        <v>34</v>
      </c>
      <c r="B60" s="290" t="s">
        <v>566</v>
      </c>
      <c r="C60" s="274" t="s">
        <v>567</v>
      </c>
      <c r="D60" s="288" t="s">
        <v>415</v>
      </c>
      <c r="E60" s="288"/>
      <c r="F60" s="274" t="s">
        <v>486</v>
      </c>
      <c r="G60" s="274"/>
      <c r="H60" s="274" t="s">
        <v>22</v>
      </c>
      <c r="I60" s="274"/>
      <c r="J60" s="288"/>
      <c r="K60" s="291">
        <v>43368</v>
      </c>
      <c r="L60" s="291">
        <v>43368</v>
      </c>
      <c r="M60" s="291">
        <v>43428</v>
      </c>
      <c r="N60" s="274">
        <v>20</v>
      </c>
      <c r="O60" s="292" t="s">
        <v>4</v>
      </c>
      <c r="P60" s="274">
        <v>40</v>
      </c>
      <c r="Q60" s="293" t="s">
        <v>854</v>
      </c>
      <c r="R60" s="293" t="s">
        <v>1161</v>
      </c>
      <c r="S60" s="288"/>
    </row>
    <row r="61" spans="1:19" ht="30" customHeight="1" x14ac:dyDescent="0.25">
      <c r="A61" s="637">
        <v>35</v>
      </c>
      <c r="B61" s="634" t="s">
        <v>1221</v>
      </c>
      <c r="C61" s="634" t="s">
        <v>1222</v>
      </c>
      <c r="D61" s="634" t="s">
        <v>453</v>
      </c>
      <c r="E61" s="643">
        <v>1138083910</v>
      </c>
      <c r="F61" s="634" t="s">
        <v>486</v>
      </c>
      <c r="G61" s="634" t="s">
        <v>1223</v>
      </c>
      <c r="H61" s="634" t="s">
        <v>21</v>
      </c>
      <c r="I61" s="634" t="s">
        <v>1220</v>
      </c>
      <c r="J61" s="634">
        <v>3108284745</v>
      </c>
      <c r="K61" s="640">
        <v>43420</v>
      </c>
      <c r="L61" s="640">
        <v>43423</v>
      </c>
      <c r="M61" s="640">
        <v>43603</v>
      </c>
      <c r="N61" s="274">
        <v>12</v>
      </c>
      <c r="O61" s="274" t="s">
        <v>4</v>
      </c>
      <c r="P61" s="274">
        <v>72</v>
      </c>
      <c r="Q61" s="274" t="s">
        <v>866</v>
      </c>
      <c r="R61" s="274"/>
      <c r="S61" s="275"/>
    </row>
    <row r="62" spans="1:19" ht="30" customHeight="1" x14ac:dyDescent="0.25">
      <c r="A62" s="638"/>
      <c r="B62" s="635"/>
      <c r="C62" s="635"/>
      <c r="D62" s="635"/>
      <c r="E62" s="644"/>
      <c r="F62" s="635"/>
      <c r="G62" s="635"/>
      <c r="H62" s="635"/>
      <c r="I62" s="635"/>
      <c r="J62" s="635"/>
      <c r="K62" s="641"/>
      <c r="L62" s="641"/>
      <c r="M62" s="641"/>
      <c r="N62" s="274">
        <v>12</v>
      </c>
      <c r="O62" s="274" t="s">
        <v>254</v>
      </c>
      <c r="P62" s="274">
        <v>72</v>
      </c>
      <c r="Q62" s="274" t="s">
        <v>1109</v>
      </c>
      <c r="R62" s="274"/>
      <c r="S62" s="275"/>
    </row>
    <row r="63" spans="1:19" ht="30" customHeight="1" x14ac:dyDescent="0.25">
      <c r="A63" s="639"/>
      <c r="B63" s="636"/>
      <c r="C63" s="636"/>
      <c r="D63" s="636"/>
      <c r="E63" s="645"/>
      <c r="F63" s="636"/>
      <c r="G63" s="636"/>
      <c r="H63" s="636"/>
      <c r="I63" s="636"/>
      <c r="J63" s="636"/>
      <c r="K63" s="642"/>
      <c r="L63" s="642"/>
      <c r="M63" s="642"/>
      <c r="N63" s="274">
        <v>12</v>
      </c>
      <c r="O63" s="274" t="s">
        <v>9</v>
      </c>
      <c r="P63" s="274">
        <v>72</v>
      </c>
      <c r="Q63" s="274" t="s">
        <v>510</v>
      </c>
      <c r="R63" s="274"/>
      <c r="S63" s="275"/>
    </row>
    <row r="64" spans="1:19" ht="30" customHeight="1" x14ac:dyDescent="0.25">
      <c r="A64" s="280">
        <v>36</v>
      </c>
      <c r="B64" s="274" t="s">
        <v>1224</v>
      </c>
      <c r="C64" s="274" t="s">
        <v>1225</v>
      </c>
      <c r="D64" s="274" t="s">
        <v>415</v>
      </c>
      <c r="E64" s="281">
        <v>6661737</v>
      </c>
      <c r="F64" s="274" t="s">
        <v>486</v>
      </c>
      <c r="G64" s="274" t="s">
        <v>730</v>
      </c>
      <c r="H64" s="274" t="s">
        <v>21</v>
      </c>
      <c r="I64" s="274" t="s">
        <v>1226</v>
      </c>
      <c r="J64" s="274">
        <v>3145171319</v>
      </c>
      <c r="K64" s="282">
        <v>43427</v>
      </c>
      <c r="L64" s="282">
        <v>43427</v>
      </c>
      <c r="M64" s="282">
        <v>43456</v>
      </c>
      <c r="N64" s="274">
        <v>12</v>
      </c>
      <c r="O64" s="274" t="s">
        <v>4</v>
      </c>
      <c r="P64" s="274">
        <v>12</v>
      </c>
      <c r="Q64" s="274" t="s">
        <v>7</v>
      </c>
      <c r="R64" s="274"/>
      <c r="S64" s="275"/>
    </row>
    <row r="65" spans="1:19" ht="30" customHeight="1" x14ac:dyDescent="0.25">
      <c r="A65" s="669"/>
      <c r="B65" s="622" t="s">
        <v>1230</v>
      </c>
      <c r="C65" s="622" t="s">
        <v>1231</v>
      </c>
      <c r="D65" s="622" t="s">
        <v>415</v>
      </c>
      <c r="E65" s="671">
        <v>78025321</v>
      </c>
      <c r="F65" s="622" t="s">
        <v>486</v>
      </c>
      <c r="G65" s="622" t="s">
        <v>750</v>
      </c>
      <c r="H65" s="622" t="s">
        <v>255</v>
      </c>
      <c r="I65" s="622" t="s">
        <v>1234</v>
      </c>
      <c r="J65" s="622" t="s">
        <v>1235</v>
      </c>
      <c r="K65" s="615">
        <v>43427</v>
      </c>
      <c r="L65" s="615">
        <v>43428</v>
      </c>
      <c r="M65" s="615">
        <v>43427</v>
      </c>
      <c r="N65" s="485"/>
      <c r="O65" s="485" t="s">
        <v>6</v>
      </c>
      <c r="P65" s="485">
        <v>90</v>
      </c>
      <c r="Q65" s="485" t="s">
        <v>24</v>
      </c>
      <c r="R65" s="485" t="s">
        <v>1232</v>
      </c>
      <c r="S65" s="674" t="s">
        <v>1260</v>
      </c>
    </row>
    <row r="66" spans="1:19" ht="30" customHeight="1" x14ac:dyDescent="0.25">
      <c r="A66" s="670"/>
      <c r="B66" s="623"/>
      <c r="C66" s="623"/>
      <c r="D66" s="623"/>
      <c r="E66" s="672"/>
      <c r="F66" s="623"/>
      <c r="G66" s="623"/>
      <c r="H66" s="623"/>
      <c r="I66" s="623"/>
      <c r="J66" s="623"/>
      <c r="K66" s="616"/>
      <c r="L66" s="616"/>
      <c r="M66" s="616"/>
      <c r="N66" s="485"/>
      <c r="O66" s="485" t="s">
        <v>4</v>
      </c>
      <c r="P66" s="485">
        <v>60</v>
      </c>
      <c r="Q66" s="485" t="s">
        <v>24</v>
      </c>
      <c r="R66" s="485" t="s">
        <v>1233</v>
      </c>
      <c r="S66" s="675"/>
    </row>
    <row r="67" spans="1:19" ht="30" customHeight="1" x14ac:dyDescent="0.25">
      <c r="A67" s="280">
        <v>37</v>
      </c>
      <c r="B67" s="274" t="s">
        <v>1236</v>
      </c>
      <c r="C67" s="274" t="s">
        <v>1237</v>
      </c>
      <c r="D67" s="274" t="s">
        <v>415</v>
      </c>
      <c r="E67" s="281">
        <v>2809762</v>
      </c>
      <c r="F67" s="274" t="s">
        <v>486</v>
      </c>
      <c r="G67" s="274" t="s">
        <v>810</v>
      </c>
      <c r="H67" s="274" t="s">
        <v>1140</v>
      </c>
      <c r="I67" s="274" t="s">
        <v>1148</v>
      </c>
      <c r="J67" s="274" t="s">
        <v>1238</v>
      </c>
      <c r="K67" s="282">
        <v>43427</v>
      </c>
      <c r="L67" s="282">
        <v>43430</v>
      </c>
      <c r="M67" s="282">
        <v>43549</v>
      </c>
      <c r="N67" s="274">
        <v>12</v>
      </c>
      <c r="O67" s="274" t="s">
        <v>4</v>
      </c>
      <c r="P67" s="274">
        <v>48</v>
      </c>
      <c r="Q67" s="274" t="s">
        <v>1143</v>
      </c>
      <c r="R67" s="274" t="s">
        <v>1239</v>
      </c>
      <c r="S67" s="275"/>
    </row>
    <row r="68" spans="1:19" ht="30" customHeight="1" x14ac:dyDescent="0.25">
      <c r="A68" s="637">
        <v>38</v>
      </c>
      <c r="B68" s="634" t="s">
        <v>1277</v>
      </c>
      <c r="C68" s="634" t="s">
        <v>1278</v>
      </c>
      <c r="D68" s="634" t="s">
        <v>415</v>
      </c>
      <c r="E68" s="643">
        <v>26000782</v>
      </c>
      <c r="F68" s="634" t="s">
        <v>416</v>
      </c>
      <c r="G68" s="676"/>
      <c r="H68" s="634" t="s">
        <v>16</v>
      </c>
      <c r="I68" s="634" t="s">
        <v>1279</v>
      </c>
      <c r="J68" s="634" t="s">
        <v>1280</v>
      </c>
      <c r="K68" s="640">
        <v>43426</v>
      </c>
      <c r="L68" s="640">
        <v>43426</v>
      </c>
      <c r="M68" s="640">
        <v>43455</v>
      </c>
      <c r="N68" s="274">
        <v>30</v>
      </c>
      <c r="O68" s="274" t="s">
        <v>4</v>
      </c>
      <c r="P68" s="274">
        <v>30</v>
      </c>
      <c r="Q68" s="274" t="s">
        <v>17</v>
      </c>
      <c r="R68" s="661" t="s">
        <v>1282</v>
      </c>
      <c r="S68" s="275"/>
    </row>
    <row r="69" spans="1:19" ht="30" customHeight="1" x14ac:dyDescent="0.25">
      <c r="A69" s="638"/>
      <c r="B69" s="635"/>
      <c r="C69" s="635"/>
      <c r="D69" s="635"/>
      <c r="E69" s="644"/>
      <c r="F69" s="635"/>
      <c r="G69" s="677"/>
      <c r="H69" s="635"/>
      <c r="I69" s="635"/>
      <c r="J69" s="635"/>
      <c r="K69" s="641"/>
      <c r="L69" s="641"/>
      <c r="M69" s="641"/>
      <c r="N69" s="274">
        <v>30</v>
      </c>
      <c r="O69" s="274" t="s">
        <v>6</v>
      </c>
      <c r="P69" s="274">
        <v>30</v>
      </c>
      <c r="Q69" s="274" t="s">
        <v>17</v>
      </c>
      <c r="R69" s="662"/>
      <c r="S69" s="275"/>
    </row>
    <row r="70" spans="1:19" ht="30" customHeight="1" x14ac:dyDescent="0.25">
      <c r="A70" s="639"/>
      <c r="B70" s="636"/>
      <c r="C70" s="636"/>
      <c r="D70" s="636"/>
      <c r="E70" s="645"/>
      <c r="F70" s="636"/>
      <c r="G70" s="678"/>
      <c r="H70" s="636"/>
      <c r="I70" s="636"/>
      <c r="J70" s="636"/>
      <c r="K70" s="642"/>
      <c r="L70" s="642"/>
      <c r="M70" s="642"/>
      <c r="N70" s="274">
        <v>30</v>
      </c>
      <c r="O70" s="274" t="s">
        <v>254</v>
      </c>
      <c r="P70" s="274">
        <v>30</v>
      </c>
      <c r="Q70" s="274" t="s">
        <v>1281</v>
      </c>
      <c r="R70" s="673"/>
      <c r="S70" s="275"/>
    </row>
    <row r="71" spans="1:19" ht="30" customHeight="1" x14ac:dyDescent="0.25">
      <c r="A71" s="280">
        <v>39</v>
      </c>
      <c r="B71" s="274" t="s">
        <v>1289</v>
      </c>
      <c r="C71" s="274" t="s">
        <v>1290</v>
      </c>
      <c r="D71" s="274" t="s">
        <v>415</v>
      </c>
      <c r="E71" s="281">
        <v>15047735</v>
      </c>
      <c r="F71" s="274" t="s">
        <v>418</v>
      </c>
      <c r="G71" s="274" t="s">
        <v>1291</v>
      </c>
      <c r="H71" s="274" t="s">
        <v>274</v>
      </c>
      <c r="I71" s="274" t="s">
        <v>1292</v>
      </c>
      <c r="J71" s="274" t="s">
        <v>1293</v>
      </c>
      <c r="K71" s="282">
        <v>43430</v>
      </c>
      <c r="L71" s="282">
        <v>43431</v>
      </c>
      <c r="M71" s="282">
        <v>43460</v>
      </c>
      <c r="N71" s="274">
        <v>20</v>
      </c>
      <c r="O71" s="274" t="s">
        <v>4</v>
      </c>
      <c r="P71" s="274">
        <v>20</v>
      </c>
      <c r="Q71" s="274" t="s">
        <v>1294</v>
      </c>
      <c r="R71" s="274"/>
      <c r="S71" s="275"/>
    </row>
    <row r="72" spans="1:19" ht="30" customHeight="1" x14ac:dyDescent="0.25">
      <c r="A72" s="280">
        <v>40</v>
      </c>
      <c r="B72" s="274" t="s">
        <v>1305</v>
      </c>
      <c r="C72" s="274" t="s">
        <v>1306</v>
      </c>
      <c r="D72" s="274" t="s">
        <v>415</v>
      </c>
      <c r="E72" s="281">
        <v>1067163148</v>
      </c>
      <c r="F72" s="274" t="s">
        <v>418</v>
      </c>
      <c r="G72" s="274" t="s">
        <v>761</v>
      </c>
      <c r="H72" s="274" t="s">
        <v>22</v>
      </c>
      <c r="I72" s="274" t="s">
        <v>1307</v>
      </c>
      <c r="J72" s="287" t="s">
        <v>1308</v>
      </c>
      <c r="K72" s="282">
        <v>43417</v>
      </c>
      <c r="L72" s="282">
        <v>43430</v>
      </c>
      <c r="M72" s="282">
        <v>43459</v>
      </c>
      <c r="N72" s="274">
        <v>24</v>
      </c>
      <c r="O72" s="274" t="s">
        <v>4</v>
      </c>
      <c r="P72" s="274" t="s">
        <v>4</v>
      </c>
      <c r="Q72" s="274" t="s">
        <v>854</v>
      </c>
      <c r="R72" s="516" t="s">
        <v>1309</v>
      </c>
      <c r="S72" s="275"/>
    </row>
    <row r="73" spans="1:19" ht="30" customHeight="1" x14ac:dyDescent="0.25">
      <c r="A73" s="280">
        <v>41</v>
      </c>
      <c r="B73" s="274" t="s">
        <v>1313</v>
      </c>
      <c r="C73" s="274" t="s">
        <v>1314</v>
      </c>
      <c r="D73" s="274" t="s">
        <v>415</v>
      </c>
      <c r="E73" s="281">
        <v>34870029</v>
      </c>
      <c r="F73" s="274" t="s">
        <v>486</v>
      </c>
      <c r="G73" s="274" t="s">
        <v>1315</v>
      </c>
      <c r="H73" s="274" t="s">
        <v>574</v>
      </c>
      <c r="I73" s="293" t="s">
        <v>1316</v>
      </c>
      <c r="J73" s="274" t="s">
        <v>1317</v>
      </c>
      <c r="K73" s="282">
        <v>43432</v>
      </c>
      <c r="L73" s="282">
        <v>43798</v>
      </c>
      <c r="M73" s="282">
        <v>43462</v>
      </c>
      <c r="N73" s="274">
        <v>15</v>
      </c>
      <c r="O73" s="274" t="s">
        <v>4</v>
      </c>
      <c r="P73" s="274">
        <v>15</v>
      </c>
      <c r="Q73" s="274" t="s">
        <v>19</v>
      </c>
      <c r="R73" s="274"/>
      <c r="S73" s="275"/>
    </row>
    <row r="74" spans="1:19" ht="30" customHeight="1" x14ac:dyDescent="0.25">
      <c r="A74" s="637">
        <v>42</v>
      </c>
      <c r="B74" s="634" t="s">
        <v>1334</v>
      </c>
      <c r="C74" s="634" t="s">
        <v>1335</v>
      </c>
      <c r="D74" s="634" t="s">
        <v>415</v>
      </c>
      <c r="E74" s="643">
        <v>33166064</v>
      </c>
      <c r="F74" s="634" t="s">
        <v>416</v>
      </c>
      <c r="G74" s="634" t="s">
        <v>1336</v>
      </c>
      <c r="H74" s="634" t="s">
        <v>10</v>
      </c>
      <c r="I74" s="634" t="s">
        <v>1337</v>
      </c>
      <c r="J74" s="634" t="s">
        <v>1338</v>
      </c>
      <c r="K74" s="640">
        <v>43433</v>
      </c>
      <c r="L74" s="640">
        <v>43433</v>
      </c>
      <c r="M74" s="640">
        <v>43462</v>
      </c>
      <c r="N74" s="274">
        <v>30</v>
      </c>
      <c r="O74" s="274" t="s">
        <v>6</v>
      </c>
      <c r="P74" s="274">
        <v>30</v>
      </c>
      <c r="Q74" s="274" t="s">
        <v>8</v>
      </c>
      <c r="R74" s="516" t="s">
        <v>1341</v>
      </c>
      <c r="S74" s="275"/>
    </row>
    <row r="75" spans="1:19" ht="30" customHeight="1" x14ac:dyDescent="0.25">
      <c r="A75" s="638"/>
      <c r="B75" s="635"/>
      <c r="C75" s="635"/>
      <c r="D75" s="635"/>
      <c r="E75" s="644"/>
      <c r="F75" s="635"/>
      <c r="G75" s="635"/>
      <c r="H75" s="635"/>
      <c r="I75" s="635"/>
      <c r="J75" s="635"/>
      <c r="K75" s="641"/>
      <c r="L75" s="641"/>
      <c r="M75" s="641"/>
      <c r="N75" s="274">
        <v>1</v>
      </c>
      <c r="O75" s="274" t="s">
        <v>4</v>
      </c>
      <c r="P75" s="274">
        <v>1</v>
      </c>
      <c r="Q75" s="274" t="s">
        <v>8</v>
      </c>
      <c r="R75" s="274" t="s">
        <v>1340</v>
      </c>
      <c r="S75" s="275"/>
    </row>
    <row r="76" spans="1:19" ht="30" customHeight="1" x14ac:dyDescent="0.25">
      <c r="A76" s="639"/>
      <c r="B76" s="636"/>
      <c r="C76" s="636"/>
      <c r="D76" s="636"/>
      <c r="E76" s="645"/>
      <c r="F76" s="636"/>
      <c r="G76" s="636"/>
      <c r="H76" s="636"/>
      <c r="I76" s="636"/>
      <c r="J76" s="636"/>
      <c r="K76" s="642"/>
      <c r="L76" s="642"/>
      <c r="M76" s="642"/>
      <c r="N76" s="274">
        <v>1</v>
      </c>
      <c r="O76" s="274" t="s">
        <v>254</v>
      </c>
      <c r="P76" s="274">
        <v>1</v>
      </c>
      <c r="Q76" s="274" t="s">
        <v>1339</v>
      </c>
      <c r="R76" s="274" t="s">
        <v>1340</v>
      </c>
      <c r="S76" s="275"/>
    </row>
    <row r="77" spans="1:19" ht="30" customHeight="1" x14ac:dyDescent="0.25">
      <c r="A77" s="585">
        <v>44</v>
      </c>
      <c r="B77" s="584" t="s">
        <v>1088</v>
      </c>
      <c r="C77" s="584" t="s">
        <v>1089</v>
      </c>
      <c r="D77" s="584" t="s">
        <v>415</v>
      </c>
      <c r="E77" s="587">
        <v>1003717867</v>
      </c>
      <c r="F77" s="584" t="s">
        <v>418</v>
      </c>
      <c r="G77" s="584" t="s">
        <v>1090</v>
      </c>
      <c r="H77" s="584" t="s">
        <v>115</v>
      </c>
      <c r="I77" s="584" t="s">
        <v>1356</v>
      </c>
      <c r="J77" s="591" t="s">
        <v>1357</v>
      </c>
      <c r="K77" s="586">
        <v>43434</v>
      </c>
      <c r="L77" s="586">
        <v>43435</v>
      </c>
      <c r="M77" s="586">
        <v>43464</v>
      </c>
      <c r="N77" s="584">
        <v>20</v>
      </c>
      <c r="O77" s="584" t="s">
        <v>4</v>
      </c>
      <c r="P77" s="584">
        <v>20</v>
      </c>
      <c r="Q77" s="584" t="s">
        <v>41</v>
      </c>
      <c r="R77" s="584"/>
      <c r="S77" s="592"/>
    </row>
    <row r="78" spans="1:19" s="277" customFormat="1" ht="30" customHeight="1" x14ac:dyDescent="0.25">
      <c r="A78" s="280">
        <v>45</v>
      </c>
      <c r="B78" s="274" t="s">
        <v>1359</v>
      </c>
      <c r="C78" s="274" t="s">
        <v>1360</v>
      </c>
      <c r="D78" s="274" t="s">
        <v>415</v>
      </c>
      <c r="E78" s="281">
        <v>26192132</v>
      </c>
      <c r="F78" s="274" t="s">
        <v>416</v>
      </c>
      <c r="G78" s="274" t="s">
        <v>1361</v>
      </c>
      <c r="H78" s="274" t="s">
        <v>10</v>
      </c>
      <c r="I78" s="274" t="s">
        <v>1362</v>
      </c>
      <c r="J78" s="274" t="s">
        <v>1363</v>
      </c>
      <c r="K78" s="282">
        <v>43434</v>
      </c>
      <c r="L78" s="282">
        <v>43435</v>
      </c>
      <c r="M78" s="282">
        <v>43464</v>
      </c>
      <c r="N78" s="274">
        <v>30</v>
      </c>
      <c r="O78" s="274" t="s">
        <v>4</v>
      </c>
      <c r="P78" s="274">
        <v>30</v>
      </c>
      <c r="Q78" s="274" t="s">
        <v>11</v>
      </c>
      <c r="R78" s="583" t="s">
        <v>1364</v>
      </c>
      <c r="S78" s="275"/>
    </row>
    <row r="79" spans="1:19" s="277" customFormat="1" ht="30" customHeight="1" x14ac:dyDescent="0.25">
      <c r="A79" s="280"/>
      <c r="B79" s="274"/>
      <c r="C79" s="274"/>
      <c r="D79" s="274"/>
      <c r="E79" s="281"/>
      <c r="F79" s="274"/>
      <c r="G79" s="274"/>
      <c r="H79" s="274"/>
      <c r="I79" s="274"/>
      <c r="J79" s="274"/>
      <c r="K79" s="282"/>
      <c r="L79" s="282"/>
      <c r="M79" s="282"/>
      <c r="N79" s="274"/>
      <c r="O79" s="274"/>
      <c r="P79" s="274" t="s">
        <v>601</v>
      </c>
      <c r="Q79" s="274"/>
      <c r="R79" s="274"/>
      <c r="S79" s="275"/>
    </row>
    <row r="80" spans="1:19" s="277" customFormat="1" ht="30" customHeight="1" x14ac:dyDescent="0.25">
      <c r="A80" s="280"/>
      <c r="B80" s="274"/>
      <c r="C80" s="274"/>
      <c r="D80" s="274"/>
      <c r="E80" s="281"/>
      <c r="F80" s="274"/>
      <c r="G80" s="274"/>
      <c r="H80" s="274"/>
      <c r="I80" s="274"/>
      <c r="J80" s="274"/>
      <c r="K80" s="282"/>
      <c r="L80" s="282"/>
      <c r="M80" s="282"/>
      <c r="N80" s="274"/>
      <c r="O80" s="274"/>
      <c r="P80" s="274"/>
      <c r="Q80" s="274"/>
      <c r="R80" s="274"/>
      <c r="S80" s="275"/>
    </row>
    <row r="81" spans="1:19" s="277" customFormat="1" ht="30" customHeight="1" x14ac:dyDescent="0.25">
      <c r="A81" s="280"/>
      <c r="B81" s="274"/>
      <c r="C81" s="274"/>
      <c r="D81" s="274"/>
      <c r="E81" s="281"/>
      <c r="F81" s="274"/>
      <c r="G81" s="274"/>
      <c r="H81" s="274"/>
      <c r="I81" s="274"/>
      <c r="J81" s="274"/>
      <c r="K81" s="282"/>
      <c r="L81" s="282"/>
      <c r="M81" s="282"/>
      <c r="N81" s="274"/>
      <c r="O81" s="274"/>
      <c r="P81" s="274"/>
      <c r="Q81" s="274"/>
      <c r="R81" s="274"/>
      <c r="S81" s="275"/>
    </row>
    <row r="82" spans="1:19" s="277" customFormat="1" ht="30" customHeight="1" x14ac:dyDescent="0.25">
      <c r="A82" s="280"/>
      <c r="B82" s="274"/>
      <c r="C82" s="274"/>
      <c r="D82" s="274"/>
      <c r="E82" s="281"/>
      <c r="F82" s="274"/>
      <c r="G82" s="274"/>
      <c r="H82" s="274"/>
      <c r="I82" s="274"/>
      <c r="J82" s="274"/>
      <c r="K82" s="282"/>
      <c r="L82" s="282"/>
      <c r="M82" s="282"/>
      <c r="N82" s="274"/>
      <c r="O82" s="274"/>
      <c r="P82" s="274"/>
      <c r="Q82" s="274"/>
      <c r="R82" s="274"/>
      <c r="S82" s="275"/>
    </row>
    <row r="83" spans="1:19" s="277" customFormat="1" ht="30" customHeight="1" x14ac:dyDescent="0.25">
      <c r="A83" s="280"/>
      <c r="B83" s="274"/>
      <c r="C83" s="274"/>
      <c r="D83" s="274"/>
      <c r="E83" s="281"/>
      <c r="F83" s="274"/>
      <c r="G83" s="274"/>
      <c r="H83" s="274"/>
      <c r="I83" s="274"/>
      <c r="J83" s="274"/>
      <c r="K83" s="282"/>
      <c r="L83" s="282"/>
      <c r="M83" s="282"/>
      <c r="N83" s="274"/>
      <c r="O83" s="274"/>
      <c r="P83" s="274"/>
      <c r="Q83" s="274"/>
      <c r="R83" s="274"/>
      <c r="S83" s="275"/>
    </row>
    <row r="84" spans="1:19" s="277" customFormat="1" ht="30" customHeight="1" x14ac:dyDescent="0.25">
      <c r="A84" s="280"/>
      <c r="B84" s="274"/>
      <c r="C84" s="274"/>
      <c r="D84" s="274"/>
      <c r="E84" s="281"/>
      <c r="F84" s="274"/>
      <c r="G84" s="274"/>
      <c r="H84" s="274"/>
      <c r="I84" s="274"/>
      <c r="J84" s="274"/>
      <c r="K84" s="282"/>
      <c r="L84" s="282"/>
      <c r="M84" s="282"/>
      <c r="N84" s="274"/>
      <c r="O84" s="274"/>
      <c r="P84" s="274"/>
      <c r="Q84" s="274"/>
      <c r="R84" s="274"/>
      <c r="S84" s="275"/>
    </row>
    <row r="85" spans="1:19" s="277" customFormat="1" ht="30" customHeight="1" x14ac:dyDescent="0.25">
      <c r="A85" s="280"/>
      <c r="B85" s="274"/>
      <c r="C85" s="274"/>
      <c r="D85" s="274"/>
      <c r="E85" s="281"/>
      <c r="F85" s="274"/>
      <c r="G85" s="274"/>
      <c r="H85" s="274"/>
      <c r="I85" s="274"/>
      <c r="J85" s="274"/>
      <c r="K85" s="282"/>
      <c r="L85" s="282"/>
      <c r="M85" s="282"/>
      <c r="N85" s="274"/>
      <c r="O85" s="274"/>
      <c r="P85" s="274"/>
      <c r="Q85" s="274"/>
      <c r="R85" s="274"/>
      <c r="S85" s="275"/>
    </row>
    <row r="86" spans="1:19" s="277" customFormat="1" ht="30" customHeight="1" x14ac:dyDescent="0.25">
      <c r="A86" s="280"/>
      <c r="B86" s="274"/>
      <c r="C86" s="274"/>
      <c r="D86" s="274"/>
      <c r="E86" s="281"/>
      <c r="F86" s="274"/>
      <c r="G86" s="274"/>
      <c r="H86" s="274"/>
      <c r="I86" s="274"/>
      <c r="J86" s="274"/>
      <c r="K86" s="282"/>
      <c r="L86" s="282"/>
      <c r="M86" s="282"/>
      <c r="N86" s="274"/>
      <c r="O86" s="274"/>
      <c r="P86" s="274"/>
      <c r="Q86" s="274"/>
      <c r="R86" s="274"/>
      <c r="S86" s="275"/>
    </row>
    <row r="87" spans="1:19" s="277" customFormat="1" ht="30" customHeight="1" x14ac:dyDescent="0.25">
      <c r="A87" s="280"/>
      <c r="B87" s="274"/>
      <c r="C87" s="274"/>
      <c r="D87" s="274"/>
      <c r="E87" s="281"/>
      <c r="F87" s="274"/>
      <c r="G87" s="274"/>
      <c r="H87" s="274"/>
      <c r="I87" s="274"/>
      <c r="J87" s="274"/>
      <c r="K87" s="282"/>
      <c r="L87" s="282"/>
      <c r="M87" s="282"/>
      <c r="N87" s="274"/>
      <c r="O87" s="274"/>
      <c r="P87" s="274"/>
      <c r="Q87" s="274"/>
      <c r="R87" s="274"/>
      <c r="S87" s="275"/>
    </row>
  </sheetData>
  <autoFilter ref="B1:T76"/>
  <mergeCells count="248">
    <mergeCell ref="C68:C70"/>
    <mergeCell ref="B68:B70"/>
    <mergeCell ref="A68:A70"/>
    <mergeCell ref="R68:R70"/>
    <mergeCell ref="S65:S66"/>
    <mergeCell ref="M68:M70"/>
    <mergeCell ref="L68:L70"/>
    <mergeCell ref="K68:K70"/>
    <mergeCell ref="J68:J70"/>
    <mergeCell ref="I68:I70"/>
    <mergeCell ref="H68:H70"/>
    <mergeCell ref="G68:G70"/>
    <mergeCell ref="F68:F70"/>
    <mergeCell ref="E68:E70"/>
    <mergeCell ref="D68:D70"/>
    <mergeCell ref="R53:R5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M65:M66"/>
    <mergeCell ref="D52:D54"/>
    <mergeCell ref="E52:E54"/>
    <mergeCell ref="F52:F54"/>
    <mergeCell ref="G52:G54"/>
    <mergeCell ref="H52:H54"/>
    <mergeCell ref="I61:I63"/>
    <mergeCell ref="J61:J63"/>
    <mergeCell ref="K61:K63"/>
    <mergeCell ref="L61:L63"/>
    <mergeCell ref="M61:M63"/>
    <mergeCell ref="R39:R41"/>
    <mergeCell ref="A17:A19"/>
    <mergeCell ref="C17:C19"/>
    <mergeCell ref="D17:D19"/>
    <mergeCell ref="J17:J19"/>
    <mergeCell ref="I17:I19"/>
    <mergeCell ref="H17:H19"/>
    <mergeCell ref="G17:G19"/>
    <mergeCell ref="F17:F19"/>
    <mergeCell ref="E17:E19"/>
    <mergeCell ref="L39:L41"/>
    <mergeCell ref="M39:M41"/>
    <mergeCell ref="A39:A41"/>
    <mergeCell ref="B39:B41"/>
    <mergeCell ref="C39:C41"/>
    <mergeCell ref="D39:D41"/>
    <mergeCell ref="E39:E41"/>
    <mergeCell ref="F39:F41"/>
    <mergeCell ref="G39:G41"/>
    <mergeCell ref="H39:H41"/>
    <mergeCell ref="I39:I41"/>
    <mergeCell ref="L25:L26"/>
    <mergeCell ref="M25:M26"/>
    <mergeCell ref="I25:I26"/>
    <mergeCell ref="R46:R48"/>
    <mergeCell ref="J46:J48"/>
    <mergeCell ref="K46:K48"/>
    <mergeCell ref="L46:L48"/>
    <mergeCell ref="M46:M48"/>
    <mergeCell ref="B46:B48"/>
    <mergeCell ref="A46:A48"/>
    <mergeCell ref="C46:C48"/>
    <mergeCell ref="D46:D48"/>
    <mergeCell ref="E46:E48"/>
    <mergeCell ref="F46:F48"/>
    <mergeCell ref="G46:G48"/>
    <mergeCell ref="H46:H48"/>
    <mergeCell ref="I46:I48"/>
    <mergeCell ref="A12:A14"/>
    <mergeCell ref="H12:H14"/>
    <mergeCell ref="B12:B14"/>
    <mergeCell ref="J39:J41"/>
    <mergeCell ref="K39:K41"/>
    <mergeCell ref="C12:C14"/>
    <mergeCell ref="D12:D14"/>
    <mergeCell ref="B25:B26"/>
    <mergeCell ref="K25:K26"/>
    <mergeCell ref="A25:A26"/>
    <mergeCell ref="E12:E14"/>
    <mergeCell ref="F12:F14"/>
    <mergeCell ref="D30:D31"/>
    <mergeCell ref="B17:B19"/>
    <mergeCell ref="E30:E31"/>
    <mergeCell ref="J25:J26"/>
    <mergeCell ref="C25:C26"/>
    <mergeCell ref="D25:D26"/>
    <mergeCell ref="E25:E26"/>
    <mergeCell ref="F25:F26"/>
    <mergeCell ref="H25:H26"/>
    <mergeCell ref="G25:G26"/>
    <mergeCell ref="I12:I14"/>
    <mergeCell ref="J12:J14"/>
    <mergeCell ref="E6:E8"/>
    <mergeCell ref="H9:H10"/>
    <mergeCell ref="H2:H5"/>
    <mergeCell ref="F9:F10"/>
    <mergeCell ref="E9:E10"/>
    <mergeCell ref="G2:G5"/>
    <mergeCell ref="B6:B8"/>
    <mergeCell ref="C6:C8"/>
    <mergeCell ref="A9:A10"/>
    <mergeCell ref="B9:B10"/>
    <mergeCell ref="B2:B5"/>
    <mergeCell ref="C2:C5"/>
    <mergeCell ref="A2:A5"/>
    <mergeCell ref="A6:A8"/>
    <mergeCell ref="C9:C10"/>
    <mergeCell ref="J6:J8"/>
    <mergeCell ref="L9:L10"/>
    <mergeCell ref="S2:S5"/>
    <mergeCell ref="R2:R5"/>
    <mergeCell ref="L2:L5"/>
    <mergeCell ref="M6:M8"/>
    <mergeCell ref="M9:M10"/>
    <mergeCell ref="D2:D5"/>
    <mergeCell ref="E2:E5"/>
    <mergeCell ref="F2:F5"/>
    <mergeCell ref="H6:H8"/>
    <mergeCell ref="K2:K5"/>
    <mergeCell ref="K9:K10"/>
    <mergeCell ref="J9:J10"/>
    <mergeCell ref="I9:I10"/>
    <mergeCell ref="J2:J5"/>
    <mergeCell ref="F6:F8"/>
    <mergeCell ref="M2:M5"/>
    <mergeCell ref="K6:K8"/>
    <mergeCell ref="G6:G8"/>
    <mergeCell ref="I6:I8"/>
    <mergeCell ref="D9:D10"/>
    <mergeCell ref="I2:I5"/>
    <mergeCell ref="D6:D8"/>
    <mergeCell ref="L6:L8"/>
    <mergeCell ref="R6:R8"/>
    <mergeCell ref="S9:S10"/>
    <mergeCell ref="S17:S18"/>
    <mergeCell ref="K17:K18"/>
    <mergeCell ref="R12:R14"/>
    <mergeCell ref="K12:K14"/>
    <mergeCell ref="L12:L14"/>
    <mergeCell ref="M12:M14"/>
    <mergeCell ref="L17:L18"/>
    <mergeCell ref="M17:M18"/>
    <mergeCell ref="M30:M31"/>
    <mergeCell ref="A33:A35"/>
    <mergeCell ref="B33:B35"/>
    <mergeCell ref="C33:C35"/>
    <mergeCell ref="D33:D35"/>
    <mergeCell ref="E33:E35"/>
    <mergeCell ref="F33:F35"/>
    <mergeCell ref="G33:G35"/>
    <mergeCell ref="H33:H35"/>
    <mergeCell ref="I33:I35"/>
    <mergeCell ref="G30:G31"/>
    <mergeCell ref="H30:H31"/>
    <mergeCell ref="I30:I31"/>
    <mergeCell ref="J30:J31"/>
    <mergeCell ref="K30:K31"/>
    <mergeCell ref="L30:L31"/>
    <mergeCell ref="A30:A31"/>
    <mergeCell ref="B30:B31"/>
    <mergeCell ref="C30:C31"/>
    <mergeCell ref="F30:F31"/>
    <mergeCell ref="J33:J35"/>
    <mergeCell ref="K33:K35"/>
    <mergeCell ref="L33:L35"/>
    <mergeCell ref="M33:M35"/>
    <mergeCell ref="R33:R35"/>
    <mergeCell ref="A36:A38"/>
    <mergeCell ref="B36:B38"/>
    <mergeCell ref="C36:C38"/>
    <mergeCell ref="D36:D38"/>
    <mergeCell ref="E36:E38"/>
    <mergeCell ref="L36:L38"/>
    <mergeCell ref="M36:M38"/>
    <mergeCell ref="R36:R38"/>
    <mergeCell ref="F36:F38"/>
    <mergeCell ref="G36:G38"/>
    <mergeCell ref="H36:H38"/>
    <mergeCell ref="I36:I38"/>
    <mergeCell ref="J36:J38"/>
    <mergeCell ref="K36:K38"/>
    <mergeCell ref="I52:I54"/>
    <mergeCell ref="J52:J54"/>
    <mergeCell ref="K52:K54"/>
    <mergeCell ref="L52:L54"/>
    <mergeCell ref="M52:M54"/>
    <mergeCell ref="A52:A54"/>
    <mergeCell ref="B52:B54"/>
    <mergeCell ref="C52:C54"/>
    <mergeCell ref="K42:K43"/>
    <mergeCell ref="L42:L43"/>
    <mergeCell ref="M42:M43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A61:A63"/>
    <mergeCell ref="B61:B63"/>
    <mergeCell ref="C61:C63"/>
    <mergeCell ref="E61:E63"/>
    <mergeCell ref="D61:D63"/>
    <mergeCell ref="F61:F63"/>
    <mergeCell ref="G61:G63"/>
    <mergeCell ref="H61:H63"/>
    <mergeCell ref="R25:R26"/>
    <mergeCell ref="R30:R31"/>
    <mergeCell ref="A56:A57"/>
    <mergeCell ref="B56:B57"/>
    <mergeCell ref="C56:C57"/>
    <mergeCell ref="R56:R57"/>
    <mergeCell ref="J56:J57"/>
    <mergeCell ref="I56:I57"/>
    <mergeCell ref="K56:K57"/>
    <mergeCell ref="L56:L57"/>
    <mergeCell ref="M56:M57"/>
    <mergeCell ref="H56:H57"/>
    <mergeCell ref="G56:G57"/>
    <mergeCell ref="F56:F57"/>
    <mergeCell ref="E56:E57"/>
    <mergeCell ref="D56:D57"/>
    <mergeCell ref="D74:D76"/>
    <mergeCell ref="C74:C76"/>
    <mergeCell ref="B74:B76"/>
    <mergeCell ref="A74:A76"/>
    <mergeCell ref="M74:M76"/>
    <mergeCell ref="L74:L76"/>
    <mergeCell ref="K74:K76"/>
    <mergeCell ref="J74:J76"/>
    <mergeCell ref="I74:I76"/>
    <mergeCell ref="H74:H76"/>
    <mergeCell ref="G74:G76"/>
    <mergeCell ref="F74:F76"/>
    <mergeCell ref="E74:E76"/>
  </mergeCells>
  <pageMargins left="0.25" right="0.25" top="0.75" bottom="0.75" header="0.3" footer="0.3"/>
  <pageSetup scale="5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56"/>
  <sheetViews>
    <sheetView zoomScale="115" zoomScaleNormal="115" workbookViewId="0">
      <pane ySplit="1" topLeftCell="A47" activePane="bottomLeft" state="frozen"/>
      <selection pane="bottomLeft" activeCell="B53" sqref="B53:B54"/>
    </sheetView>
  </sheetViews>
  <sheetFormatPr baseColWidth="10" defaultRowHeight="20.100000000000001" customHeight="1" x14ac:dyDescent="0.25"/>
  <cols>
    <col min="1" max="1" width="13.7109375" style="26" customWidth="1"/>
    <col min="2" max="2" width="24" style="7" customWidth="1"/>
    <col min="3" max="3" width="22.85546875" style="5" customWidth="1"/>
    <col min="4" max="4" width="15.42578125" style="2" customWidth="1"/>
    <col min="5" max="5" width="12.42578125" style="2" customWidth="1"/>
    <col min="6" max="6" width="12" style="2" customWidth="1"/>
    <col min="7" max="7" width="13.7109375" style="2" customWidth="1"/>
    <col min="8" max="8" width="6.7109375" style="2" customWidth="1"/>
    <col min="9" max="9" width="6.5703125" style="2" customWidth="1"/>
    <col min="10" max="10" width="18.85546875" style="2" hidden="1" customWidth="1"/>
    <col min="11" max="11" width="28.5703125" style="2" hidden="1" customWidth="1"/>
    <col min="12" max="12" width="20.5703125" style="2" customWidth="1"/>
    <col min="13" max="13" width="20.85546875" style="26" customWidth="1"/>
    <col min="14" max="14" width="23.42578125" style="26" customWidth="1"/>
    <col min="15" max="16384" width="11.42578125" style="26"/>
  </cols>
  <sheetData>
    <row r="1" spans="1:14" ht="20.100000000000001" customHeight="1" thickBot="1" x14ac:dyDescent="0.3">
      <c r="A1" s="297" t="s">
        <v>13</v>
      </c>
      <c r="B1" s="298" t="s">
        <v>28</v>
      </c>
      <c r="C1" s="299" t="s">
        <v>12</v>
      </c>
      <c r="D1" s="300" t="s">
        <v>756</v>
      </c>
      <c r="E1" s="301" t="s">
        <v>1</v>
      </c>
      <c r="F1" s="301" t="s">
        <v>2</v>
      </c>
      <c r="G1" s="300" t="s">
        <v>29</v>
      </c>
      <c r="H1" s="300" t="s">
        <v>14</v>
      </c>
      <c r="I1" s="300" t="s">
        <v>31</v>
      </c>
      <c r="J1" s="300" t="s">
        <v>0</v>
      </c>
      <c r="K1" s="300" t="s">
        <v>261</v>
      </c>
      <c r="L1" s="300" t="s">
        <v>30</v>
      </c>
      <c r="M1" s="300" t="s">
        <v>3</v>
      </c>
      <c r="N1" s="300" t="s">
        <v>812</v>
      </c>
    </row>
    <row r="2" spans="1:14" ht="20.100000000000001" customHeight="1" x14ac:dyDescent="0.25">
      <c r="A2" s="750" t="s">
        <v>10</v>
      </c>
      <c r="B2" s="34" t="s">
        <v>32</v>
      </c>
      <c r="C2" s="35" t="s">
        <v>33</v>
      </c>
      <c r="D2" s="29" t="s">
        <v>754</v>
      </c>
      <c r="E2" s="302">
        <v>43414</v>
      </c>
      <c r="F2" s="302">
        <v>43434</v>
      </c>
      <c r="G2" s="303" t="s">
        <v>34</v>
      </c>
      <c r="H2" s="303">
        <v>12</v>
      </c>
      <c r="I2" s="303" t="s">
        <v>4</v>
      </c>
      <c r="J2" s="29">
        <v>3116680252</v>
      </c>
      <c r="K2" s="431" t="s">
        <v>302</v>
      </c>
      <c r="L2" s="37" t="s">
        <v>8</v>
      </c>
      <c r="M2" s="36"/>
      <c r="N2" s="38"/>
    </row>
    <row r="3" spans="1:14" ht="20.100000000000001" customHeight="1" x14ac:dyDescent="0.25">
      <c r="A3" s="750"/>
      <c r="B3" s="39" t="s">
        <v>35</v>
      </c>
      <c r="C3" s="40" t="s">
        <v>36</v>
      </c>
      <c r="D3" s="32" t="s">
        <v>786</v>
      </c>
      <c r="E3" s="302">
        <v>43410</v>
      </c>
      <c r="F3" s="302">
        <v>43434</v>
      </c>
      <c r="G3" s="303" t="s">
        <v>34</v>
      </c>
      <c r="H3" s="303">
        <v>12</v>
      </c>
      <c r="I3" s="303" t="s">
        <v>4</v>
      </c>
      <c r="J3" s="32">
        <v>3207333759</v>
      </c>
      <c r="K3" s="427" t="s">
        <v>307</v>
      </c>
      <c r="L3" s="42" t="s">
        <v>11</v>
      </c>
      <c r="M3" s="41"/>
      <c r="N3" s="43"/>
    </row>
    <row r="4" spans="1:14" ht="20.100000000000001" customHeight="1" x14ac:dyDescent="0.25">
      <c r="A4" s="750"/>
      <c r="B4" s="679" t="s">
        <v>37</v>
      </c>
      <c r="C4" s="679" t="s">
        <v>38</v>
      </c>
      <c r="D4" s="679" t="s">
        <v>725</v>
      </c>
      <c r="E4" s="686">
        <v>43405</v>
      </c>
      <c r="F4" s="686">
        <v>43434</v>
      </c>
      <c r="G4" s="688" t="s">
        <v>237</v>
      </c>
      <c r="H4" s="303">
        <v>12</v>
      </c>
      <c r="I4" s="303" t="s">
        <v>254</v>
      </c>
      <c r="J4" s="679">
        <v>3216923691</v>
      </c>
      <c r="K4" s="679" t="s">
        <v>267</v>
      </c>
      <c r="L4" s="42" t="s">
        <v>50</v>
      </c>
      <c r="M4" s="41"/>
      <c r="N4" s="43"/>
    </row>
    <row r="5" spans="1:14" ht="20.100000000000001" customHeight="1" x14ac:dyDescent="0.25">
      <c r="A5" s="750"/>
      <c r="B5" s="680"/>
      <c r="C5" s="680"/>
      <c r="D5" s="680"/>
      <c r="E5" s="687"/>
      <c r="F5" s="687"/>
      <c r="G5" s="689"/>
      <c r="H5" s="303">
        <v>12</v>
      </c>
      <c r="I5" s="303" t="s">
        <v>9</v>
      </c>
      <c r="J5" s="680"/>
      <c r="K5" s="680"/>
      <c r="L5" s="42" t="s">
        <v>252</v>
      </c>
      <c r="M5" s="41"/>
      <c r="N5" s="43"/>
    </row>
    <row r="6" spans="1:14" ht="20.100000000000001" customHeight="1" x14ac:dyDescent="0.25">
      <c r="A6" s="750"/>
      <c r="B6" s="681"/>
      <c r="C6" s="681"/>
      <c r="D6" s="681"/>
      <c r="E6" s="302">
        <v>43410</v>
      </c>
      <c r="F6" s="302">
        <v>43434</v>
      </c>
      <c r="G6" s="303" t="s">
        <v>34</v>
      </c>
      <c r="H6" s="303">
        <v>12</v>
      </c>
      <c r="I6" s="303" t="s">
        <v>4</v>
      </c>
      <c r="J6" s="681"/>
      <c r="K6" s="681"/>
      <c r="L6" s="42" t="s">
        <v>8</v>
      </c>
      <c r="M6" s="41"/>
      <c r="N6" s="204"/>
    </row>
    <row r="7" spans="1:14" ht="24" customHeight="1" x14ac:dyDescent="0.25">
      <c r="A7" s="750"/>
      <c r="B7" s="39" t="s">
        <v>42</v>
      </c>
      <c r="C7" s="40" t="s">
        <v>43</v>
      </c>
      <c r="D7" s="32" t="s">
        <v>787</v>
      </c>
      <c r="E7" s="302">
        <v>43410</v>
      </c>
      <c r="F7" s="302">
        <v>43434</v>
      </c>
      <c r="G7" s="303" t="s">
        <v>34</v>
      </c>
      <c r="H7" s="303">
        <v>12</v>
      </c>
      <c r="I7" s="303" t="s">
        <v>4</v>
      </c>
      <c r="J7" s="32">
        <v>3015457772</v>
      </c>
      <c r="K7" s="427" t="s">
        <v>308</v>
      </c>
      <c r="L7" s="42" t="s">
        <v>11</v>
      </c>
      <c r="M7" s="44" t="s">
        <v>790</v>
      </c>
      <c r="N7" s="43"/>
    </row>
    <row r="8" spans="1:14" ht="20.100000000000001" customHeight="1" x14ac:dyDescent="0.25">
      <c r="A8" s="750"/>
      <c r="B8" s="39" t="s">
        <v>44</v>
      </c>
      <c r="C8" s="40" t="s">
        <v>45</v>
      </c>
      <c r="D8" s="23" t="s">
        <v>788</v>
      </c>
      <c r="E8" s="302">
        <v>43410</v>
      </c>
      <c r="F8" s="302">
        <v>43434</v>
      </c>
      <c r="G8" s="303" t="s">
        <v>34</v>
      </c>
      <c r="H8" s="303">
        <v>12</v>
      </c>
      <c r="I8" s="303" t="s">
        <v>4</v>
      </c>
      <c r="J8" s="32">
        <v>3215292829</v>
      </c>
      <c r="K8" s="427" t="s">
        <v>301</v>
      </c>
      <c r="L8" s="42" t="s">
        <v>8</v>
      </c>
      <c r="M8" s="41"/>
      <c r="N8" s="43"/>
    </row>
    <row r="9" spans="1:14" ht="20.100000000000001" customHeight="1" x14ac:dyDescent="0.25">
      <c r="A9" s="750"/>
      <c r="B9" s="33" t="s">
        <v>46</v>
      </c>
      <c r="C9" s="40" t="s">
        <v>47</v>
      </c>
      <c r="D9" s="32" t="s">
        <v>789</v>
      </c>
      <c r="E9" s="302">
        <v>43410</v>
      </c>
      <c r="F9" s="302">
        <v>43434</v>
      </c>
      <c r="G9" s="303" t="s">
        <v>34</v>
      </c>
      <c r="H9" s="303">
        <v>12</v>
      </c>
      <c r="I9" s="303" t="s">
        <v>4</v>
      </c>
      <c r="J9" s="32">
        <v>3207658456</v>
      </c>
      <c r="K9" s="427" t="s">
        <v>309</v>
      </c>
      <c r="L9" s="42" t="s">
        <v>11</v>
      </c>
      <c r="M9" s="41"/>
      <c r="N9" s="43"/>
    </row>
    <row r="10" spans="1:14" ht="20.100000000000001" customHeight="1" x14ac:dyDescent="0.25">
      <c r="A10" s="750"/>
      <c r="B10" s="679" t="s">
        <v>48</v>
      </c>
      <c r="C10" s="679" t="s">
        <v>49</v>
      </c>
      <c r="D10" s="679" t="s">
        <v>730</v>
      </c>
      <c r="E10" s="686">
        <v>43405</v>
      </c>
      <c r="F10" s="686">
        <v>43434</v>
      </c>
      <c r="G10" s="688" t="s">
        <v>237</v>
      </c>
      <c r="H10" s="303">
        <v>8</v>
      </c>
      <c r="I10" s="303" t="s">
        <v>4</v>
      </c>
      <c r="J10" s="679">
        <v>3017683908</v>
      </c>
      <c r="K10" s="679" t="s">
        <v>279</v>
      </c>
      <c r="L10" s="42" t="s">
        <v>11</v>
      </c>
      <c r="M10" s="41"/>
      <c r="N10" s="43"/>
    </row>
    <row r="11" spans="1:14" ht="20.100000000000001" customHeight="1" x14ac:dyDescent="0.25">
      <c r="A11" s="750"/>
      <c r="B11" s="680"/>
      <c r="C11" s="680"/>
      <c r="D11" s="680"/>
      <c r="E11" s="687"/>
      <c r="F11" s="687"/>
      <c r="G11" s="689"/>
      <c r="H11" s="303">
        <v>20</v>
      </c>
      <c r="I11" s="303" t="s">
        <v>254</v>
      </c>
      <c r="J11" s="680"/>
      <c r="K11" s="680"/>
      <c r="L11" s="42" t="s">
        <v>50</v>
      </c>
      <c r="M11" s="41"/>
      <c r="N11" s="43"/>
    </row>
    <row r="12" spans="1:14" ht="20.100000000000001" customHeight="1" x14ac:dyDescent="0.25">
      <c r="A12" s="750"/>
      <c r="B12" s="681"/>
      <c r="C12" s="681"/>
      <c r="D12" s="681"/>
      <c r="E12" s="304">
        <v>43410</v>
      </c>
      <c r="F12" s="304">
        <v>43434</v>
      </c>
      <c r="G12" s="305" t="s">
        <v>34</v>
      </c>
      <c r="H12" s="303">
        <v>12</v>
      </c>
      <c r="I12" s="303" t="s">
        <v>4</v>
      </c>
      <c r="J12" s="681"/>
      <c r="K12" s="681"/>
      <c r="L12" s="42" t="s">
        <v>11</v>
      </c>
      <c r="M12" s="41"/>
      <c r="N12" s="204"/>
    </row>
    <row r="13" spans="1:14" ht="20.100000000000001" customHeight="1" x14ac:dyDescent="0.25">
      <c r="A13" s="750"/>
      <c r="B13" s="738" t="s">
        <v>51</v>
      </c>
      <c r="C13" s="741" t="s">
        <v>52</v>
      </c>
      <c r="D13" s="740" t="s">
        <v>754</v>
      </c>
      <c r="E13" s="302">
        <v>43410</v>
      </c>
      <c r="F13" s="302">
        <v>43434</v>
      </c>
      <c r="G13" s="305" t="s">
        <v>34</v>
      </c>
      <c r="H13" s="303">
        <v>12</v>
      </c>
      <c r="I13" s="303" t="s">
        <v>4</v>
      </c>
      <c r="J13" s="679">
        <v>3015238555</v>
      </c>
      <c r="K13" s="679" t="s">
        <v>266</v>
      </c>
      <c r="L13" s="32" t="s">
        <v>11</v>
      </c>
      <c r="M13" s="41"/>
      <c r="N13" s="43"/>
    </row>
    <row r="14" spans="1:14" ht="20.100000000000001" customHeight="1" x14ac:dyDescent="0.25">
      <c r="A14" s="750"/>
      <c r="B14" s="739"/>
      <c r="C14" s="742"/>
      <c r="D14" s="740"/>
      <c r="E14" s="407">
        <v>43418</v>
      </c>
      <c r="F14" s="407">
        <v>43434</v>
      </c>
      <c r="G14" s="406" t="s">
        <v>237</v>
      </c>
      <c r="H14" s="406">
        <v>6</v>
      </c>
      <c r="I14" s="406" t="s">
        <v>4</v>
      </c>
      <c r="J14" s="681"/>
      <c r="K14" s="681"/>
      <c r="L14" s="32" t="s">
        <v>11</v>
      </c>
      <c r="M14" s="41"/>
      <c r="N14" s="43"/>
    </row>
    <row r="15" spans="1:14" ht="20.100000000000001" customHeight="1" x14ac:dyDescent="0.25">
      <c r="A15" s="750"/>
      <c r="B15" s="179" t="s">
        <v>111</v>
      </c>
      <c r="C15" s="180" t="s">
        <v>1033</v>
      </c>
      <c r="D15" s="23" t="s">
        <v>997</v>
      </c>
      <c r="E15" s="209"/>
      <c r="F15" s="209"/>
      <c r="G15" s="201"/>
      <c r="H15" s="201"/>
      <c r="I15" s="201"/>
      <c r="J15" s="175">
        <v>2786537</v>
      </c>
      <c r="K15" s="421" t="s">
        <v>1034</v>
      </c>
      <c r="L15" s="176" t="s">
        <v>11</v>
      </c>
      <c r="M15" s="41"/>
      <c r="N15" s="181"/>
    </row>
    <row r="16" spans="1:14" ht="26.25" customHeight="1" x14ac:dyDescent="0.25">
      <c r="A16" s="750"/>
      <c r="B16" s="234" t="s">
        <v>53</v>
      </c>
      <c r="C16" s="500" t="s">
        <v>54</v>
      </c>
      <c r="D16" s="503" t="s">
        <v>754</v>
      </c>
      <c r="E16" s="230">
        <v>43414</v>
      </c>
      <c r="F16" s="230">
        <v>43434</v>
      </c>
      <c r="G16" s="503" t="s">
        <v>34</v>
      </c>
      <c r="H16" s="503">
        <v>12</v>
      </c>
      <c r="I16" s="503" t="s">
        <v>4</v>
      </c>
      <c r="J16" s="503">
        <v>3006788405</v>
      </c>
      <c r="K16" s="503" t="s">
        <v>306</v>
      </c>
      <c r="L16" s="503" t="s">
        <v>11</v>
      </c>
      <c r="M16" s="515" t="s">
        <v>1304</v>
      </c>
      <c r="N16" s="43"/>
    </row>
    <row r="17" spans="1:14" ht="20.100000000000001" customHeight="1" x14ac:dyDescent="0.25">
      <c r="A17" s="750"/>
      <c r="B17" s="242" t="s">
        <v>932</v>
      </c>
      <c r="C17" s="46" t="s">
        <v>933</v>
      </c>
      <c r="D17" s="243" t="s">
        <v>934</v>
      </c>
      <c r="E17" s="209"/>
      <c r="F17" s="209"/>
      <c r="G17" s="243"/>
      <c r="H17" s="244"/>
      <c r="I17" s="244"/>
      <c r="J17" s="243">
        <v>3145486334</v>
      </c>
      <c r="K17" s="420" t="s">
        <v>935</v>
      </c>
      <c r="L17" s="245" t="s">
        <v>968</v>
      </c>
      <c r="M17" s="47" t="s">
        <v>936</v>
      </c>
      <c r="N17" s="142"/>
    </row>
    <row r="18" spans="1:14" ht="20.100000000000001" customHeight="1" x14ac:dyDescent="0.25">
      <c r="A18" s="750"/>
      <c r="B18" s="760" t="s">
        <v>333</v>
      </c>
      <c r="C18" s="760" t="s">
        <v>332</v>
      </c>
      <c r="D18" s="595" t="s">
        <v>793</v>
      </c>
      <c r="E18" s="762">
        <v>43390</v>
      </c>
      <c r="F18" s="762">
        <v>43420</v>
      </c>
      <c r="G18" s="766" t="s">
        <v>77</v>
      </c>
      <c r="H18" s="212">
        <v>20</v>
      </c>
      <c r="I18" s="212" t="s">
        <v>4</v>
      </c>
      <c r="J18" s="595">
        <v>3217848880</v>
      </c>
      <c r="K18" s="595" t="s">
        <v>334</v>
      </c>
      <c r="L18" s="400" t="s">
        <v>8</v>
      </c>
      <c r="M18" s="797" t="s">
        <v>1165</v>
      </c>
      <c r="N18" s="43"/>
    </row>
    <row r="19" spans="1:14" ht="20.100000000000001" customHeight="1" x14ac:dyDescent="0.25">
      <c r="A19" s="750"/>
      <c r="B19" s="761"/>
      <c r="C19" s="761"/>
      <c r="D19" s="596"/>
      <c r="E19" s="763"/>
      <c r="F19" s="763"/>
      <c r="G19" s="767"/>
      <c r="H19" s="212">
        <v>20</v>
      </c>
      <c r="I19" s="212" t="s">
        <v>9</v>
      </c>
      <c r="J19" s="596"/>
      <c r="K19" s="596"/>
      <c r="L19" s="400" t="s">
        <v>252</v>
      </c>
      <c r="M19" s="798"/>
      <c r="N19" s="43"/>
    </row>
    <row r="20" spans="1:14" ht="20.100000000000001" customHeight="1" x14ac:dyDescent="0.25">
      <c r="A20" s="750"/>
      <c r="B20" s="738" t="s">
        <v>231</v>
      </c>
      <c r="C20" s="741" t="s">
        <v>232</v>
      </c>
      <c r="D20" s="740" t="s">
        <v>730</v>
      </c>
      <c r="E20" s="302">
        <v>43410</v>
      </c>
      <c r="F20" s="302">
        <v>43434</v>
      </c>
      <c r="G20" s="306" t="s">
        <v>34</v>
      </c>
      <c r="H20" s="306">
        <v>12</v>
      </c>
      <c r="I20" s="306" t="s">
        <v>4</v>
      </c>
      <c r="J20" s="679">
        <v>3106165564</v>
      </c>
      <c r="K20" s="679" t="s">
        <v>304</v>
      </c>
      <c r="L20" s="45" t="s">
        <v>11</v>
      </c>
      <c r="M20" s="41"/>
      <c r="N20" s="43"/>
    </row>
    <row r="21" spans="1:14" ht="20.100000000000001" customHeight="1" x14ac:dyDescent="0.25">
      <c r="A21" s="750"/>
      <c r="B21" s="739"/>
      <c r="C21" s="742"/>
      <c r="D21" s="740"/>
      <c r="E21" s="307">
        <v>43405</v>
      </c>
      <c r="F21" s="307">
        <v>43434</v>
      </c>
      <c r="G21" s="308" t="s">
        <v>237</v>
      </c>
      <c r="H21" s="308">
        <v>20</v>
      </c>
      <c r="I21" s="308" t="s">
        <v>254</v>
      </c>
      <c r="J21" s="681"/>
      <c r="K21" s="681"/>
      <c r="L21" s="45" t="s">
        <v>50</v>
      </c>
      <c r="M21" s="41"/>
      <c r="N21" s="43"/>
    </row>
    <row r="22" spans="1:14" ht="20.100000000000001" customHeight="1" x14ac:dyDescent="0.25">
      <c r="A22" s="750"/>
      <c r="B22" s="157" t="s">
        <v>988</v>
      </c>
      <c r="C22" s="157" t="s">
        <v>989</v>
      </c>
      <c r="D22" s="23" t="s">
        <v>755</v>
      </c>
      <c r="E22" s="302">
        <v>43410</v>
      </c>
      <c r="F22" s="302">
        <v>43434</v>
      </c>
      <c r="G22" s="306" t="s">
        <v>34</v>
      </c>
      <c r="H22" s="306">
        <v>12</v>
      </c>
      <c r="I22" s="306" t="s">
        <v>4</v>
      </c>
      <c r="J22" s="161">
        <v>3107271568</v>
      </c>
      <c r="K22" s="426" t="s">
        <v>990</v>
      </c>
      <c r="L22" s="161" t="s">
        <v>11</v>
      </c>
      <c r="M22" s="41"/>
      <c r="N22" s="162"/>
    </row>
    <row r="23" spans="1:14" ht="20.100000000000001" customHeight="1" x14ac:dyDescent="0.25">
      <c r="A23" s="750"/>
      <c r="B23" s="157" t="s">
        <v>985</v>
      </c>
      <c r="C23" s="157" t="s">
        <v>986</v>
      </c>
      <c r="D23" s="161" t="s">
        <v>730</v>
      </c>
      <c r="E23" s="302">
        <v>43414</v>
      </c>
      <c r="F23" s="302">
        <v>43434</v>
      </c>
      <c r="G23" s="303" t="s">
        <v>34</v>
      </c>
      <c r="H23" s="303">
        <v>12</v>
      </c>
      <c r="I23" s="303" t="s">
        <v>4</v>
      </c>
      <c r="J23" s="161">
        <v>-3126400798</v>
      </c>
      <c r="K23" s="465" t="s">
        <v>987</v>
      </c>
      <c r="L23" s="161" t="s">
        <v>11</v>
      </c>
      <c r="M23" s="41"/>
      <c r="N23" s="162"/>
    </row>
    <row r="24" spans="1:14" ht="20.100000000000001" customHeight="1" x14ac:dyDescent="0.25">
      <c r="A24" s="750"/>
      <c r="B24" s="738" t="s">
        <v>233</v>
      </c>
      <c r="C24" s="741" t="s">
        <v>234</v>
      </c>
      <c r="D24" s="740" t="s">
        <v>754</v>
      </c>
      <c r="E24" s="302">
        <v>43410</v>
      </c>
      <c r="F24" s="302">
        <v>43434</v>
      </c>
      <c r="G24" s="306" t="s">
        <v>34</v>
      </c>
      <c r="H24" s="306">
        <v>12</v>
      </c>
      <c r="I24" s="306" t="s">
        <v>4</v>
      </c>
      <c r="J24" s="679">
        <v>3168676337</v>
      </c>
      <c r="K24" s="679" t="s">
        <v>305</v>
      </c>
      <c r="L24" s="45" t="s">
        <v>11</v>
      </c>
      <c r="M24" s="811" t="s">
        <v>1326</v>
      </c>
      <c r="N24" s="43"/>
    </row>
    <row r="25" spans="1:14" ht="20.100000000000001" customHeight="1" x14ac:dyDescent="0.25">
      <c r="A25" s="750"/>
      <c r="B25" s="739"/>
      <c r="C25" s="742"/>
      <c r="D25" s="740"/>
      <c r="E25" s="307">
        <v>43405</v>
      </c>
      <c r="F25" s="307">
        <v>43434</v>
      </c>
      <c r="G25" s="308" t="s">
        <v>237</v>
      </c>
      <c r="H25" s="308">
        <v>12</v>
      </c>
      <c r="I25" s="308" t="s">
        <v>254</v>
      </c>
      <c r="J25" s="681"/>
      <c r="K25" s="681"/>
      <c r="L25" s="45" t="s">
        <v>50</v>
      </c>
      <c r="M25" s="812"/>
      <c r="N25" s="43"/>
    </row>
    <row r="26" spans="1:14" ht="20.100000000000001" customHeight="1" x14ac:dyDescent="0.25">
      <c r="A26" s="750"/>
      <c r="B26" s="679" t="s">
        <v>235</v>
      </c>
      <c r="C26" s="679" t="s">
        <v>236</v>
      </c>
      <c r="D26" s="690" t="s">
        <v>762</v>
      </c>
      <c r="E26" s="307">
        <v>43405</v>
      </c>
      <c r="F26" s="307">
        <v>43434</v>
      </c>
      <c r="G26" s="308" t="s">
        <v>237</v>
      </c>
      <c r="H26" s="308">
        <v>8</v>
      </c>
      <c r="I26" s="308" t="s">
        <v>254</v>
      </c>
      <c r="J26" s="679" t="s">
        <v>299</v>
      </c>
      <c r="K26" s="679" t="s">
        <v>300</v>
      </c>
      <c r="L26" s="45" t="s">
        <v>50</v>
      </c>
      <c r="M26" s="47"/>
      <c r="N26" s="204"/>
    </row>
    <row r="27" spans="1:14" ht="20.100000000000001" customHeight="1" x14ac:dyDescent="0.25">
      <c r="A27" s="750"/>
      <c r="B27" s="681"/>
      <c r="C27" s="681"/>
      <c r="D27" s="691"/>
      <c r="E27" s="302">
        <v>43410</v>
      </c>
      <c r="F27" s="302">
        <v>43434</v>
      </c>
      <c r="G27" s="306" t="s">
        <v>34</v>
      </c>
      <c r="H27" s="306">
        <v>12</v>
      </c>
      <c r="I27" s="306" t="s">
        <v>4</v>
      </c>
      <c r="J27" s="681"/>
      <c r="K27" s="681"/>
      <c r="L27" s="28" t="s">
        <v>11</v>
      </c>
      <c r="M27" s="47"/>
      <c r="N27" s="43"/>
    </row>
    <row r="28" spans="1:14" ht="20.100000000000001" customHeight="1" x14ac:dyDescent="0.25">
      <c r="A28" s="750"/>
      <c r="B28" s="131" t="s">
        <v>247</v>
      </c>
      <c r="C28" s="132" t="s">
        <v>248</v>
      </c>
      <c r="D28" s="133" t="s">
        <v>757</v>
      </c>
      <c r="E28" s="398">
        <v>43410</v>
      </c>
      <c r="F28" s="398">
        <v>43434</v>
      </c>
      <c r="G28" s="241" t="s">
        <v>34</v>
      </c>
      <c r="H28" s="241"/>
      <c r="I28" s="241" t="s">
        <v>4</v>
      </c>
      <c r="J28" s="241">
        <v>3135271595</v>
      </c>
      <c r="K28" s="415" t="s">
        <v>303</v>
      </c>
      <c r="L28" s="399" t="s">
        <v>1164</v>
      </c>
      <c r="M28" s="47"/>
      <c r="N28" s="43"/>
    </row>
    <row r="29" spans="1:14" s="539" customFormat="1" ht="20.100000000000001" customHeight="1" thickBot="1" x14ac:dyDescent="0.3">
      <c r="A29" s="537"/>
      <c r="B29" s="538"/>
      <c r="C29" s="538"/>
      <c r="D29" s="538"/>
      <c r="E29" s="538"/>
      <c r="F29" s="538"/>
      <c r="G29" s="538"/>
      <c r="H29" s="538">
        <f>SUM(H2:H28)</f>
        <v>306</v>
      </c>
      <c r="I29" s="538"/>
      <c r="J29" s="538"/>
      <c r="K29" s="538"/>
      <c r="L29" s="538"/>
      <c r="M29" s="538"/>
      <c r="N29" s="538"/>
    </row>
    <row r="30" spans="1:14" ht="18" customHeight="1" x14ac:dyDescent="0.25">
      <c r="A30" s="746" t="s">
        <v>115</v>
      </c>
      <c r="B30" s="79" t="s">
        <v>116</v>
      </c>
      <c r="C30" s="80" t="s">
        <v>117</v>
      </c>
      <c r="D30" s="81" t="s">
        <v>779</v>
      </c>
      <c r="E30" s="309">
        <v>43410</v>
      </c>
      <c r="F30" s="309">
        <v>43434</v>
      </c>
      <c r="G30" s="310" t="s">
        <v>34</v>
      </c>
      <c r="H30" s="310">
        <v>12</v>
      </c>
      <c r="I30" s="310" t="s">
        <v>4</v>
      </c>
      <c r="J30" s="82">
        <v>3125614051</v>
      </c>
      <c r="K30" s="82" t="s">
        <v>310</v>
      </c>
      <c r="L30" s="83" t="s">
        <v>41</v>
      </c>
      <c r="M30" s="799" t="s">
        <v>243</v>
      </c>
      <c r="N30" s="84"/>
    </row>
    <row r="31" spans="1:14" ht="20.100000000000001" customHeight="1" x14ac:dyDescent="0.25">
      <c r="A31" s="747"/>
      <c r="B31" s="85" t="s">
        <v>39</v>
      </c>
      <c r="C31" s="86" t="s">
        <v>40</v>
      </c>
      <c r="D31" s="87" t="s">
        <v>755</v>
      </c>
      <c r="E31" s="302">
        <v>43405</v>
      </c>
      <c r="F31" s="302">
        <v>43434</v>
      </c>
      <c r="G31" s="306" t="s">
        <v>34</v>
      </c>
      <c r="H31" s="306">
        <v>12</v>
      </c>
      <c r="I31" s="306" t="s">
        <v>4</v>
      </c>
      <c r="J31" s="88">
        <v>3205316814</v>
      </c>
      <c r="K31" s="89" t="s">
        <v>311</v>
      </c>
      <c r="L31" s="88" t="s">
        <v>41</v>
      </c>
      <c r="M31" s="800"/>
      <c r="N31" s="84"/>
    </row>
    <row r="32" spans="1:14" ht="19.5" customHeight="1" x14ac:dyDescent="0.25">
      <c r="A32" s="747"/>
      <c r="B32" s="90" t="s">
        <v>118</v>
      </c>
      <c r="C32" s="91" t="s">
        <v>119</v>
      </c>
      <c r="D32" s="89" t="s">
        <v>753</v>
      </c>
      <c r="E32" s="302">
        <v>43410</v>
      </c>
      <c r="F32" s="302">
        <v>43434</v>
      </c>
      <c r="G32" s="306" t="s">
        <v>34</v>
      </c>
      <c r="H32" s="306">
        <v>12</v>
      </c>
      <c r="I32" s="306" t="s">
        <v>254</v>
      </c>
      <c r="J32" s="92" t="s">
        <v>313</v>
      </c>
      <c r="K32" s="423" t="s">
        <v>286</v>
      </c>
      <c r="L32" s="88" t="s">
        <v>50</v>
      </c>
      <c r="M32" s="94"/>
      <c r="N32" s="84"/>
    </row>
    <row r="33" spans="1:14" ht="20.100000000000001" customHeight="1" thickBot="1" x14ac:dyDescent="0.3">
      <c r="A33" s="748"/>
      <c r="B33" s="95" t="s">
        <v>120</v>
      </c>
      <c r="C33" s="96" t="s">
        <v>121</v>
      </c>
      <c r="D33" s="97" t="s">
        <v>741</v>
      </c>
      <c r="E33" s="304">
        <v>43410</v>
      </c>
      <c r="F33" s="304">
        <v>43434</v>
      </c>
      <c r="G33" s="311" t="s">
        <v>34</v>
      </c>
      <c r="H33" s="312">
        <v>12</v>
      </c>
      <c r="I33" s="312" t="s">
        <v>4</v>
      </c>
      <c r="J33" s="98">
        <v>3218701120</v>
      </c>
      <c r="K33" s="466" t="s">
        <v>312</v>
      </c>
      <c r="L33" s="99" t="s">
        <v>41</v>
      </c>
      <c r="M33" s="100"/>
      <c r="N33" s="84"/>
    </row>
    <row r="34" spans="1:14" s="535" customFormat="1" ht="20.100000000000001" customHeight="1" thickBot="1" x14ac:dyDescent="0.3">
      <c r="A34" s="526"/>
      <c r="B34" s="527"/>
      <c r="C34" s="528"/>
      <c r="D34" s="531"/>
      <c r="E34" s="530"/>
      <c r="F34" s="530"/>
      <c r="G34" s="540"/>
      <c r="H34" s="541">
        <f>SUM(H30:H33)</f>
        <v>48</v>
      </c>
      <c r="I34" s="541"/>
      <c r="J34" s="531"/>
      <c r="K34" s="542"/>
      <c r="L34" s="543"/>
      <c r="M34" s="544"/>
      <c r="N34" s="534"/>
    </row>
    <row r="35" spans="1:14" ht="19.5" customHeight="1" x14ac:dyDescent="0.25">
      <c r="A35" s="749" t="s">
        <v>274</v>
      </c>
      <c r="B35" s="765" t="s">
        <v>57</v>
      </c>
      <c r="C35" s="789" t="s">
        <v>58</v>
      </c>
      <c r="D35" s="692" t="s">
        <v>730</v>
      </c>
      <c r="E35" s="309">
        <v>43405</v>
      </c>
      <c r="F35" s="309">
        <v>43434</v>
      </c>
      <c r="G35" s="313" t="s">
        <v>237</v>
      </c>
      <c r="H35" s="313">
        <v>20</v>
      </c>
      <c r="I35" s="313" t="s">
        <v>254</v>
      </c>
      <c r="J35" s="692">
        <v>3008015074</v>
      </c>
      <c r="K35" s="692" t="s">
        <v>867</v>
      </c>
      <c r="L35" s="49"/>
      <c r="M35" s="414" t="s">
        <v>1179</v>
      </c>
      <c r="N35" s="61"/>
    </row>
    <row r="36" spans="1:14" ht="20.100000000000001" customHeight="1" x14ac:dyDescent="0.25">
      <c r="A36" s="750"/>
      <c r="B36" s="704"/>
      <c r="C36" s="764"/>
      <c r="D36" s="681"/>
      <c r="E36" s="307">
        <v>43410</v>
      </c>
      <c r="F36" s="307">
        <v>43434</v>
      </c>
      <c r="G36" s="303" t="s">
        <v>34</v>
      </c>
      <c r="H36" s="303">
        <v>12</v>
      </c>
      <c r="I36" s="303" t="s">
        <v>4</v>
      </c>
      <c r="J36" s="681"/>
      <c r="K36" s="681"/>
      <c r="L36" s="32" t="s">
        <v>56</v>
      </c>
      <c r="M36" s="51"/>
      <c r="N36" s="61"/>
    </row>
    <row r="37" spans="1:14" ht="20.100000000000001" customHeight="1" x14ac:dyDescent="0.25">
      <c r="A37" s="750"/>
      <c r="B37" s="153" t="s">
        <v>952</v>
      </c>
      <c r="C37" s="154" t="s">
        <v>953</v>
      </c>
      <c r="D37" s="148"/>
      <c r="E37" s="209"/>
      <c r="F37" s="209"/>
      <c r="G37" s="199"/>
      <c r="H37" s="199"/>
      <c r="I37" s="199"/>
      <c r="J37" s="148">
        <v>3014746332</v>
      </c>
      <c r="K37" s="431" t="s">
        <v>954</v>
      </c>
      <c r="L37" s="42" t="s">
        <v>56</v>
      </c>
      <c r="M37" s="52"/>
      <c r="N37" s="61"/>
    </row>
    <row r="38" spans="1:14" ht="20.100000000000001" customHeight="1" x14ac:dyDescent="0.25">
      <c r="A38" s="750"/>
      <c r="B38" s="33" t="s">
        <v>984</v>
      </c>
      <c r="C38" s="40" t="s">
        <v>59</v>
      </c>
      <c r="D38" s="32"/>
      <c r="E38" s="302">
        <v>43410</v>
      </c>
      <c r="F38" s="302">
        <v>43434</v>
      </c>
      <c r="G38" s="303" t="s">
        <v>34</v>
      </c>
      <c r="H38" s="303">
        <v>12</v>
      </c>
      <c r="I38" s="303" t="s">
        <v>4</v>
      </c>
      <c r="J38" s="32">
        <v>3106029445</v>
      </c>
      <c r="K38" s="427" t="s">
        <v>325</v>
      </c>
      <c r="L38" s="42" t="s">
        <v>60</v>
      </c>
      <c r="M38" s="52"/>
      <c r="N38" s="61"/>
    </row>
    <row r="39" spans="1:14" ht="20.100000000000001" customHeight="1" x14ac:dyDescent="0.25">
      <c r="A39" s="750"/>
      <c r="B39" s="704" t="s">
        <v>61</v>
      </c>
      <c r="C39" s="764" t="s">
        <v>62</v>
      </c>
      <c r="D39" s="679" t="s">
        <v>769</v>
      </c>
      <c r="E39" s="302">
        <v>43410</v>
      </c>
      <c r="F39" s="302">
        <v>43434</v>
      </c>
      <c r="G39" s="303" t="s">
        <v>34</v>
      </c>
      <c r="H39" s="303">
        <v>12</v>
      </c>
      <c r="I39" s="303" t="s">
        <v>9</v>
      </c>
      <c r="J39" s="32">
        <v>3012274296</v>
      </c>
      <c r="K39" s="427" t="s">
        <v>322</v>
      </c>
      <c r="L39" s="42" t="s">
        <v>80</v>
      </c>
      <c r="M39" s="52"/>
      <c r="N39" s="61"/>
    </row>
    <row r="40" spans="1:14" ht="20.100000000000001" customHeight="1" x14ac:dyDescent="0.25">
      <c r="A40" s="750"/>
      <c r="B40" s="704"/>
      <c r="C40" s="764"/>
      <c r="D40" s="681"/>
      <c r="E40" s="302">
        <v>43405</v>
      </c>
      <c r="F40" s="302">
        <v>43434</v>
      </c>
      <c r="G40" s="303" t="s">
        <v>237</v>
      </c>
      <c r="H40" s="303">
        <v>20</v>
      </c>
      <c r="I40" s="303" t="s">
        <v>254</v>
      </c>
      <c r="J40" s="32">
        <v>3012274296</v>
      </c>
      <c r="K40" s="426" t="s">
        <v>278</v>
      </c>
      <c r="L40" s="32" t="s">
        <v>154</v>
      </c>
      <c r="M40" s="52"/>
      <c r="N40" s="61"/>
    </row>
    <row r="41" spans="1:14" ht="20.100000000000001" customHeight="1" x14ac:dyDescent="0.25">
      <c r="A41" s="750"/>
      <c r="B41" s="704" t="s">
        <v>63</v>
      </c>
      <c r="C41" s="764" t="s">
        <v>64</v>
      </c>
      <c r="D41" s="679" t="s">
        <v>1116</v>
      </c>
      <c r="E41" s="307">
        <v>43410</v>
      </c>
      <c r="F41" s="307">
        <v>43434</v>
      </c>
      <c r="G41" s="303" t="s">
        <v>34</v>
      </c>
      <c r="H41" s="303">
        <v>12</v>
      </c>
      <c r="I41" s="303" t="s">
        <v>4</v>
      </c>
      <c r="J41" s="32">
        <v>7778385</v>
      </c>
      <c r="K41" s="426" t="s">
        <v>323</v>
      </c>
      <c r="L41" s="32" t="s">
        <v>60</v>
      </c>
      <c r="M41" s="52"/>
      <c r="N41" s="61"/>
    </row>
    <row r="42" spans="1:14" ht="20.100000000000001" customHeight="1" x14ac:dyDescent="0.25">
      <c r="A42" s="750"/>
      <c r="B42" s="704"/>
      <c r="C42" s="764"/>
      <c r="D42" s="681"/>
      <c r="E42" s="302">
        <v>43405</v>
      </c>
      <c r="F42" s="302">
        <v>43434</v>
      </c>
      <c r="G42" s="303" t="s">
        <v>237</v>
      </c>
      <c r="H42" s="303">
        <v>12</v>
      </c>
      <c r="I42" s="303" t="s">
        <v>254</v>
      </c>
      <c r="J42" s="32">
        <v>7778385</v>
      </c>
      <c r="K42" s="426" t="s">
        <v>277</v>
      </c>
      <c r="L42" s="32" t="s">
        <v>154</v>
      </c>
      <c r="M42" s="52"/>
      <c r="N42" s="61"/>
    </row>
    <row r="43" spans="1:14" ht="20.100000000000001" customHeight="1" x14ac:dyDescent="0.25">
      <c r="A43" s="750"/>
      <c r="B43" s="704" t="s">
        <v>270</v>
      </c>
      <c r="C43" s="764" t="s">
        <v>271</v>
      </c>
      <c r="D43" s="679" t="s">
        <v>1115</v>
      </c>
      <c r="E43" s="302">
        <v>43405</v>
      </c>
      <c r="F43" s="302">
        <v>43434</v>
      </c>
      <c r="G43" s="303" t="s">
        <v>237</v>
      </c>
      <c r="H43" s="303">
        <v>20</v>
      </c>
      <c r="I43" s="303" t="s">
        <v>254</v>
      </c>
      <c r="J43" s="679">
        <v>3006314857</v>
      </c>
      <c r="K43" s="679" t="s">
        <v>272</v>
      </c>
      <c r="L43" s="32" t="s">
        <v>154</v>
      </c>
      <c r="M43" s="52"/>
      <c r="N43" s="61"/>
    </row>
    <row r="44" spans="1:14" ht="20.100000000000001" customHeight="1" x14ac:dyDescent="0.25">
      <c r="A44" s="750"/>
      <c r="B44" s="704"/>
      <c r="C44" s="764"/>
      <c r="D44" s="681"/>
      <c r="E44" s="302">
        <v>43410</v>
      </c>
      <c r="F44" s="302">
        <v>43434</v>
      </c>
      <c r="G44" s="303" t="s">
        <v>34</v>
      </c>
      <c r="H44" s="303">
        <v>12</v>
      </c>
      <c r="I44" s="303" t="s">
        <v>4</v>
      </c>
      <c r="J44" s="681"/>
      <c r="K44" s="681"/>
      <c r="L44" s="32" t="s">
        <v>60</v>
      </c>
      <c r="M44" s="52"/>
      <c r="N44" s="61"/>
    </row>
    <row r="45" spans="1:14" ht="20.100000000000001" customHeight="1" x14ac:dyDescent="0.25">
      <c r="A45" s="750"/>
      <c r="B45" s="33" t="s">
        <v>680</v>
      </c>
      <c r="C45" s="53" t="s">
        <v>681</v>
      </c>
      <c r="D45" s="32" t="s">
        <v>752</v>
      </c>
      <c r="E45" s="304">
        <v>43414</v>
      </c>
      <c r="F45" s="304">
        <v>43434</v>
      </c>
      <c r="G45" s="303" t="s">
        <v>34</v>
      </c>
      <c r="H45" s="303">
        <v>12</v>
      </c>
      <c r="I45" s="303" t="s">
        <v>4</v>
      </c>
      <c r="J45" s="29">
        <v>3012214454</v>
      </c>
      <c r="K45" s="421" t="s">
        <v>682</v>
      </c>
      <c r="L45" s="32" t="s">
        <v>56</v>
      </c>
      <c r="M45" s="52"/>
      <c r="N45" s="61"/>
    </row>
    <row r="46" spans="1:14" ht="20.100000000000001" customHeight="1" x14ac:dyDescent="0.25">
      <c r="A46" s="750"/>
      <c r="B46" s="704" t="s">
        <v>65</v>
      </c>
      <c r="C46" s="764" t="s">
        <v>66</v>
      </c>
      <c r="D46" s="682" t="s">
        <v>762</v>
      </c>
      <c r="E46" s="302">
        <v>43405</v>
      </c>
      <c r="F46" s="302">
        <v>43434</v>
      </c>
      <c r="G46" s="303" t="s">
        <v>237</v>
      </c>
      <c r="H46" s="303">
        <v>20</v>
      </c>
      <c r="I46" s="303" t="s">
        <v>254</v>
      </c>
      <c r="J46" s="32">
        <v>3007858514</v>
      </c>
      <c r="K46" s="427" t="s">
        <v>275</v>
      </c>
      <c r="L46" s="42" t="s">
        <v>154</v>
      </c>
      <c r="M46" s="52"/>
      <c r="N46" s="61"/>
    </row>
    <row r="47" spans="1:14" ht="20.100000000000001" customHeight="1" x14ac:dyDescent="0.25">
      <c r="A47" s="750"/>
      <c r="B47" s="704"/>
      <c r="C47" s="764"/>
      <c r="D47" s="684"/>
      <c r="E47" s="302">
        <v>43410</v>
      </c>
      <c r="F47" s="302">
        <v>43434</v>
      </c>
      <c r="G47" s="303" t="s">
        <v>34</v>
      </c>
      <c r="H47" s="303">
        <v>12</v>
      </c>
      <c r="I47" s="303" t="s">
        <v>4</v>
      </c>
      <c r="J47" s="32">
        <v>3007858514</v>
      </c>
      <c r="K47" s="427" t="s">
        <v>314</v>
      </c>
      <c r="L47" s="42" t="s">
        <v>56</v>
      </c>
      <c r="M47" s="52"/>
      <c r="N47" s="61"/>
    </row>
    <row r="48" spans="1:14" ht="20.100000000000001" customHeight="1" x14ac:dyDescent="0.25">
      <c r="A48" s="750"/>
      <c r="B48" s="704" t="s">
        <v>67</v>
      </c>
      <c r="C48" s="764" t="s">
        <v>68</v>
      </c>
      <c r="D48" s="679" t="s">
        <v>763</v>
      </c>
      <c r="E48" s="302">
        <v>43410</v>
      </c>
      <c r="F48" s="302">
        <v>43434</v>
      </c>
      <c r="G48" s="303" t="s">
        <v>34</v>
      </c>
      <c r="H48" s="303">
        <v>12</v>
      </c>
      <c r="I48" s="303" t="s">
        <v>4</v>
      </c>
      <c r="J48" s="679">
        <v>3008054183</v>
      </c>
      <c r="K48" s="679" t="s">
        <v>280</v>
      </c>
      <c r="L48" s="42" t="s">
        <v>56</v>
      </c>
      <c r="M48" s="52"/>
      <c r="N48" s="61"/>
    </row>
    <row r="49" spans="1:14" ht="20.100000000000001" customHeight="1" x14ac:dyDescent="0.25">
      <c r="A49" s="750"/>
      <c r="B49" s="704"/>
      <c r="C49" s="764"/>
      <c r="D49" s="681"/>
      <c r="E49" s="302">
        <v>43405</v>
      </c>
      <c r="F49" s="302">
        <v>43434</v>
      </c>
      <c r="G49" s="303" t="s">
        <v>237</v>
      </c>
      <c r="H49" s="303">
        <v>12</v>
      </c>
      <c r="I49" s="303" t="s">
        <v>9</v>
      </c>
      <c r="J49" s="681"/>
      <c r="K49" s="681"/>
      <c r="L49" s="42" t="s">
        <v>80</v>
      </c>
      <c r="M49" s="52"/>
      <c r="N49" s="61"/>
    </row>
    <row r="50" spans="1:14" ht="20.100000000000001" customHeight="1" x14ac:dyDescent="0.25">
      <c r="A50" s="750"/>
      <c r="B50" s="807" t="s">
        <v>69</v>
      </c>
      <c r="C50" s="788" t="s">
        <v>70</v>
      </c>
      <c r="D50" s="714" t="s">
        <v>754</v>
      </c>
      <c r="E50" s="302">
        <v>43414</v>
      </c>
      <c r="F50" s="302">
        <v>43434</v>
      </c>
      <c r="G50" s="303" t="s">
        <v>34</v>
      </c>
      <c r="H50" s="303">
        <v>12</v>
      </c>
      <c r="I50" s="303" t="s">
        <v>9</v>
      </c>
      <c r="J50" s="714">
        <v>3146017015</v>
      </c>
      <c r="K50" s="714" t="s">
        <v>315</v>
      </c>
      <c r="L50" s="139" t="s">
        <v>80</v>
      </c>
      <c r="M50" s="706" t="s">
        <v>966</v>
      </c>
      <c r="N50" s="708"/>
    </row>
    <row r="51" spans="1:14" ht="20.100000000000001" customHeight="1" x14ac:dyDescent="0.25">
      <c r="A51" s="750"/>
      <c r="B51" s="807"/>
      <c r="C51" s="788"/>
      <c r="D51" s="715"/>
      <c r="E51" s="686">
        <v>43405</v>
      </c>
      <c r="F51" s="686">
        <v>43434</v>
      </c>
      <c r="G51" s="688" t="s">
        <v>237</v>
      </c>
      <c r="H51" s="303">
        <v>12</v>
      </c>
      <c r="I51" s="303" t="s">
        <v>4</v>
      </c>
      <c r="J51" s="715"/>
      <c r="K51" s="715"/>
      <c r="L51" s="143" t="s">
        <v>56</v>
      </c>
      <c r="M51" s="707"/>
      <c r="N51" s="709"/>
    </row>
    <row r="52" spans="1:14" ht="20.100000000000001" customHeight="1" x14ac:dyDescent="0.25">
      <c r="A52" s="750"/>
      <c r="B52" s="807"/>
      <c r="C52" s="788"/>
      <c r="D52" s="716"/>
      <c r="E52" s="687"/>
      <c r="F52" s="687"/>
      <c r="G52" s="689"/>
      <c r="H52" s="303">
        <v>8</v>
      </c>
      <c r="I52" s="303" t="s">
        <v>254</v>
      </c>
      <c r="J52" s="716"/>
      <c r="K52" s="716"/>
      <c r="L52" s="143" t="s">
        <v>154</v>
      </c>
      <c r="M52" s="193" t="s">
        <v>937</v>
      </c>
      <c r="N52" s="168"/>
    </row>
    <row r="53" spans="1:14" ht="20.100000000000001" customHeight="1" x14ac:dyDescent="0.25">
      <c r="A53" s="750"/>
      <c r="B53" s="738" t="s">
        <v>71</v>
      </c>
      <c r="C53" s="741" t="s">
        <v>72</v>
      </c>
      <c r="D53" s="679" t="s">
        <v>754</v>
      </c>
      <c r="E53" s="302">
        <v>43410</v>
      </c>
      <c r="F53" s="302">
        <v>43434</v>
      </c>
      <c r="G53" s="303" t="s">
        <v>34</v>
      </c>
      <c r="H53" s="303">
        <v>12</v>
      </c>
      <c r="I53" s="303" t="s">
        <v>4</v>
      </c>
      <c r="J53" s="679">
        <v>3013563598</v>
      </c>
      <c r="K53" s="679" t="s">
        <v>273</v>
      </c>
      <c r="L53" s="32" t="s">
        <v>56</v>
      </c>
      <c r="M53" s="52"/>
      <c r="N53" s="61"/>
    </row>
    <row r="54" spans="1:14" ht="20.25" customHeight="1" x14ac:dyDescent="0.25">
      <c r="A54" s="750"/>
      <c r="B54" s="739"/>
      <c r="C54" s="742"/>
      <c r="D54" s="681"/>
      <c r="E54" s="307">
        <v>43405</v>
      </c>
      <c r="F54" s="307">
        <v>43434</v>
      </c>
      <c r="G54" s="308" t="s">
        <v>237</v>
      </c>
      <c r="H54" s="308">
        <v>20</v>
      </c>
      <c r="I54" s="303" t="s">
        <v>254</v>
      </c>
      <c r="J54" s="681"/>
      <c r="K54" s="681"/>
      <c r="L54" s="45" t="s">
        <v>154</v>
      </c>
      <c r="M54" s="52"/>
      <c r="N54" s="61"/>
    </row>
    <row r="55" spans="1:14" ht="20.100000000000001" customHeight="1" x14ac:dyDescent="0.25">
      <c r="A55" s="750"/>
      <c r="B55" s="704" t="s">
        <v>73</v>
      </c>
      <c r="C55" s="764" t="s">
        <v>74</v>
      </c>
      <c r="D55" s="679" t="s">
        <v>751</v>
      </c>
      <c r="E55" s="686">
        <v>43405</v>
      </c>
      <c r="F55" s="686">
        <v>43434</v>
      </c>
      <c r="G55" s="710" t="s">
        <v>237</v>
      </c>
      <c r="H55" s="303">
        <v>12</v>
      </c>
      <c r="I55" s="303" t="s">
        <v>9</v>
      </c>
      <c r="J55" s="679">
        <v>3002101210</v>
      </c>
      <c r="K55" s="679" t="s">
        <v>265</v>
      </c>
      <c r="L55" s="32" t="s">
        <v>80</v>
      </c>
      <c r="M55" s="52"/>
      <c r="N55" s="61"/>
    </row>
    <row r="56" spans="1:14" ht="20.100000000000001" customHeight="1" x14ac:dyDescent="0.25">
      <c r="A56" s="750"/>
      <c r="B56" s="704"/>
      <c r="C56" s="764"/>
      <c r="D56" s="680"/>
      <c r="E56" s="689"/>
      <c r="F56" s="689"/>
      <c r="G56" s="710"/>
      <c r="H56" s="303">
        <v>20</v>
      </c>
      <c r="I56" s="303" t="s">
        <v>254</v>
      </c>
      <c r="J56" s="680"/>
      <c r="K56" s="680"/>
      <c r="L56" s="42" t="s">
        <v>154</v>
      </c>
      <c r="M56" s="52"/>
      <c r="N56" s="61"/>
    </row>
    <row r="57" spans="1:14" ht="20.100000000000001" customHeight="1" x14ac:dyDescent="0.25">
      <c r="A57" s="750"/>
      <c r="B57" s="704"/>
      <c r="C57" s="764"/>
      <c r="D57" s="681"/>
      <c r="E57" s="302">
        <v>43410</v>
      </c>
      <c r="F57" s="302">
        <v>43434</v>
      </c>
      <c r="G57" s="303" t="s">
        <v>34</v>
      </c>
      <c r="H57" s="303">
        <v>12</v>
      </c>
      <c r="I57" s="303" t="s">
        <v>4</v>
      </c>
      <c r="J57" s="681"/>
      <c r="K57" s="681"/>
      <c r="L57" s="32" t="s">
        <v>56</v>
      </c>
      <c r="M57" s="52"/>
      <c r="N57" s="61"/>
    </row>
    <row r="58" spans="1:14" ht="20.100000000000001" customHeight="1" x14ac:dyDescent="0.25">
      <c r="A58" s="750"/>
      <c r="B58" s="177" t="s">
        <v>1029</v>
      </c>
      <c r="C58" s="178" t="s">
        <v>1030</v>
      </c>
      <c r="D58" s="170" t="s">
        <v>1031</v>
      </c>
      <c r="E58" s="209"/>
      <c r="F58" s="209"/>
      <c r="G58" s="201"/>
      <c r="H58" s="201"/>
      <c r="I58" s="201"/>
      <c r="J58" s="175">
        <v>3187147033</v>
      </c>
      <c r="K58" s="431" t="s">
        <v>1032</v>
      </c>
      <c r="L58" s="42" t="s">
        <v>56</v>
      </c>
      <c r="M58" s="52"/>
      <c r="N58" s="61"/>
    </row>
    <row r="59" spans="1:14" ht="20.100000000000001" customHeight="1" x14ac:dyDescent="0.25">
      <c r="A59" s="750"/>
      <c r="B59" s="172" t="s">
        <v>1007</v>
      </c>
      <c r="C59" s="173" t="s">
        <v>1008</v>
      </c>
      <c r="D59" s="171" t="s">
        <v>1009</v>
      </c>
      <c r="E59" s="209"/>
      <c r="F59" s="209"/>
      <c r="G59" s="201"/>
      <c r="H59" s="201"/>
      <c r="I59" s="201"/>
      <c r="J59" s="171">
        <v>3103611868</v>
      </c>
      <c r="K59" s="431" t="s">
        <v>1010</v>
      </c>
      <c r="L59" s="42" t="s">
        <v>56</v>
      </c>
      <c r="M59" s="52"/>
      <c r="N59" s="61"/>
    </row>
    <row r="60" spans="1:14" ht="20.100000000000001" customHeight="1" x14ac:dyDescent="0.25">
      <c r="A60" s="750"/>
      <c r="B60" s="33" t="s">
        <v>295</v>
      </c>
      <c r="C60" s="53" t="s">
        <v>296</v>
      </c>
      <c r="D60" s="32"/>
      <c r="E60" s="302">
        <v>43410</v>
      </c>
      <c r="F60" s="302">
        <v>43434</v>
      </c>
      <c r="G60" s="303" t="s">
        <v>34</v>
      </c>
      <c r="H60" s="303">
        <v>12</v>
      </c>
      <c r="I60" s="303" t="s">
        <v>4</v>
      </c>
      <c r="J60" s="29">
        <v>3014761148</v>
      </c>
      <c r="K60" s="427" t="s">
        <v>297</v>
      </c>
      <c r="L60" s="42" t="s">
        <v>60</v>
      </c>
      <c r="M60" s="52"/>
      <c r="N60" s="61"/>
    </row>
    <row r="61" spans="1:14" ht="20.100000000000001" customHeight="1" x14ac:dyDescent="0.25">
      <c r="A61" s="750"/>
      <c r="B61" s="760" t="s">
        <v>75</v>
      </c>
      <c r="C61" s="790" t="s">
        <v>76</v>
      </c>
      <c r="D61" s="595" t="s">
        <v>810</v>
      </c>
      <c r="E61" s="762">
        <v>43390</v>
      </c>
      <c r="F61" s="762">
        <v>43420</v>
      </c>
      <c r="G61" s="766" t="s">
        <v>77</v>
      </c>
      <c r="H61" s="212">
        <v>20</v>
      </c>
      <c r="I61" s="212" t="s">
        <v>317</v>
      </c>
      <c r="J61" s="595">
        <v>3012411824</v>
      </c>
      <c r="K61" s="595" t="s">
        <v>1166</v>
      </c>
      <c r="L61" s="397" t="s">
        <v>56</v>
      </c>
      <c r="M61" s="813" t="s">
        <v>1165</v>
      </c>
      <c r="N61" s="61"/>
    </row>
    <row r="62" spans="1:14" ht="20.100000000000001" customHeight="1" x14ac:dyDescent="0.25">
      <c r="A62" s="750"/>
      <c r="B62" s="776"/>
      <c r="C62" s="791"/>
      <c r="D62" s="633"/>
      <c r="E62" s="777"/>
      <c r="F62" s="777"/>
      <c r="G62" s="778"/>
      <c r="H62" s="212">
        <v>20</v>
      </c>
      <c r="I62" s="212" t="s">
        <v>5</v>
      </c>
      <c r="J62" s="633"/>
      <c r="K62" s="633"/>
      <c r="L62" s="397" t="s">
        <v>154</v>
      </c>
      <c r="M62" s="814"/>
      <c r="N62" s="61"/>
    </row>
    <row r="63" spans="1:14" ht="20.100000000000001" customHeight="1" x14ac:dyDescent="0.25">
      <c r="A63" s="750"/>
      <c r="B63" s="761"/>
      <c r="C63" s="792"/>
      <c r="D63" s="596"/>
      <c r="E63" s="763"/>
      <c r="F63" s="763"/>
      <c r="G63" s="767"/>
      <c r="H63" s="212">
        <v>20</v>
      </c>
      <c r="I63" s="212" t="s">
        <v>9</v>
      </c>
      <c r="J63" s="596"/>
      <c r="K63" s="596"/>
      <c r="L63" s="397" t="s">
        <v>80</v>
      </c>
      <c r="M63" s="815"/>
      <c r="N63" s="61"/>
    </row>
    <row r="64" spans="1:14" ht="20.100000000000001" customHeight="1" x14ac:dyDescent="0.25">
      <c r="A64" s="750"/>
      <c r="B64" s="31" t="s">
        <v>673</v>
      </c>
      <c r="C64" s="54" t="s">
        <v>674</v>
      </c>
      <c r="D64" s="32" t="s">
        <v>730</v>
      </c>
      <c r="E64" s="304">
        <v>43414</v>
      </c>
      <c r="F64" s="304">
        <v>43434</v>
      </c>
      <c r="G64" s="305" t="s">
        <v>34</v>
      </c>
      <c r="H64" s="314">
        <v>12</v>
      </c>
      <c r="I64" s="303" t="s">
        <v>4</v>
      </c>
      <c r="J64" s="32">
        <v>3123045347</v>
      </c>
      <c r="K64" s="427" t="s">
        <v>675</v>
      </c>
      <c r="L64" s="42" t="s">
        <v>56</v>
      </c>
      <c r="M64" s="52"/>
      <c r="N64" s="61"/>
    </row>
    <row r="65" spans="1:14" ht="20.100000000000001" customHeight="1" x14ac:dyDescent="0.25">
      <c r="A65" s="750"/>
      <c r="B65" s="33" t="s">
        <v>78</v>
      </c>
      <c r="C65" s="40" t="s">
        <v>79</v>
      </c>
      <c r="D65" s="32" t="s">
        <v>1117</v>
      </c>
      <c r="E65" s="302">
        <v>43410</v>
      </c>
      <c r="F65" s="302">
        <v>43434</v>
      </c>
      <c r="G65" s="303" t="s">
        <v>34</v>
      </c>
      <c r="H65" s="303">
        <v>12</v>
      </c>
      <c r="I65" s="303" t="s">
        <v>9</v>
      </c>
      <c r="J65" s="32">
        <v>3107361726</v>
      </c>
      <c r="K65" s="427" t="s">
        <v>326</v>
      </c>
      <c r="L65" s="42" t="s">
        <v>80</v>
      </c>
      <c r="M65" s="52"/>
      <c r="N65" s="61"/>
    </row>
    <row r="66" spans="1:14" ht="20.100000000000001" customHeight="1" x14ac:dyDescent="0.25">
      <c r="A66" s="750"/>
      <c r="B66" s="405" t="s">
        <v>238</v>
      </c>
      <c r="C66" s="404" t="s">
        <v>239</v>
      </c>
      <c r="D66" s="32" t="s">
        <v>754</v>
      </c>
      <c r="E66" s="302">
        <v>43410</v>
      </c>
      <c r="F66" s="302">
        <v>43434</v>
      </c>
      <c r="G66" s="303" t="s">
        <v>34</v>
      </c>
      <c r="H66" s="303">
        <v>12</v>
      </c>
      <c r="I66" s="303" t="s">
        <v>9</v>
      </c>
      <c r="J66" s="403">
        <v>3017673247</v>
      </c>
      <c r="K66" s="420" t="s">
        <v>316</v>
      </c>
      <c r="L66" s="42" t="s">
        <v>80</v>
      </c>
      <c r="M66" s="52"/>
      <c r="N66" s="61"/>
    </row>
    <row r="67" spans="1:14" ht="20.100000000000001" customHeight="1" x14ac:dyDescent="0.25">
      <c r="A67" s="750"/>
      <c r="B67" s="234" t="s">
        <v>318</v>
      </c>
      <c r="C67" s="500" t="s">
        <v>319</v>
      </c>
      <c r="D67" s="229"/>
      <c r="E67" s="230">
        <v>43410</v>
      </c>
      <c r="F67" s="230">
        <v>43434</v>
      </c>
      <c r="G67" s="229" t="s">
        <v>34</v>
      </c>
      <c r="H67" s="229">
        <v>12</v>
      </c>
      <c r="I67" s="229" t="s">
        <v>4</v>
      </c>
      <c r="J67" s="229">
        <v>3186456366</v>
      </c>
      <c r="K67" s="501" t="s">
        <v>320</v>
      </c>
      <c r="L67" s="501" t="s">
        <v>60</v>
      </c>
      <c r="M67" s="502" t="s">
        <v>1283</v>
      </c>
      <c r="N67" s="61"/>
    </row>
    <row r="68" spans="1:14" ht="20.100000000000001" customHeight="1" x14ac:dyDescent="0.25">
      <c r="A68" s="750"/>
      <c r="B68" s="158" t="s">
        <v>81</v>
      </c>
      <c r="C68" s="160" t="s">
        <v>400</v>
      </c>
      <c r="D68" s="174" t="s">
        <v>764</v>
      </c>
      <c r="E68" s="307">
        <v>43412</v>
      </c>
      <c r="F68" s="307">
        <v>43434</v>
      </c>
      <c r="G68" s="303" t="s">
        <v>237</v>
      </c>
      <c r="H68" s="314">
        <v>12</v>
      </c>
      <c r="I68" s="303" t="s">
        <v>4</v>
      </c>
      <c r="J68" s="159">
        <v>3012874416</v>
      </c>
      <c r="K68" s="427"/>
      <c r="L68" s="42" t="s">
        <v>56</v>
      </c>
      <c r="M68" s="52"/>
      <c r="N68" s="61"/>
    </row>
    <row r="69" spans="1:14" ht="20.100000000000001" customHeight="1" x14ac:dyDescent="0.25">
      <c r="A69" s="750"/>
      <c r="B69" s="760" t="s">
        <v>82</v>
      </c>
      <c r="C69" s="790" t="s">
        <v>83</v>
      </c>
      <c r="D69" s="595" t="s">
        <v>755</v>
      </c>
      <c r="E69" s="762">
        <v>43390</v>
      </c>
      <c r="F69" s="762">
        <v>43420</v>
      </c>
      <c r="G69" s="766" t="s">
        <v>77</v>
      </c>
      <c r="H69" s="212">
        <v>20</v>
      </c>
      <c r="I69" s="213" t="s">
        <v>254</v>
      </c>
      <c r="J69" s="595">
        <v>3017000093</v>
      </c>
      <c r="K69" s="595" t="s">
        <v>321</v>
      </c>
      <c r="L69" s="240" t="s">
        <v>154</v>
      </c>
      <c r="M69" s="813" t="s">
        <v>1165</v>
      </c>
      <c r="N69" s="61"/>
    </row>
    <row r="70" spans="1:14" ht="20.100000000000001" customHeight="1" x14ac:dyDescent="0.25">
      <c r="A70" s="750"/>
      <c r="B70" s="776"/>
      <c r="C70" s="791"/>
      <c r="D70" s="633"/>
      <c r="E70" s="777"/>
      <c r="F70" s="777"/>
      <c r="G70" s="778"/>
      <c r="H70" s="212">
        <v>20</v>
      </c>
      <c r="I70" s="213" t="s">
        <v>9</v>
      </c>
      <c r="J70" s="633"/>
      <c r="K70" s="633"/>
      <c r="L70" s="240" t="s">
        <v>80</v>
      </c>
      <c r="M70" s="814"/>
      <c r="N70" s="61"/>
    </row>
    <row r="71" spans="1:14" ht="20.100000000000001" customHeight="1" x14ac:dyDescent="0.25">
      <c r="A71" s="750"/>
      <c r="B71" s="761"/>
      <c r="C71" s="792"/>
      <c r="D71" s="596"/>
      <c r="E71" s="763"/>
      <c r="F71" s="763"/>
      <c r="G71" s="767"/>
      <c r="H71" s="212">
        <v>20</v>
      </c>
      <c r="I71" s="213" t="s">
        <v>4</v>
      </c>
      <c r="J71" s="596"/>
      <c r="K71" s="596"/>
      <c r="L71" s="401" t="s">
        <v>60</v>
      </c>
      <c r="M71" s="815"/>
      <c r="N71" s="61"/>
    </row>
    <row r="72" spans="1:14" ht="20.100000000000001" customHeight="1" x14ac:dyDescent="0.25">
      <c r="A72" s="750"/>
      <c r="B72" s="679" t="s">
        <v>240</v>
      </c>
      <c r="C72" s="679" t="s">
        <v>241</v>
      </c>
      <c r="D72" s="679"/>
      <c r="E72" s="304">
        <v>43405</v>
      </c>
      <c r="F72" s="304">
        <v>43434</v>
      </c>
      <c r="G72" s="315" t="s">
        <v>237</v>
      </c>
      <c r="H72" s="308">
        <v>8</v>
      </c>
      <c r="I72" s="308" t="s">
        <v>254</v>
      </c>
      <c r="J72" s="679">
        <v>3162225917</v>
      </c>
      <c r="K72" s="679" t="s">
        <v>324</v>
      </c>
      <c r="L72" s="201" t="s">
        <v>154</v>
      </c>
      <c r="M72" s="144"/>
      <c r="N72" s="61"/>
    </row>
    <row r="73" spans="1:14" ht="20.100000000000001" customHeight="1" thickBot="1" x14ac:dyDescent="0.3">
      <c r="A73" s="751"/>
      <c r="B73" s="685"/>
      <c r="C73" s="685"/>
      <c r="D73" s="685"/>
      <c r="E73" s="317">
        <v>43414</v>
      </c>
      <c r="F73" s="317">
        <v>43434</v>
      </c>
      <c r="G73" s="318" t="s">
        <v>34</v>
      </c>
      <c r="H73" s="318">
        <v>12</v>
      </c>
      <c r="I73" s="318" t="s">
        <v>4</v>
      </c>
      <c r="J73" s="685"/>
      <c r="K73" s="685"/>
      <c r="L73" s="58" t="s">
        <v>60</v>
      </c>
      <c r="M73" s="59"/>
      <c r="N73" s="61"/>
    </row>
    <row r="74" spans="1:14" s="535" customFormat="1" ht="20.100000000000001" customHeight="1" thickBot="1" x14ac:dyDescent="0.3">
      <c r="A74" s="526"/>
      <c r="B74" s="536"/>
      <c r="C74" s="531"/>
      <c r="D74" s="531"/>
      <c r="E74" s="530"/>
      <c r="F74" s="530"/>
      <c r="G74" s="531"/>
      <c r="H74" s="531">
        <f>SUM(H35:H73)</f>
        <v>520</v>
      </c>
      <c r="I74" s="531"/>
      <c r="J74" s="531"/>
      <c r="K74" s="543"/>
      <c r="L74" s="543"/>
      <c r="M74" s="544"/>
      <c r="N74" s="534"/>
    </row>
    <row r="75" spans="1:14" ht="20.100000000000001" customHeight="1" x14ac:dyDescent="0.25">
      <c r="A75" s="784" t="s">
        <v>23</v>
      </c>
      <c r="B75" s="101" t="s">
        <v>101</v>
      </c>
      <c r="C75" s="102" t="s">
        <v>102</v>
      </c>
      <c r="D75" s="103" t="s">
        <v>793</v>
      </c>
      <c r="E75" s="316">
        <v>43410</v>
      </c>
      <c r="F75" s="316">
        <v>43434</v>
      </c>
      <c r="G75" s="305" t="s">
        <v>34</v>
      </c>
      <c r="H75" s="305">
        <v>12</v>
      </c>
      <c r="I75" s="305" t="s">
        <v>4</v>
      </c>
      <c r="J75" s="104">
        <v>3135237669</v>
      </c>
      <c r="K75" s="106" t="s">
        <v>338</v>
      </c>
      <c r="L75" s="106" t="s">
        <v>24</v>
      </c>
      <c r="M75" s="107"/>
      <c r="N75" s="84"/>
    </row>
    <row r="76" spans="1:14" ht="20.100000000000001" customHeight="1" x14ac:dyDescent="0.25">
      <c r="A76" s="743"/>
      <c r="B76" s="695" t="s">
        <v>103</v>
      </c>
      <c r="C76" s="695" t="s">
        <v>104</v>
      </c>
      <c r="D76" s="701" t="s">
        <v>794</v>
      </c>
      <c r="E76" s="302">
        <v>43410</v>
      </c>
      <c r="F76" s="302">
        <v>43434</v>
      </c>
      <c r="G76" s="303" t="s">
        <v>34</v>
      </c>
      <c r="H76" s="303">
        <v>12</v>
      </c>
      <c r="I76" s="303" t="s">
        <v>4</v>
      </c>
      <c r="J76" s="701">
        <v>3114225165</v>
      </c>
      <c r="K76" s="701" t="s">
        <v>288</v>
      </c>
      <c r="L76" s="106" t="s">
        <v>24</v>
      </c>
      <c r="M76" s="108"/>
      <c r="N76" s="84"/>
    </row>
    <row r="77" spans="1:14" ht="20.100000000000001" customHeight="1" x14ac:dyDescent="0.25">
      <c r="A77" s="744"/>
      <c r="B77" s="696"/>
      <c r="C77" s="696"/>
      <c r="D77" s="717"/>
      <c r="E77" s="316">
        <v>43405</v>
      </c>
      <c r="F77" s="316">
        <v>43434</v>
      </c>
      <c r="G77" s="303" t="s">
        <v>237</v>
      </c>
      <c r="H77" s="303">
        <v>20</v>
      </c>
      <c r="I77" s="303" t="s">
        <v>254</v>
      </c>
      <c r="J77" s="717"/>
      <c r="K77" s="717"/>
      <c r="L77" s="109" t="s">
        <v>282</v>
      </c>
      <c r="M77" s="110"/>
      <c r="N77" s="84"/>
    </row>
    <row r="78" spans="1:14" ht="20.100000000000001" customHeight="1" x14ac:dyDescent="0.25">
      <c r="A78" s="744"/>
      <c r="B78" s="85" t="s">
        <v>105</v>
      </c>
      <c r="C78" s="113" t="s">
        <v>106</v>
      </c>
      <c r="D78" s="111" t="s">
        <v>795</v>
      </c>
      <c r="E78" s="302">
        <v>43414</v>
      </c>
      <c r="F78" s="302">
        <v>43434</v>
      </c>
      <c r="G78" s="303" t="s">
        <v>34</v>
      </c>
      <c r="H78" s="303">
        <v>12</v>
      </c>
      <c r="I78" s="303" t="s">
        <v>4</v>
      </c>
      <c r="J78" s="88">
        <v>3106433323</v>
      </c>
      <c r="K78" s="109" t="s">
        <v>340</v>
      </c>
      <c r="L78" s="109" t="s">
        <v>24</v>
      </c>
      <c r="M78" s="114"/>
      <c r="N78" s="84"/>
    </row>
    <row r="79" spans="1:14" ht="20.100000000000001" customHeight="1" x14ac:dyDescent="0.25">
      <c r="A79" s="744"/>
      <c r="B79" s="697" t="s">
        <v>291</v>
      </c>
      <c r="C79" s="697" t="s">
        <v>292</v>
      </c>
      <c r="D79" s="617" t="s">
        <v>754</v>
      </c>
      <c r="E79" s="230">
        <v>43410</v>
      </c>
      <c r="F79" s="230">
        <v>43434</v>
      </c>
      <c r="G79" s="522" t="s">
        <v>34</v>
      </c>
      <c r="H79" s="522">
        <v>12</v>
      </c>
      <c r="I79" s="522" t="s">
        <v>4</v>
      </c>
      <c r="J79" s="617">
        <v>3007526620</v>
      </c>
      <c r="K79" s="733" t="s">
        <v>293</v>
      </c>
      <c r="L79" s="501" t="s">
        <v>24</v>
      </c>
      <c r="M79" s="817" t="s">
        <v>1353</v>
      </c>
      <c r="N79" s="235"/>
    </row>
    <row r="80" spans="1:14" ht="20.100000000000001" customHeight="1" x14ac:dyDescent="0.25">
      <c r="A80" s="744"/>
      <c r="B80" s="698"/>
      <c r="C80" s="698"/>
      <c r="D80" s="618"/>
      <c r="E80" s="582">
        <v>43405</v>
      </c>
      <c r="F80" s="582">
        <v>43434</v>
      </c>
      <c r="G80" s="522" t="s">
        <v>237</v>
      </c>
      <c r="H80" s="522">
        <v>12</v>
      </c>
      <c r="I80" s="522" t="s">
        <v>254</v>
      </c>
      <c r="J80" s="618"/>
      <c r="K80" s="734"/>
      <c r="L80" s="501" t="s">
        <v>282</v>
      </c>
      <c r="M80" s="818"/>
      <c r="N80" s="235"/>
    </row>
    <row r="81" spans="1:14" ht="20.100000000000001" customHeight="1" x14ac:dyDescent="0.25">
      <c r="A81" s="744"/>
      <c r="B81" s="234" t="s">
        <v>111</v>
      </c>
      <c r="C81" s="234" t="s">
        <v>112</v>
      </c>
      <c r="D81" s="229" t="s">
        <v>730</v>
      </c>
      <c r="E81" s="230">
        <v>43410</v>
      </c>
      <c r="F81" s="230">
        <v>43434</v>
      </c>
      <c r="G81" s="229" t="s">
        <v>34</v>
      </c>
      <c r="H81" s="229">
        <v>12</v>
      </c>
      <c r="I81" s="229" t="s">
        <v>4</v>
      </c>
      <c r="J81" s="229">
        <v>3004024275</v>
      </c>
      <c r="K81" s="229" t="s">
        <v>339</v>
      </c>
      <c r="L81" s="229" t="s">
        <v>24</v>
      </c>
      <c r="M81" s="236" t="s">
        <v>1130</v>
      </c>
      <c r="N81" s="235"/>
    </row>
    <row r="82" spans="1:14" ht="20.100000000000001" customHeight="1" x14ac:dyDescent="0.25">
      <c r="A82" s="745"/>
      <c r="B82" s="699" t="s">
        <v>113</v>
      </c>
      <c r="C82" s="699" t="s">
        <v>114</v>
      </c>
      <c r="D82" s="712" t="s">
        <v>754</v>
      </c>
      <c r="E82" s="316">
        <v>43405</v>
      </c>
      <c r="F82" s="316">
        <v>43434</v>
      </c>
      <c r="G82" s="303" t="s">
        <v>237</v>
      </c>
      <c r="H82" s="303">
        <v>20</v>
      </c>
      <c r="I82" s="303" t="s">
        <v>254</v>
      </c>
      <c r="J82" s="701">
        <v>3124569870</v>
      </c>
      <c r="K82" s="701" t="s">
        <v>281</v>
      </c>
      <c r="L82" s="88" t="s">
        <v>282</v>
      </c>
      <c r="M82" s="110"/>
      <c r="N82" s="84"/>
    </row>
    <row r="83" spans="1:14" ht="20.100000000000001" customHeight="1" thickBot="1" x14ac:dyDescent="0.3">
      <c r="A83" s="785"/>
      <c r="B83" s="695"/>
      <c r="C83" s="700"/>
      <c r="D83" s="713"/>
      <c r="E83" s="317">
        <v>43410</v>
      </c>
      <c r="F83" s="317">
        <v>43434</v>
      </c>
      <c r="G83" s="318" t="s">
        <v>34</v>
      </c>
      <c r="H83" s="318">
        <v>12</v>
      </c>
      <c r="I83" s="318" t="s">
        <v>4</v>
      </c>
      <c r="J83" s="721"/>
      <c r="K83" s="702"/>
      <c r="L83" s="169" t="s">
        <v>24</v>
      </c>
      <c r="M83" s="121"/>
      <c r="N83" s="84"/>
    </row>
    <row r="84" spans="1:14" s="535" customFormat="1" ht="20.100000000000001" customHeight="1" thickBot="1" x14ac:dyDescent="0.3">
      <c r="A84" s="526"/>
      <c r="B84" s="545"/>
      <c r="C84" s="546"/>
      <c r="D84" s="531"/>
      <c r="E84" s="530"/>
      <c r="F84" s="530"/>
      <c r="G84" s="531"/>
      <c r="H84" s="547">
        <f>SUM(H75:H83)</f>
        <v>124</v>
      </c>
      <c r="I84" s="547"/>
      <c r="J84" s="531"/>
      <c r="K84" s="531"/>
      <c r="L84" s="531"/>
      <c r="M84" s="544"/>
      <c r="N84" s="534"/>
    </row>
    <row r="85" spans="1:14" ht="20.100000000000001" customHeight="1" x14ac:dyDescent="0.25">
      <c r="A85" s="781" t="s">
        <v>22</v>
      </c>
      <c r="B85" s="769" t="s">
        <v>55</v>
      </c>
      <c r="C85" s="787" t="s">
        <v>84</v>
      </c>
      <c r="D85" s="692"/>
      <c r="E85" s="316">
        <v>43410</v>
      </c>
      <c r="F85" s="316">
        <v>43434</v>
      </c>
      <c r="G85" s="305" t="s">
        <v>34</v>
      </c>
      <c r="H85" s="303">
        <v>2</v>
      </c>
      <c r="I85" s="303" t="s">
        <v>253</v>
      </c>
      <c r="J85" s="692">
        <v>3005070309</v>
      </c>
      <c r="K85" s="680" t="s">
        <v>285</v>
      </c>
      <c r="L85" s="48" t="s">
        <v>246</v>
      </c>
      <c r="M85" s="50"/>
      <c r="N85" s="61"/>
    </row>
    <row r="86" spans="1:14" ht="22.5" customHeight="1" x14ac:dyDescent="0.25">
      <c r="A86" s="781"/>
      <c r="B86" s="786"/>
      <c r="C86" s="787"/>
      <c r="D86" s="681"/>
      <c r="E86" s="316">
        <v>43410</v>
      </c>
      <c r="F86" s="316">
        <v>43434</v>
      </c>
      <c r="G86" s="305" t="s">
        <v>34</v>
      </c>
      <c r="H86" s="303">
        <v>10</v>
      </c>
      <c r="I86" s="303" t="s">
        <v>4</v>
      </c>
      <c r="J86" s="680"/>
      <c r="K86" s="680"/>
      <c r="L86" s="37" t="s">
        <v>854</v>
      </c>
      <c r="M86" s="60"/>
      <c r="N86" s="61"/>
    </row>
    <row r="87" spans="1:14" ht="20.100000000000001" customHeight="1" x14ac:dyDescent="0.25">
      <c r="A87" s="782"/>
      <c r="B87" s="679" t="s">
        <v>85</v>
      </c>
      <c r="C87" s="679" t="s">
        <v>86</v>
      </c>
      <c r="D87" s="682" t="s">
        <v>1114</v>
      </c>
      <c r="E87" s="686">
        <v>43405</v>
      </c>
      <c r="F87" s="686">
        <v>43434</v>
      </c>
      <c r="G87" s="688" t="s">
        <v>237</v>
      </c>
      <c r="H87" s="303">
        <v>8</v>
      </c>
      <c r="I87" s="303" t="s">
        <v>254</v>
      </c>
      <c r="J87" s="679">
        <v>3163811202</v>
      </c>
      <c r="K87" s="679" t="s">
        <v>262</v>
      </c>
      <c r="L87" s="42" t="s">
        <v>242</v>
      </c>
      <c r="M87" s="62"/>
      <c r="N87" s="61"/>
    </row>
    <row r="88" spans="1:14" ht="20.100000000000001" customHeight="1" x14ac:dyDescent="0.25">
      <c r="A88" s="782"/>
      <c r="B88" s="680"/>
      <c r="C88" s="680"/>
      <c r="D88" s="683"/>
      <c r="E88" s="687"/>
      <c r="F88" s="687"/>
      <c r="G88" s="689"/>
      <c r="H88" s="303">
        <v>20</v>
      </c>
      <c r="I88" s="303" t="s">
        <v>9</v>
      </c>
      <c r="J88" s="680"/>
      <c r="K88" s="680"/>
      <c r="L88" s="42" t="s">
        <v>260</v>
      </c>
      <c r="M88" s="52"/>
      <c r="N88" s="61"/>
    </row>
    <row r="89" spans="1:14" ht="20.100000000000001" customHeight="1" x14ac:dyDescent="0.25">
      <c r="A89" s="782"/>
      <c r="B89" s="681"/>
      <c r="C89" s="681"/>
      <c r="D89" s="684"/>
      <c r="E89" s="316">
        <v>43410</v>
      </c>
      <c r="F89" s="316">
        <v>43434</v>
      </c>
      <c r="G89" s="305" t="s">
        <v>34</v>
      </c>
      <c r="H89" s="303">
        <v>12</v>
      </c>
      <c r="I89" s="303" t="s">
        <v>4</v>
      </c>
      <c r="J89" s="199"/>
      <c r="K89" s="55"/>
      <c r="L89" s="42" t="s">
        <v>854</v>
      </c>
      <c r="M89" s="52"/>
      <c r="N89" s="61"/>
    </row>
    <row r="90" spans="1:14" ht="20.100000000000001" customHeight="1" x14ac:dyDescent="0.25">
      <c r="A90" s="782"/>
      <c r="B90" s="33" t="s">
        <v>87</v>
      </c>
      <c r="C90" s="40" t="s">
        <v>88</v>
      </c>
      <c r="D90" s="32"/>
      <c r="E90" s="316">
        <v>43410</v>
      </c>
      <c r="F90" s="316">
        <v>43434</v>
      </c>
      <c r="G90" s="305" t="s">
        <v>34</v>
      </c>
      <c r="H90" s="303">
        <v>12</v>
      </c>
      <c r="I90" s="303" t="s">
        <v>4</v>
      </c>
      <c r="J90" s="32">
        <v>3205946501</v>
      </c>
      <c r="K90" s="427" t="s">
        <v>329</v>
      </c>
      <c r="L90" s="42" t="s">
        <v>854</v>
      </c>
      <c r="M90" s="52"/>
      <c r="N90" s="61"/>
    </row>
    <row r="91" spans="1:14" ht="20.100000000000001" customHeight="1" x14ac:dyDescent="0.25">
      <c r="A91" s="782"/>
      <c r="B91" s="33" t="s">
        <v>91</v>
      </c>
      <c r="C91" s="40" t="s">
        <v>92</v>
      </c>
      <c r="D91" s="32"/>
      <c r="E91" s="302">
        <v>43414</v>
      </c>
      <c r="F91" s="302">
        <v>43434</v>
      </c>
      <c r="G91" s="303" t="s">
        <v>34</v>
      </c>
      <c r="H91" s="303">
        <v>12</v>
      </c>
      <c r="I91" s="303" t="s">
        <v>4</v>
      </c>
      <c r="J91" s="32"/>
      <c r="K91" s="427" t="s">
        <v>328</v>
      </c>
      <c r="L91" s="42" t="s">
        <v>854</v>
      </c>
      <c r="M91" s="52"/>
      <c r="N91" s="61"/>
    </row>
    <row r="92" spans="1:14" ht="20.100000000000001" customHeight="1" x14ac:dyDescent="0.25">
      <c r="A92" s="782"/>
      <c r="B92" s="33" t="s">
        <v>93</v>
      </c>
      <c r="C92" s="40" t="s">
        <v>94</v>
      </c>
      <c r="D92" s="32"/>
      <c r="E92" s="316">
        <v>43410</v>
      </c>
      <c r="F92" s="316">
        <v>43434</v>
      </c>
      <c r="G92" s="303" t="s">
        <v>34</v>
      </c>
      <c r="H92" s="303">
        <v>12</v>
      </c>
      <c r="I92" s="303" t="s">
        <v>4</v>
      </c>
      <c r="J92" s="32">
        <v>3106591541</v>
      </c>
      <c r="K92" s="427" t="s">
        <v>885</v>
      </c>
      <c r="L92" s="42" t="s">
        <v>854</v>
      </c>
      <c r="M92" s="52"/>
      <c r="N92" s="61"/>
    </row>
    <row r="93" spans="1:14" ht="20.100000000000001" customHeight="1" x14ac:dyDescent="0.25">
      <c r="A93" s="782"/>
      <c r="B93" s="33" t="s">
        <v>95</v>
      </c>
      <c r="C93" s="40" t="s">
        <v>96</v>
      </c>
      <c r="D93" s="32" t="s">
        <v>761</v>
      </c>
      <c r="E93" s="316">
        <v>43410</v>
      </c>
      <c r="F93" s="316">
        <v>43434</v>
      </c>
      <c r="G93" s="303" t="s">
        <v>34</v>
      </c>
      <c r="H93" s="303">
        <v>12</v>
      </c>
      <c r="I93" s="303" t="s">
        <v>4</v>
      </c>
      <c r="J93" s="32">
        <v>3107110014</v>
      </c>
      <c r="K93" s="427" t="s">
        <v>327</v>
      </c>
      <c r="L93" s="42" t="s">
        <v>854</v>
      </c>
      <c r="M93" s="52"/>
      <c r="N93" s="61"/>
    </row>
    <row r="94" spans="1:14" ht="20.100000000000001" customHeight="1" x14ac:dyDescent="0.25">
      <c r="A94" s="783"/>
      <c r="B94" s="200" t="s">
        <v>1105</v>
      </c>
      <c r="C94" s="46" t="s">
        <v>1106</v>
      </c>
      <c r="D94" s="201" t="s">
        <v>844</v>
      </c>
      <c r="E94" s="302">
        <v>43407</v>
      </c>
      <c r="F94" s="302">
        <v>43434</v>
      </c>
      <c r="G94" s="303" t="s">
        <v>34</v>
      </c>
      <c r="H94" s="303">
        <v>12</v>
      </c>
      <c r="I94" s="308" t="s">
        <v>4</v>
      </c>
      <c r="J94" s="196" t="s">
        <v>1108</v>
      </c>
      <c r="K94" s="430" t="s">
        <v>1107</v>
      </c>
      <c r="L94" s="42" t="s">
        <v>854</v>
      </c>
      <c r="M94" s="52"/>
      <c r="N94" s="61"/>
    </row>
    <row r="95" spans="1:14" ht="20.100000000000001" customHeight="1" x14ac:dyDescent="0.25">
      <c r="A95" s="783"/>
      <c r="B95" s="30" t="s">
        <v>97</v>
      </c>
      <c r="C95" s="46" t="s">
        <v>98</v>
      </c>
      <c r="D95" s="32"/>
      <c r="E95" s="316">
        <v>43410</v>
      </c>
      <c r="F95" s="316">
        <v>43434</v>
      </c>
      <c r="G95" s="303" t="s">
        <v>34</v>
      </c>
      <c r="H95" s="303">
        <v>12</v>
      </c>
      <c r="I95" s="303" t="s">
        <v>4</v>
      </c>
      <c r="J95" s="28">
        <v>3216449883</v>
      </c>
      <c r="K95" s="420" t="s">
        <v>331</v>
      </c>
      <c r="L95" s="201" t="s">
        <v>854</v>
      </c>
      <c r="M95" s="52"/>
      <c r="N95" s="61"/>
    </row>
    <row r="96" spans="1:14" ht="20.100000000000001" customHeight="1" x14ac:dyDescent="0.25">
      <c r="A96" s="783"/>
      <c r="B96" s="33" t="s">
        <v>99</v>
      </c>
      <c r="C96" s="46" t="s">
        <v>100</v>
      </c>
      <c r="D96" s="32"/>
      <c r="E96" s="302">
        <v>43410</v>
      </c>
      <c r="F96" s="302">
        <v>43434</v>
      </c>
      <c r="G96" s="308" t="s">
        <v>34</v>
      </c>
      <c r="H96" s="303">
        <v>12</v>
      </c>
      <c r="I96" s="308" t="s">
        <v>4</v>
      </c>
      <c r="J96" s="32">
        <v>3177443024</v>
      </c>
      <c r="K96" s="426" t="s">
        <v>330</v>
      </c>
      <c r="L96" s="32" t="s">
        <v>854</v>
      </c>
      <c r="M96" s="52"/>
      <c r="N96" s="61"/>
    </row>
    <row r="97" spans="1:14" s="535" customFormat="1" ht="20.100000000000001" customHeight="1" thickBot="1" x14ac:dyDescent="0.3">
      <c r="A97" s="526"/>
      <c r="B97" s="548"/>
      <c r="C97" s="528"/>
      <c r="D97" s="549"/>
      <c r="E97" s="550"/>
      <c r="F97" s="550"/>
      <c r="G97" s="531"/>
      <c r="H97" s="549">
        <f>SUM(H85:H96)</f>
        <v>136</v>
      </c>
      <c r="I97" s="531"/>
      <c r="J97" s="549"/>
      <c r="K97" s="549"/>
      <c r="L97" s="549"/>
      <c r="M97" s="551"/>
      <c r="N97" s="534"/>
    </row>
    <row r="98" spans="1:14" ht="20.100000000000001" customHeight="1" x14ac:dyDescent="0.25">
      <c r="A98" s="784" t="s">
        <v>251</v>
      </c>
      <c r="B98" s="130" t="s">
        <v>89</v>
      </c>
      <c r="C98" s="102" t="s">
        <v>90</v>
      </c>
      <c r="D98" s="83" t="s">
        <v>786</v>
      </c>
      <c r="E98" s="319">
        <v>43410</v>
      </c>
      <c r="F98" s="319">
        <v>43434</v>
      </c>
      <c r="G98" s="313" t="s">
        <v>34</v>
      </c>
      <c r="H98" s="313">
        <v>12</v>
      </c>
      <c r="I98" s="313" t="s">
        <v>4</v>
      </c>
      <c r="J98" s="83">
        <v>3118778983</v>
      </c>
      <c r="K98" s="429" t="s">
        <v>399</v>
      </c>
      <c r="L98" s="83" t="s">
        <v>245</v>
      </c>
      <c r="M98" s="107"/>
      <c r="N98" s="84"/>
    </row>
    <row r="99" spans="1:14" ht="20.100000000000001" customHeight="1" x14ac:dyDescent="0.25">
      <c r="A99" s="743"/>
      <c r="B99" s="151" t="s">
        <v>945</v>
      </c>
      <c r="C99" s="163" t="s">
        <v>946</v>
      </c>
      <c r="D99" s="103" t="s">
        <v>947</v>
      </c>
      <c r="E99" s="211"/>
      <c r="F99" s="211"/>
      <c r="G99" s="197"/>
      <c r="H99" s="197"/>
      <c r="I99" s="197"/>
      <c r="J99" s="149">
        <v>304653088</v>
      </c>
      <c r="K99" s="425" t="s">
        <v>948</v>
      </c>
      <c r="L99" s="149" t="s">
        <v>245</v>
      </c>
      <c r="M99" s="108"/>
      <c r="N99" s="84"/>
    </row>
    <row r="100" spans="1:14" ht="20.100000000000001" customHeight="1" x14ac:dyDescent="0.25">
      <c r="A100" s="744"/>
      <c r="B100" s="712" t="s">
        <v>258</v>
      </c>
      <c r="C100" s="712" t="s">
        <v>259</v>
      </c>
      <c r="D100" s="712" t="s">
        <v>755</v>
      </c>
      <c r="E100" s="731">
        <v>43410</v>
      </c>
      <c r="F100" s="731">
        <v>43434</v>
      </c>
      <c r="G100" s="710" t="s">
        <v>77</v>
      </c>
      <c r="H100" s="303">
        <v>20</v>
      </c>
      <c r="I100" s="303" t="s">
        <v>6</v>
      </c>
      <c r="J100" s="712">
        <v>3225892504</v>
      </c>
      <c r="K100" s="712"/>
      <c r="L100" s="88" t="s">
        <v>245</v>
      </c>
      <c r="M100" s="110"/>
      <c r="N100" s="84"/>
    </row>
    <row r="101" spans="1:14" ht="20.100000000000001" customHeight="1" thickBot="1" x14ac:dyDescent="0.3">
      <c r="A101" s="785"/>
      <c r="B101" s="713"/>
      <c r="C101" s="713"/>
      <c r="D101" s="713"/>
      <c r="E101" s="732"/>
      <c r="F101" s="732"/>
      <c r="G101" s="711"/>
      <c r="H101" s="318">
        <v>20</v>
      </c>
      <c r="I101" s="320" t="s">
        <v>4</v>
      </c>
      <c r="J101" s="713"/>
      <c r="K101" s="713"/>
      <c r="L101" s="97" t="s">
        <v>245</v>
      </c>
      <c r="M101" s="116"/>
      <c r="N101" s="84"/>
    </row>
    <row r="102" spans="1:14" s="535" customFormat="1" ht="20.100000000000001" customHeight="1" thickBot="1" x14ac:dyDescent="0.3">
      <c r="A102" s="552"/>
      <c r="B102" s="553"/>
      <c r="C102" s="554"/>
      <c r="D102" s="553"/>
      <c r="E102" s="555"/>
      <c r="F102" s="555"/>
      <c r="G102" s="553"/>
      <c r="H102" s="553">
        <f>SUM(H98:H101)</f>
        <v>52</v>
      </c>
      <c r="I102" s="556"/>
      <c r="J102" s="553"/>
      <c r="K102" s="553"/>
      <c r="L102" s="553"/>
      <c r="M102" s="557"/>
      <c r="N102" s="558"/>
    </row>
    <row r="103" spans="1:14" ht="27.75" customHeight="1" thickBot="1" x14ac:dyDescent="0.3">
      <c r="A103" s="222" t="s">
        <v>487</v>
      </c>
      <c r="B103" s="217" t="s">
        <v>1102</v>
      </c>
      <c r="C103" s="223" t="s">
        <v>1103</v>
      </c>
      <c r="D103" s="217" t="s">
        <v>725</v>
      </c>
      <c r="E103" s="321">
        <v>43406</v>
      </c>
      <c r="F103" s="321">
        <v>43434</v>
      </c>
      <c r="G103" s="322" t="s">
        <v>34</v>
      </c>
      <c r="H103" s="322">
        <v>12</v>
      </c>
      <c r="I103" s="323" t="s">
        <v>4</v>
      </c>
      <c r="J103" s="217">
        <v>3113514404</v>
      </c>
      <c r="K103" s="217" t="s">
        <v>1104</v>
      </c>
      <c r="L103" s="217" t="s">
        <v>245</v>
      </c>
      <c r="M103" s="224"/>
      <c r="N103" s="129"/>
    </row>
    <row r="104" spans="1:14" s="535" customFormat="1" ht="27.75" customHeight="1" thickBot="1" x14ac:dyDescent="0.3">
      <c r="A104" s="559"/>
      <c r="B104" s="531"/>
      <c r="C104" s="543"/>
      <c r="D104" s="531"/>
      <c r="E104" s="530"/>
      <c r="F104" s="530"/>
      <c r="G104" s="531"/>
      <c r="H104" s="531">
        <f>SUM(H103)</f>
        <v>12</v>
      </c>
      <c r="I104" s="560"/>
      <c r="J104" s="531"/>
      <c r="K104" s="543"/>
      <c r="L104" s="543"/>
      <c r="M104" s="544"/>
      <c r="N104" s="558"/>
    </row>
    <row r="105" spans="1:14" ht="15" x14ac:dyDescent="0.25">
      <c r="A105" s="746" t="s">
        <v>354</v>
      </c>
      <c r="B105" s="118" t="s">
        <v>109</v>
      </c>
      <c r="C105" s="119" t="s">
        <v>110</v>
      </c>
      <c r="D105" s="104"/>
      <c r="E105" s="507">
        <v>43410</v>
      </c>
      <c r="F105" s="507">
        <v>43434</v>
      </c>
      <c r="G105" s="508" t="s">
        <v>34</v>
      </c>
      <c r="H105" s="508">
        <v>12</v>
      </c>
      <c r="I105" s="508" t="s">
        <v>4</v>
      </c>
      <c r="J105" s="104">
        <v>3225969858</v>
      </c>
      <c r="K105" s="467" t="s">
        <v>355</v>
      </c>
      <c r="L105" s="106" t="s">
        <v>395</v>
      </c>
      <c r="M105" s="108"/>
      <c r="N105" s="84"/>
    </row>
    <row r="106" spans="1:14" ht="15.75" thickBot="1" x14ac:dyDescent="0.3">
      <c r="A106" s="748"/>
      <c r="B106" s="91" t="s">
        <v>107</v>
      </c>
      <c r="C106" s="86" t="s">
        <v>108</v>
      </c>
      <c r="D106" s="93"/>
      <c r="E106" s="507">
        <v>43410</v>
      </c>
      <c r="F106" s="507">
        <v>43434</v>
      </c>
      <c r="G106" s="508" t="s">
        <v>34</v>
      </c>
      <c r="H106" s="508">
        <v>12</v>
      </c>
      <c r="I106" s="508" t="s">
        <v>4</v>
      </c>
      <c r="J106" s="93">
        <v>3225612621</v>
      </c>
      <c r="K106" s="468" t="s">
        <v>356</v>
      </c>
      <c r="L106" s="120" t="s">
        <v>395</v>
      </c>
      <c r="M106" s="121"/>
      <c r="N106" s="84"/>
    </row>
    <row r="107" spans="1:14" s="535" customFormat="1" ht="15.75" thickBot="1" x14ac:dyDescent="0.3">
      <c r="A107" s="526"/>
      <c r="B107" s="545"/>
      <c r="C107" s="528"/>
      <c r="D107" s="531"/>
      <c r="E107" s="550"/>
      <c r="F107" s="550"/>
      <c r="G107" s="549"/>
      <c r="H107" s="549">
        <f>SUM(H105:H106)</f>
        <v>24</v>
      </c>
      <c r="I107" s="549"/>
      <c r="J107" s="531"/>
      <c r="K107" s="561"/>
      <c r="L107" s="543"/>
      <c r="M107" s="544"/>
      <c r="N107" s="534"/>
    </row>
    <row r="108" spans="1:14" ht="20.100000000000001" customHeight="1" x14ac:dyDescent="0.25">
      <c r="A108" s="749" t="s">
        <v>26</v>
      </c>
      <c r="B108" s="64" t="s">
        <v>122</v>
      </c>
      <c r="C108" s="65" t="s">
        <v>123</v>
      </c>
      <c r="D108" s="66" t="s">
        <v>755</v>
      </c>
      <c r="E108" s="319">
        <v>43410</v>
      </c>
      <c r="F108" s="319">
        <v>43434</v>
      </c>
      <c r="G108" s="313" t="s">
        <v>34</v>
      </c>
      <c r="H108" s="313">
        <v>12</v>
      </c>
      <c r="I108" s="313" t="s">
        <v>4</v>
      </c>
      <c r="J108" s="48">
        <v>3005184535</v>
      </c>
      <c r="K108" s="48" t="s">
        <v>352</v>
      </c>
      <c r="L108" s="48" t="s">
        <v>27</v>
      </c>
      <c r="M108" s="50"/>
      <c r="N108" s="61"/>
    </row>
    <row r="109" spans="1:14" ht="20.100000000000001" customHeight="1" thickBot="1" x14ac:dyDescent="0.3">
      <c r="A109" s="751"/>
      <c r="B109" s="56" t="s">
        <v>822</v>
      </c>
      <c r="C109" s="67" t="s">
        <v>823</v>
      </c>
      <c r="D109" s="68" t="s">
        <v>824</v>
      </c>
      <c r="E109" s="210"/>
      <c r="F109" s="210"/>
      <c r="G109" s="202"/>
      <c r="H109" s="202"/>
      <c r="I109" s="202"/>
      <c r="J109" s="58" t="s">
        <v>825</v>
      </c>
      <c r="K109" s="428" t="s">
        <v>826</v>
      </c>
      <c r="L109" s="58" t="s">
        <v>27</v>
      </c>
      <c r="M109" s="59"/>
      <c r="N109" s="61"/>
    </row>
    <row r="110" spans="1:14" s="535" customFormat="1" ht="20.100000000000001" customHeight="1" thickBot="1" x14ac:dyDescent="0.3">
      <c r="A110" s="526"/>
      <c r="B110" s="545"/>
      <c r="C110" s="528"/>
      <c r="D110" s="529"/>
      <c r="E110" s="530"/>
      <c r="F110" s="530"/>
      <c r="G110" s="531"/>
      <c r="H110" s="531">
        <f>SUM(H108:H109)</f>
        <v>12</v>
      </c>
      <c r="I110" s="531"/>
      <c r="J110" s="531"/>
      <c r="K110" s="531"/>
      <c r="L110" s="531"/>
      <c r="M110" s="533"/>
      <c r="N110" s="534"/>
    </row>
    <row r="111" spans="1:14" ht="24.75" customHeight="1" x14ac:dyDescent="0.25">
      <c r="A111" s="743" t="s">
        <v>124</v>
      </c>
      <c r="B111" s="118" t="s">
        <v>125</v>
      </c>
      <c r="C111" s="119" t="s">
        <v>126</v>
      </c>
      <c r="D111" s="104" t="s">
        <v>751</v>
      </c>
      <c r="E111" s="304">
        <v>43410</v>
      </c>
      <c r="F111" s="304">
        <v>43434</v>
      </c>
      <c r="G111" s="315" t="s">
        <v>34</v>
      </c>
      <c r="H111" s="313">
        <v>12</v>
      </c>
      <c r="I111" s="313" t="s">
        <v>4</v>
      </c>
      <c r="J111" s="104">
        <v>3118363308</v>
      </c>
      <c r="K111" s="425" t="s">
        <v>349</v>
      </c>
      <c r="L111" s="104" t="s">
        <v>127</v>
      </c>
      <c r="M111" s="105"/>
      <c r="N111" s="115"/>
    </row>
    <row r="112" spans="1:14" ht="22.5" customHeight="1" thickBot="1" x14ac:dyDescent="0.3">
      <c r="A112" s="745"/>
      <c r="B112" s="152" t="s">
        <v>128</v>
      </c>
      <c r="C112" s="164" t="s">
        <v>129</v>
      </c>
      <c r="D112" s="165" t="s">
        <v>773</v>
      </c>
      <c r="E112" s="317">
        <v>43410</v>
      </c>
      <c r="F112" s="317">
        <v>43434</v>
      </c>
      <c r="G112" s="318" t="s">
        <v>34</v>
      </c>
      <c r="H112" s="324">
        <v>12</v>
      </c>
      <c r="I112" s="324" t="s">
        <v>6</v>
      </c>
      <c r="J112" s="145">
        <v>3104369682</v>
      </c>
      <c r="K112" s="424" t="s">
        <v>348</v>
      </c>
      <c r="L112" s="145" t="s">
        <v>127</v>
      </c>
      <c r="M112" s="147"/>
      <c r="N112" s="150"/>
    </row>
    <row r="113" spans="1:14" s="535" customFormat="1" ht="22.5" customHeight="1" thickBot="1" x14ac:dyDescent="0.3">
      <c r="A113" s="562"/>
      <c r="B113" s="545"/>
      <c r="C113" s="528"/>
      <c r="D113" s="532"/>
      <c r="E113" s="530"/>
      <c r="F113" s="530"/>
      <c r="G113" s="531"/>
      <c r="H113" s="531">
        <f>SUM(H111:H112)</f>
        <v>24</v>
      </c>
      <c r="I113" s="531"/>
      <c r="J113" s="531"/>
      <c r="K113" s="531"/>
      <c r="L113" s="531"/>
      <c r="M113" s="533"/>
      <c r="N113" s="563"/>
    </row>
    <row r="114" spans="1:14" ht="22.5" customHeight="1" x14ac:dyDescent="0.25">
      <c r="A114" s="757" t="s">
        <v>16</v>
      </c>
      <c r="B114" s="155" t="s">
        <v>949</v>
      </c>
      <c r="C114" s="166" t="s">
        <v>950</v>
      </c>
      <c r="D114" s="167" t="s">
        <v>754</v>
      </c>
      <c r="E114" s="195"/>
      <c r="F114" s="195"/>
      <c r="G114" s="198"/>
      <c r="H114" s="198"/>
      <c r="I114" s="198"/>
      <c r="J114" s="167">
        <v>3186910386</v>
      </c>
      <c r="K114" s="198" t="s">
        <v>951</v>
      </c>
      <c r="L114" s="167" t="s">
        <v>17</v>
      </c>
      <c r="M114" s="50"/>
      <c r="N114" s="84"/>
    </row>
    <row r="115" spans="1:14" ht="22.5" customHeight="1" x14ac:dyDescent="0.25">
      <c r="A115" s="758"/>
      <c r="B115" s="203" t="s">
        <v>1110</v>
      </c>
      <c r="C115" s="226" t="s">
        <v>1111</v>
      </c>
      <c r="D115" s="216" t="s">
        <v>1112</v>
      </c>
      <c r="E115" s="325">
        <v>43405</v>
      </c>
      <c r="F115" s="325">
        <v>43434</v>
      </c>
      <c r="G115" s="326" t="s">
        <v>237</v>
      </c>
      <c r="H115" s="326">
        <v>20</v>
      </c>
      <c r="I115" s="326" t="s">
        <v>4</v>
      </c>
      <c r="J115" s="216">
        <v>3205101995</v>
      </c>
      <c r="K115" s="216" t="s">
        <v>1113</v>
      </c>
      <c r="L115" s="216" t="s">
        <v>17</v>
      </c>
      <c r="M115" s="63"/>
      <c r="N115" s="227"/>
    </row>
    <row r="116" spans="1:14" ht="23.25" customHeight="1" thickBot="1" x14ac:dyDescent="0.3">
      <c r="A116" s="759"/>
      <c r="B116" s="56" t="s">
        <v>130</v>
      </c>
      <c r="C116" s="67" t="s">
        <v>131</v>
      </c>
      <c r="D116" s="156" t="s">
        <v>755</v>
      </c>
      <c r="E116" s="317">
        <v>43410</v>
      </c>
      <c r="F116" s="317">
        <v>43434</v>
      </c>
      <c r="G116" s="318" t="s">
        <v>34</v>
      </c>
      <c r="H116" s="318">
        <v>12</v>
      </c>
      <c r="I116" s="318" t="s">
        <v>4</v>
      </c>
      <c r="J116" s="156">
        <v>3107179869</v>
      </c>
      <c r="K116" s="428" t="s">
        <v>353</v>
      </c>
      <c r="L116" s="156" t="s">
        <v>17</v>
      </c>
      <c r="M116" s="144"/>
      <c r="N116" s="128"/>
    </row>
    <row r="117" spans="1:14" s="535" customFormat="1" ht="23.25" customHeight="1" thickBot="1" x14ac:dyDescent="0.3">
      <c r="A117" s="564"/>
      <c r="B117" s="545"/>
      <c r="C117" s="565"/>
      <c r="D117" s="531"/>
      <c r="E117" s="530"/>
      <c r="F117" s="530"/>
      <c r="G117" s="531"/>
      <c r="H117" s="531">
        <f>SUM(H114:H116)</f>
        <v>32</v>
      </c>
      <c r="I117" s="531"/>
      <c r="J117" s="531"/>
      <c r="K117" s="531"/>
      <c r="L117" s="543"/>
      <c r="M117" s="566"/>
      <c r="N117" s="563"/>
    </row>
    <row r="118" spans="1:14" ht="24" customHeight="1" x14ac:dyDescent="0.25">
      <c r="A118" s="805" t="s">
        <v>132</v>
      </c>
      <c r="B118" s="803" t="s">
        <v>134</v>
      </c>
      <c r="C118" s="801" t="s">
        <v>135</v>
      </c>
      <c r="D118" s="729" t="s">
        <v>755</v>
      </c>
      <c r="E118" s="437">
        <v>43405</v>
      </c>
      <c r="F118" s="438">
        <v>43434</v>
      </c>
      <c r="G118" s="439" t="s">
        <v>237</v>
      </c>
      <c r="H118" s="440">
        <v>12</v>
      </c>
      <c r="I118" s="440" t="s">
        <v>254</v>
      </c>
      <c r="J118" s="729">
        <v>3137404850</v>
      </c>
      <c r="K118" s="729" t="s">
        <v>289</v>
      </c>
      <c r="L118" s="228" t="s">
        <v>1041</v>
      </c>
      <c r="M118" s="617" t="s">
        <v>1197</v>
      </c>
      <c r="N118" s="146"/>
    </row>
    <row r="119" spans="1:14" ht="22.5" customHeight="1" thickBot="1" x14ac:dyDescent="0.3">
      <c r="A119" s="806"/>
      <c r="B119" s="804"/>
      <c r="C119" s="802"/>
      <c r="D119" s="730"/>
      <c r="E119" s="441">
        <v>43414</v>
      </c>
      <c r="F119" s="442">
        <v>43434</v>
      </c>
      <c r="G119" s="443" t="s">
        <v>34</v>
      </c>
      <c r="H119" s="444">
        <v>12</v>
      </c>
      <c r="I119" s="443" t="s">
        <v>4</v>
      </c>
      <c r="J119" s="730"/>
      <c r="K119" s="730"/>
      <c r="L119" s="445" t="s">
        <v>133</v>
      </c>
      <c r="M119" s="730"/>
      <c r="N119" s="115"/>
    </row>
    <row r="120" spans="1:14" s="535" customFormat="1" ht="22.5" customHeight="1" thickBot="1" x14ac:dyDescent="0.3">
      <c r="A120" s="526"/>
      <c r="B120" s="545"/>
      <c r="C120" s="567"/>
      <c r="D120" s="531"/>
      <c r="E120" s="530"/>
      <c r="F120" s="530"/>
      <c r="G120" s="531"/>
      <c r="H120" s="531">
        <f>SUM(H118:H119)</f>
        <v>24</v>
      </c>
      <c r="I120" s="531"/>
      <c r="J120" s="531"/>
      <c r="K120" s="543"/>
      <c r="L120" s="543"/>
      <c r="M120" s="543"/>
      <c r="N120" s="534"/>
    </row>
    <row r="121" spans="1:14" ht="20.100000000000001" customHeight="1" x14ac:dyDescent="0.25">
      <c r="A121" s="749" t="s">
        <v>20</v>
      </c>
      <c r="B121" s="69" t="s">
        <v>136</v>
      </c>
      <c r="C121" s="70" t="s">
        <v>137</v>
      </c>
      <c r="D121" s="48" t="s">
        <v>755</v>
      </c>
      <c r="E121" s="319">
        <v>43410</v>
      </c>
      <c r="F121" s="319">
        <v>43434</v>
      </c>
      <c r="G121" s="327" t="s">
        <v>34</v>
      </c>
      <c r="H121" s="327">
        <v>12</v>
      </c>
      <c r="I121" s="327" t="s">
        <v>4</v>
      </c>
      <c r="J121" s="71">
        <v>3125323589</v>
      </c>
      <c r="K121" s="469" t="s">
        <v>341</v>
      </c>
      <c r="L121" s="49" t="s">
        <v>19</v>
      </c>
      <c r="M121" s="50"/>
      <c r="N121" s="61"/>
    </row>
    <row r="122" spans="1:14" ht="20.100000000000001" customHeight="1" x14ac:dyDescent="0.25">
      <c r="A122" s="750"/>
      <c r="B122" s="30" t="s">
        <v>138</v>
      </c>
      <c r="C122" s="46" t="s">
        <v>139</v>
      </c>
      <c r="D122" s="32" t="s">
        <v>769</v>
      </c>
      <c r="E122" s="302">
        <v>43410</v>
      </c>
      <c r="F122" s="307">
        <v>43434</v>
      </c>
      <c r="G122" s="308" t="s">
        <v>34</v>
      </c>
      <c r="H122" s="308">
        <v>12</v>
      </c>
      <c r="I122" s="308" t="s">
        <v>4</v>
      </c>
      <c r="J122" s="28"/>
      <c r="K122" s="430" t="s">
        <v>343</v>
      </c>
      <c r="L122" s="45" t="s">
        <v>19</v>
      </c>
      <c r="M122" s="52"/>
      <c r="N122" s="61"/>
    </row>
    <row r="123" spans="1:14" ht="20.100000000000001" customHeight="1" thickBot="1" x14ac:dyDescent="0.3">
      <c r="A123" s="751"/>
      <c r="B123" s="56" t="s">
        <v>140</v>
      </c>
      <c r="C123" s="57" t="s">
        <v>141</v>
      </c>
      <c r="D123" s="58" t="s">
        <v>770</v>
      </c>
      <c r="E123" s="328">
        <v>43410</v>
      </c>
      <c r="F123" s="317">
        <v>43434</v>
      </c>
      <c r="G123" s="329" t="s">
        <v>34</v>
      </c>
      <c r="H123" s="318">
        <v>12</v>
      </c>
      <c r="I123" s="318" t="s">
        <v>4</v>
      </c>
      <c r="J123" s="72">
        <v>3216053784</v>
      </c>
      <c r="K123" s="470" t="s">
        <v>342</v>
      </c>
      <c r="L123" s="45" t="s">
        <v>19</v>
      </c>
      <c r="M123" s="59"/>
      <c r="N123" s="61"/>
    </row>
    <row r="124" spans="1:14" s="535" customFormat="1" ht="20.100000000000001" customHeight="1" thickBot="1" x14ac:dyDescent="0.3">
      <c r="A124" s="526"/>
      <c r="B124" s="545"/>
      <c r="C124" s="528"/>
      <c r="D124" s="531"/>
      <c r="E124" s="530"/>
      <c r="F124" s="530"/>
      <c r="G124" s="543"/>
      <c r="H124" s="543">
        <f>SUM(H121:H123)</f>
        <v>36</v>
      </c>
      <c r="I124" s="531"/>
      <c r="J124" s="536"/>
      <c r="K124" s="543"/>
      <c r="L124" s="568"/>
      <c r="M124" s="544"/>
      <c r="N124" s="534"/>
    </row>
    <row r="125" spans="1:14" ht="20.100000000000001" customHeight="1" x14ac:dyDescent="0.25">
      <c r="A125" s="746" t="s">
        <v>142</v>
      </c>
      <c r="B125" s="752" t="s">
        <v>143</v>
      </c>
      <c r="C125" s="755" t="s">
        <v>144</v>
      </c>
      <c r="D125" s="756" t="s">
        <v>730</v>
      </c>
      <c r="E125" s="319">
        <v>43410</v>
      </c>
      <c r="F125" s="319">
        <v>43434</v>
      </c>
      <c r="G125" s="327" t="s">
        <v>34</v>
      </c>
      <c r="H125" s="330">
        <v>12</v>
      </c>
      <c r="I125" s="327" t="s">
        <v>4</v>
      </c>
      <c r="J125" s="718">
        <v>3015242924</v>
      </c>
      <c r="K125" s="718" t="s">
        <v>350</v>
      </c>
      <c r="L125" s="127" t="s">
        <v>401</v>
      </c>
      <c r="M125" s="722"/>
      <c r="N125" s="84"/>
    </row>
    <row r="126" spans="1:14" ht="20.100000000000001" customHeight="1" x14ac:dyDescent="0.25">
      <c r="A126" s="747"/>
      <c r="B126" s="696"/>
      <c r="C126" s="736"/>
      <c r="D126" s="712"/>
      <c r="E126" s="302">
        <v>43405</v>
      </c>
      <c r="F126" s="302">
        <v>43434</v>
      </c>
      <c r="G126" s="303" t="s">
        <v>237</v>
      </c>
      <c r="H126" s="303">
        <v>20</v>
      </c>
      <c r="I126" s="303" t="s">
        <v>254</v>
      </c>
      <c r="J126" s="717"/>
      <c r="K126" s="717"/>
      <c r="L126" s="127" t="s">
        <v>402</v>
      </c>
      <c r="M126" s="723"/>
      <c r="N126" s="84"/>
    </row>
    <row r="127" spans="1:14" ht="20.100000000000001" customHeight="1" thickBot="1" x14ac:dyDescent="0.3">
      <c r="A127" s="748"/>
      <c r="B127" s="117" t="s">
        <v>145</v>
      </c>
      <c r="C127" s="123" t="s">
        <v>146</v>
      </c>
      <c r="D127" s="124" t="s">
        <v>809</v>
      </c>
      <c r="E127" s="328">
        <v>43414</v>
      </c>
      <c r="F127" s="328">
        <v>43434</v>
      </c>
      <c r="G127" s="318" t="s">
        <v>34</v>
      </c>
      <c r="H127" s="318">
        <v>12</v>
      </c>
      <c r="I127" s="318" t="s">
        <v>4</v>
      </c>
      <c r="J127" s="125"/>
      <c r="K127" s="125" t="s">
        <v>351</v>
      </c>
      <c r="L127" s="126" t="s">
        <v>401</v>
      </c>
      <c r="M127" s="724"/>
      <c r="N127" s="84"/>
    </row>
    <row r="128" spans="1:14" s="535" customFormat="1" ht="20.100000000000001" customHeight="1" thickBot="1" x14ac:dyDescent="0.3">
      <c r="A128" s="526"/>
      <c r="B128" s="545"/>
      <c r="C128" s="569"/>
      <c r="D128" s="570"/>
      <c r="E128" s="530"/>
      <c r="F128" s="530"/>
      <c r="G128" s="531"/>
      <c r="H128" s="531">
        <f>SUM(H125:H127)</f>
        <v>44</v>
      </c>
      <c r="I128" s="531"/>
      <c r="J128" s="536"/>
      <c r="K128" s="536"/>
      <c r="L128" s="543"/>
      <c r="M128" s="571"/>
      <c r="N128" s="534"/>
    </row>
    <row r="129" spans="1:14" ht="20.100000000000001" customHeight="1" x14ac:dyDescent="0.25">
      <c r="A129" s="749" t="s">
        <v>21</v>
      </c>
      <c r="B129" s="769" t="s">
        <v>147</v>
      </c>
      <c r="C129" s="770" t="s">
        <v>148</v>
      </c>
      <c r="D129" s="775" t="s">
        <v>781</v>
      </c>
      <c r="E129" s="319">
        <v>43405</v>
      </c>
      <c r="F129" s="319">
        <v>43434</v>
      </c>
      <c r="G129" s="313" t="s">
        <v>237</v>
      </c>
      <c r="H129" s="313">
        <v>20</v>
      </c>
      <c r="I129" s="313" t="s">
        <v>254</v>
      </c>
      <c r="J129" s="692">
        <v>3014095228</v>
      </c>
      <c r="K129" s="692" t="s">
        <v>287</v>
      </c>
      <c r="L129" s="48" t="s">
        <v>1109</v>
      </c>
      <c r="M129" s="73"/>
      <c r="N129" s="61"/>
    </row>
    <row r="130" spans="1:14" ht="20.100000000000001" customHeight="1" x14ac:dyDescent="0.25">
      <c r="A130" s="750"/>
      <c r="B130" s="739"/>
      <c r="C130" s="742"/>
      <c r="D130" s="684"/>
      <c r="E130" s="302">
        <v>43410</v>
      </c>
      <c r="F130" s="302">
        <v>43434</v>
      </c>
      <c r="G130" s="303" t="s">
        <v>34</v>
      </c>
      <c r="H130" s="303">
        <v>12</v>
      </c>
      <c r="I130" s="303" t="s">
        <v>4</v>
      </c>
      <c r="J130" s="681"/>
      <c r="K130" s="681"/>
      <c r="L130" s="32" t="s">
        <v>7</v>
      </c>
      <c r="M130" s="74"/>
      <c r="N130" s="61"/>
    </row>
    <row r="131" spans="1:14" ht="20.100000000000001" customHeight="1" x14ac:dyDescent="0.25">
      <c r="A131" s="750"/>
      <c r="B131" s="704" t="s">
        <v>149</v>
      </c>
      <c r="C131" s="764" t="s">
        <v>150</v>
      </c>
      <c r="D131" s="773" t="s">
        <v>730</v>
      </c>
      <c r="E131" s="316">
        <v>43405</v>
      </c>
      <c r="F131" s="316">
        <v>43434</v>
      </c>
      <c r="G131" s="305" t="s">
        <v>237</v>
      </c>
      <c r="H131" s="331">
        <v>12</v>
      </c>
      <c r="I131" s="305" t="s">
        <v>254</v>
      </c>
      <c r="J131" s="679">
        <v>3116851554</v>
      </c>
      <c r="K131" s="679" t="s">
        <v>276</v>
      </c>
      <c r="L131" s="32" t="s">
        <v>1109</v>
      </c>
      <c r="M131" s="75" t="s">
        <v>820</v>
      </c>
      <c r="N131" s="61"/>
    </row>
    <row r="132" spans="1:14" ht="21" customHeight="1" x14ac:dyDescent="0.25">
      <c r="A132" s="750"/>
      <c r="B132" s="704"/>
      <c r="C132" s="764"/>
      <c r="D132" s="774"/>
      <c r="E132" s="302">
        <v>43414</v>
      </c>
      <c r="F132" s="302">
        <v>43434</v>
      </c>
      <c r="G132" s="303" t="s">
        <v>34</v>
      </c>
      <c r="H132" s="332">
        <v>12</v>
      </c>
      <c r="I132" s="303" t="s">
        <v>4</v>
      </c>
      <c r="J132" s="681"/>
      <c r="K132" s="681"/>
      <c r="L132" s="32" t="s">
        <v>7</v>
      </c>
      <c r="M132" s="74"/>
      <c r="N132" s="61"/>
    </row>
    <row r="133" spans="1:14" ht="21" customHeight="1" x14ac:dyDescent="0.25">
      <c r="A133" s="750"/>
      <c r="B133" s="679" t="s">
        <v>976</v>
      </c>
      <c r="C133" s="679" t="s">
        <v>977</v>
      </c>
      <c r="D133" s="690" t="s">
        <v>957</v>
      </c>
      <c r="E133" s="686">
        <v>43420</v>
      </c>
      <c r="F133" s="686">
        <v>43439</v>
      </c>
      <c r="G133" s="779" t="s">
        <v>1203</v>
      </c>
      <c r="H133" s="332">
        <v>12</v>
      </c>
      <c r="I133" s="422" t="s">
        <v>4</v>
      </c>
      <c r="J133" s="679">
        <v>3014290683</v>
      </c>
      <c r="K133" s="679" t="s">
        <v>978</v>
      </c>
      <c r="L133" s="679" t="s">
        <v>7</v>
      </c>
      <c r="M133" s="77"/>
      <c r="N133" s="61"/>
    </row>
    <row r="134" spans="1:14" ht="21" customHeight="1" x14ac:dyDescent="0.25">
      <c r="A134" s="750"/>
      <c r="B134" s="681"/>
      <c r="C134" s="681"/>
      <c r="D134" s="691"/>
      <c r="E134" s="687"/>
      <c r="F134" s="687"/>
      <c r="G134" s="780"/>
      <c r="H134" s="332">
        <v>20</v>
      </c>
      <c r="I134" s="422" t="s">
        <v>6</v>
      </c>
      <c r="J134" s="681"/>
      <c r="K134" s="681"/>
      <c r="L134" s="681"/>
      <c r="M134" s="464"/>
      <c r="N134" s="61"/>
    </row>
    <row r="135" spans="1:14" ht="21" customHeight="1" x14ac:dyDescent="0.25">
      <c r="A135" s="750"/>
      <c r="B135" s="679" t="s">
        <v>707</v>
      </c>
      <c r="C135" s="679" t="s">
        <v>708</v>
      </c>
      <c r="D135" s="679" t="s">
        <v>730</v>
      </c>
      <c r="E135" s="302">
        <v>43405</v>
      </c>
      <c r="F135" s="302">
        <v>43434</v>
      </c>
      <c r="G135" s="303" t="s">
        <v>237</v>
      </c>
      <c r="H135" s="332">
        <v>20</v>
      </c>
      <c r="I135" s="303" t="s">
        <v>4</v>
      </c>
      <c r="J135" s="740">
        <v>3145875328</v>
      </c>
      <c r="K135" s="816" t="s">
        <v>709</v>
      </c>
      <c r="L135" s="244" t="s">
        <v>7</v>
      </c>
      <c r="M135" s="77"/>
      <c r="N135" s="61"/>
    </row>
    <row r="136" spans="1:14" ht="21" customHeight="1" x14ac:dyDescent="0.25">
      <c r="A136" s="750"/>
      <c r="B136" s="681"/>
      <c r="C136" s="681"/>
      <c r="D136" s="681"/>
      <c r="E136" s="302">
        <v>43414</v>
      </c>
      <c r="F136" s="302">
        <v>43434</v>
      </c>
      <c r="G136" s="303" t="s">
        <v>34</v>
      </c>
      <c r="H136" s="332">
        <v>12</v>
      </c>
      <c r="I136" s="303" t="s">
        <v>254</v>
      </c>
      <c r="J136" s="740"/>
      <c r="K136" s="816"/>
      <c r="L136" s="244" t="s">
        <v>1109</v>
      </c>
      <c r="M136" s="77"/>
      <c r="N136" s="61"/>
    </row>
    <row r="137" spans="1:14" ht="21" customHeight="1" x14ac:dyDescent="0.25">
      <c r="A137" s="750"/>
      <c r="B137" s="30" t="s">
        <v>396</v>
      </c>
      <c r="C137" s="76" t="s">
        <v>397</v>
      </c>
      <c r="D137" s="225" t="s">
        <v>726</v>
      </c>
      <c r="E137" s="302">
        <v>43410</v>
      </c>
      <c r="F137" s="302">
        <v>43434</v>
      </c>
      <c r="G137" s="303" t="s">
        <v>34</v>
      </c>
      <c r="H137" s="303">
        <v>12</v>
      </c>
      <c r="I137" s="303" t="s">
        <v>4</v>
      </c>
      <c r="J137" s="244">
        <v>3126292364</v>
      </c>
      <c r="K137" s="426" t="s">
        <v>398</v>
      </c>
      <c r="L137" s="244" t="s">
        <v>7</v>
      </c>
      <c r="M137" s="77"/>
      <c r="N137" s="61"/>
    </row>
    <row r="138" spans="1:14" ht="20.25" customHeight="1" x14ac:dyDescent="0.25">
      <c r="A138" s="750"/>
      <c r="B138" s="738" t="s">
        <v>335</v>
      </c>
      <c r="C138" s="741" t="s">
        <v>336</v>
      </c>
      <c r="D138" s="753" t="s">
        <v>782</v>
      </c>
      <c r="E138" s="302">
        <v>43405</v>
      </c>
      <c r="F138" s="302">
        <v>43434</v>
      </c>
      <c r="G138" s="303" t="s">
        <v>237</v>
      </c>
      <c r="H138" s="332">
        <v>20</v>
      </c>
      <c r="I138" s="303" t="s">
        <v>4</v>
      </c>
      <c r="J138" s="740">
        <v>3126657933</v>
      </c>
      <c r="K138" s="740" t="s">
        <v>337</v>
      </c>
      <c r="L138" s="28" t="s">
        <v>7</v>
      </c>
      <c r="M138" s="77"/>
      <c r="N138" s="61"/>
    </row>
    <row r="139" spans="1:14" ht="22.5" customHeight="1" thickBot="1" x14ac:dyDescent="0.3">
      <c r="A139" s="751"/>
      <c r="B139" s="771"/>
      <c r="C139" s="772"/>
      <c r="D139" s="754"/>
      <c r="E139" s="328">
        <v>43410</v>
      </c>
      <c r="F139" s="328">
        <v>43434</v>
      </c>
      <c r="G139" s="324" t="s">
        <v>34</v>
      </c>
      <c r="H139" s="318">
        <v>12</v>
      </c>
      <c r="I139" s="318" t="s">
        <v>254</v>
      </c>
      <c r="J139" s="754"/>
      <c r="K139" s="754"/>
      <c r="L139" s="58" t="s">
        <v>1109</v>
      </c>
      <c r="M139" s="78"/>
      <c r="N139" s="61"/>
    </row>
    <row r="140" spans="1:14" s="535" customFormat="1" ht="22.5" customHeight="1" x14ac:dyDescent="0.25">
      <c r="A140" s="526"/>
      <c r="B140" s="545"/>
      <c r="C140" s="546"/>
      <c r="D140" s="531"/>
      <c r="E140" s="530"/>
      <c r="F140" s="530"/>
      <c r="G140" s="531"/>
      <c r="H140" s="531">
        <f>SUM(H129:H139)</f>
        <v>164</v>
      </c>
      <c r="I140" s="531"/>
      <c r="J140" s="531"/>
      <c r="K140" s="531"/>
      <c r="L140" s="531"/>
      <c r="M140" s="572"/>
      <c r="N140" s="534"/>
    </row>
    <row r="141" spans="1:14" ht="20.100000000000001" customHeight="1" x14ac:dyDescent="0.25">
      <c r="A141" s="743" t="s">
        <v>25</v>
      </c>
      <c r="B141" s="696" t="s">
        <v>152</v>
      </c>
      <c r="C141" s="736" t="s">
        <v>153</v>
      </c>
      <c r="D141" s="104"/>
      <c r="E141" s="302">
        <v>43410</v>
      </c>
      <c r="F141" s="302">
        <v>43434</v>
      </c>
      <c r="G141" s="305" t="s">
        <v>34</v>
      </c>
      <c r="H141" s="305">
        <v>12</v>
      </c>
      <c r="I141" s="305" t="s">
        <v>4</v>
      </c>
      <c r="J141" s="721">
        <v>3215473774</v>
      </c>
      <c r="K141" s="721" t="s">
        <v>294</v>
      </c>
      <c r="L141" s="104" t="s">
        <v>151</v>
      </c>
      <c r="M141" s="105"/>
      <c r="N141" s="115"/>
    </row>
    <row r="142" spans="1:14" ht="20.100000000000001" customHeight="1" x14ac:dyDescent="0.25">
      <c r="A142" s="744"/>
      <c r="B142" s="699"/>
      <c r="C142" s="768"/>
      <c r="D142" s="88" t="s">
        <v>730</v>
      </c>
      <c r="E142" s="302">
        <v>43405</v>
      </c>
      <c r="F142" s="302">
        <v>43434</v>
      </c>
      <c r="G142" s="303" t="s">
        <v>237</v>
      </c>
      <c r="H142" s="332">
        <v>20</v>
      </c>
      <c r="I142" s="303" t="s">
        <v>254</v>
      </c>
      <c r="J142" s="717"/>
      <c r="K142" s="717"/>
      <c r="L142" s="88" t="s">
        <v>154</v>
      </c>
      <c r="M142" s="112"/>
      <c r="N142" s="115"/>
    </row>
    <row r="143" spans="1:14" ht="20.100000000000001" customHeight="1" x14ac:dyDescent="0.25">
      <c r="A143" s="745"/>
      <c r="B143" s="695" t="s">
        <v>345</v>
      </c>
      <c r="C143" s="735" t="s">
        <v>346</v>
      </c>
      <c r="D143" s="712" t="s">
        <v>730</v>
      </c>
      <c r="E143" s="686">
        <v>43410</v>
      </c>
      <c r="F143" s="686">
        <v>43434</v>
      </c>
      <c r="G143" s="688" t="s">
        <v>77</v>
      </c>
      <c r="H143" s="308">
        <v>20</v>
      </c>
      <c r="I143" s="308" t="s">
        <v>6</v>
      </c>
      <c r="J143" s="701">
        <v>3014889526</v>
      </c>
      <c r="K143" s="701" t="s">
        <v>347</v>
      </c>
      <c r="L143" s="88" t="s">
        <v>151</v>
      </c>
      <c r="M143" s="122"/>
      <c r="N143" s="115"/>
    </row>
    <row r="144" spans="1:14" ht="20.100000000000001" customHeight="1" x14ac:dyDescent="0.25">
      <c r="A144" s="745"/>
      <c r="B144" s="696"/>
      <c r="C144" s="736"/>
      <c r="D144" s="712"/>
      <c r="E144" s="687"/>
      <c r="F144" s="687"/>
      <c r="G144" s="689"/>
      <c r="H144" s="308">
        <v>20</v>
      </c>
      <c r="I144" s="308" t="s">
        <v>4</v>
      </c>
      <c r="J144" s="717"/>
      <c r="K144" s="717"/>
      <c r="L144" s="88" t="s">
        <v>151</v>
      </c>
      <c r="M144" s="122"/>
      <c r="N144" s="115"/>
    </row>
    <row r="145" spans="1:14" ht="20.100000000000001" customHeight="1" x14ac:dyDescent="0.25">
      <c r="A145" s="745"/>
      <c r="B145" s="695" t="s">
        <v>244</v>
      </c>
      <c r="C145" s="735" t="s">
        <v>887</v>
      </c>
      <c r="D145" s="701"/>
      <c r="E145" s="302">
        <v>43410</v>
      </c>
      <c r="F145" s="302">
        <v>43434</v>
      </c>
      <c r="G145" s="303" t="s">
        <v>34</v>
      </c>
      <c r="H145" s="303">
        <v>12</v>
      </c>
      <c r="I145" s="303" t="s">
        <v>4</v>
      </c>
      <c r="J145" s="701">
        <v>3177537668</v>
      </c>
      <c r="K145" s="701" t="s">
        <v>344</v>
      </c>
      <c r="L145" s="93" t="s">
        <v>151</v>
      </c>
      <c r="M145" s="122"/>
      <c r="N145" s="115"/>
    </row>
    <row r="146" spans="1:14" ht="20.100000000000001" customHeight="1" thickBot="1" x14ac:dyDescent="0.3">
      <c r="A146" s="745"/>
      <c r="B146" s="703"/>
      <c r="C146" s="737"/>
      <c r="D146" s="702"/>
      <c r="E146" s="304">
        <v>43405</v>
      </c>
      <c r="F146" s="304">
        <v>43434</v>
      </c>
      <c r="G146" s="315" t="s">
        <v>237</v>
      </c>
      <c r="H146" s="315">
        <v>12</v>
      </c>
      <c r="I146" s="315" t="s">
        <v>254</v>
      </c>
      <c r="J146" s="721"/>
      <c r="K146" s="721"/>
      <c r="L146" s="93" t="s">
        <v>154</v>
      </c>
      <c r="M146" s="122"/>
      <c r="N146" s="115"/>
    </row>
    <row r="147" spans="1:14" s="535" customFormat="1" ht="20.100000000000001" customHeight="1" thickBot="1" x14ac:dyDescent="0.3">
      <c r="A147" s="526"/>
      <c r="B147" s="545"/>
      <c r="C147" s="546"/>
      <c r="D147" s="531"/>
      <c r="E147" s="530"/>
      <c r="F147" s="530"/>
      <c r="G147" s="531"/>
      <c r="H147" s="531">
        <f>SUM(H141:H146)</f>
        <v>96</v>
      </c>
      <c r="I147" s="531"/>
      <c r="J147" s="531"/>
      <c r="K147" s="531"/>
      <c r="L147" s="531"/>
      <c r="M147" s="533"/>
      <c r="N147" s="534"/>
    </row>
    <row r="148" spans="1:14" ht="20.100000000000001" customHeight="1" x14ac:dyDescent="0.25">
      <c r="A148" s="808" t="s">
        <v>528</v>
      </c>
      <c r="B148" s="692" t="s">
        <v>694</v>
      </c>
      <c r="C148" s="692" t="s">
        <v>695</v>
      </c>
      <c r="D148" s="692"/>
      <c r="E148" s="693">
        <v>43410</v>
      </c>
      <c r="F148" s="693">
        <v>43434</v>
      </c>
      <c r="G148" s="694" t="s">
        <v>77</v>
      </c>
      <c r="H148" s="313">
        <v>20</v>
      </c>
      <c r="I148" s="313" t="s">
        <v>4</v>
      </c>
      <c r="J148" s="692">
        <v>3105039232</v>
      </c>
      <c r="K148" s="692" t="s">
        <v>696</v>
      </c>
      <c r="L148" s="48" t="s">
        <v>697</v>
      </c>
      <c r="M148" s="50"/>
      <c r="N148" s="61"/>
    </row>
    <row r="149" spans="1:14" ht="20.100000000000001" customHeight="1" x14ac:dyDescent="0.25">
      <c r="A149" s="809"/>
      <c r="B149" s="681"/>
      <c r="C149" s="681"/>
      <c r="D149" s="681"/>
      <c r="E149" s="687"/>
      <c r="F149" s="687"/>
      <c r="G149" s="689"/>
      <c r="H149" s="305">
        <v>20</v>
      </c>
      <c r="I149" s="305" t="s">
        <v>254</v>
      </c>
      <c r="J149" s="681"/>
      <c r="K149" s="681"/>
      <c r="L149" s="199" t="s">
        <v>886</v>
      </c>
      <c r="M149" s="63"/>
      <c r="N149" s="61"/>
    </row>
    <row r="150" spans="1:14" ht="20.100000000000001" customHeight="1" thickBot="1" x14ac:dyDescent="0.3">
      <c r="A150" s="810"/>
      <c r="B150" s="474" t="s">
        <v>1098</v>
      </c>
      <c r="C150" s="475" t="s">
        <v>1099</v>
      </c>
      <c r="D150" s="474" t="s">
        <v>1100</v>
      </c>
      <c r="E150" s="476">
        <v>43402</v>
      </c>
      <c r="F150" s="476">
        <v>43432</v>
      </c>
      <c r="G150" s="461" t="s">
        <v>34</v>
      </c>
      <c r="H150" s="461">
        <v>12</v>
      </c>
      <c r="I150" s="461" t="s">
        <v>4</v>
      </c>
      <c r="J150" s="461">
        <v>3012169414</v>
      </c>
      <c r="K150" s="461" t="s">
        <v>1101</v>
      </c>
      <c r="L150" s="443" t="s">
        <v>697</v>
      </c>
      <c r="M150" s="477" t="s">
        <v>1214</v>
      </c>
      <c r="N150" s="235"/>
    </row>
    <row r="151" spans="1:14" s="535" customFormat="1" ht="20.100000000000001" customHeight="1" x14ac:dyDescent="0.25">
      <c r="A151" s="573"/>
      <c r="B151" s="574"/>
      <c r="C151" s="575"/>
      <c r="D151" s="574"/>
      <c r="E151" s="530"/>
      <c r="F151" s="530"/>
      <c r="G151" s="531"/>
      <c r="H151" s="531"/>
      <c r="I151" s="531"/>
      <c r="J151" s="531"/>
      <c r="K151" s="531"/>
      <c r="L151" s="531"/>
      <c r="M151" s="576"/>
      <c r="N151" s="558"/>
    </row>
    <row r="152" spans="1:14" ht="20.100000000000001" customHeight="1" x14ac:dyDescent="0.25">
      <c r="A152" s="793" t="s">
        <v>255</v>
      </c>
      <c r="B152" s="795" t="s">
        <v>256</v>
      </c>
      <c r="C152" s="727" t="s">
        <v>257</v>
      </c>
      <c r="D152" s="609" t="s">
        <v>794</v>
      </c>
      <c r="E152" s="719">
        <v>43410</v>
      </c>
      <c r="F152" s="719">
        <v>43434</v>
      </c>
      <c r="G152" s="725" t="s">
        <v>77</v>
      </c>
      <c r="H152" s="305">
        <v>20</v>
      </c>
      <c r="I152" s="305" t="s">
        <v>6</v>
      </c>
      <c r="J152" s="609">
        <v>3012840976</v>
      </c>
      <c r="K152" s="609"/>
      <c r="L152" s="609" t="s">
        <v>24</v>
      </c>
      <c r="M152" s="218"/>
      <c r="N152" s="219"/>
    </row>
    <row r="153" spans="1:14" ht="20.100000000000001" customHeight="1" thickBot="1" x14ac:dyDescent="0.3">
      <c r="A153" s="794"/>
      <c r="B153" s="796"/>
      <c r="C153" s="728"/>
      <c r="D153" s="705"/>
      <c r="E153" s="720"/>
      <c r="F153" s="720"/>
      <c r="G153" s="726"/>
      <c r="H153" s="324">
        <v>20</v>
      </c>
      <c r="I153" s="333" t="s">
        <v>4</v>
      </c>
      <c r="J153" s="705"/>
      <c r="K153" s="705"/>
      <c r="L153" s="705"/>
      <c r="M153" s="220"/>
      <c r="N153" s="221"/>
    </row>
    <row r="154" spans="1:14" ht="20.100000000000001" customHeight="1" x14ac:dyDescent="0.25">
      <c r="H154" s="2">
        <f>SUM(H152:H153)</f>
        <v>40</v>
      </c>
    </row>
    <row r="156" spans="1:14" ht="20.100000000000001" customHeight="1" x14ac:dyDescent="0.25">
      <c r="C156" s="5" t="s">
        <v>1178</v>
      </c>
    </row>
  </sheetData>
  <autoFilter ref="A1:N154"/>
  <mergeCells count="246">
    <mergeCell ref="M24:M25"/>
    <mergeCell ref="M61:M63"/>
    <mergeCell ref="J61:J63"/>
    <mergeCell ref="K61:K63"/>
    <mergeCell ref="M69:M71"/>
    <mergeCell ref="B135:B136"/>
    <mergeCell ref="C135:C136"/>
    <mergeCell ref="D135:D136"/>
    <mergeCell ref="J135:J136"/>
    <mergeCell ref="K135:K136"/>
    <mergeCell ref="M118:M119"/>
    <mergeCell ref="E61:E63"/>
    <mergeCell ref="K133:K134"/>
    <mergeCell ref="L133:L134"/>
    <mergeCell ref="M79:M80"/>
    <mergeCell ref="A152:A153"/>
    <mergeCell ref="B152:B153"/>
    <mergeCell ref="B18:B19"/>
    <mergeCell ref="K69:K71"/>
    <mergeCell ref="C53:C54"/>
    <mergeCell ref="J53:J54"/>
    <mergeCell ref="K18:K19"/>
    <mergeCell ref="M18:M19"/>
    <mergeCell ref="J35:J36"/>
    <mergeCell ref="K35:K36"/>
    <mergeCell ref="D35:D36"/>
    <mergeCell ref="M30:M31"/>
    <mergeCell ref="C118:C119"/>
    <mergeCell ref="B118:B119"/>
    <mergeCell ref="A118:A119"/>
    <mergeCell ref="J118:J119"/>
    <mergeCell ref="K118:K119"/>
    <mergeCell ref="A2:A28"/>
    <mergeCell ref="A35:A73"/>
    <mergeCell ref="B50:B52"/>
    <mergeCell ref="A98:A101"/>
    <mergeCell ref="B46:B47"/>
    <mergeCell ref="A105:A106"/>
    <mergeCell ref="A148:A150"/>
    <mergeCell ref="A85:A96"/>
    <mergeCell ref="A75:A83"/>
    <mergeCell ref="A30:A33"/>
    <mergeCell ref="A111:A112"/>
    <mergeCell ref="A121:A123"/>
    <mergeCell ref="D46:D47"/>
    <mergeCell ref="D48:D49"/>
    <mergeCell ref="B82:B83"/>
    <mergeCell ref="B61:B63"/>
    <mergeCell ref="B85:B86"/>
    <mergeCell ref="C85:C86"/>
    <mergeCell ref="C50:C52"/>
    <mergeCell ref="C35:C36"/>
    <mergeCell ref="C41:C42"/>
    <mergeCell ref="B79:B80"/>
    <mergeCell ref="B76:B77"/>
    <mergeCell ref="B53:B54"/>
    <mergeCell ref="B55:B57"/>
    <mergeCell ref="C69:C71"/>
    <mergeCell ref="B39:B40"/>
    <mergeCell ref="C61:C63"/>
    <mergeCell ref="D61:D63"/>
    <mergeCell ref="J20:J21"/>
    <mergeCell ref="K20:K21"/>
    <mergeCell ref="K48:K49"/>
    <mergeCell ref="J43:J44"/>
    <mergeCell ref="K43:K44"/>
    <mergeCell ref="C39:C40"/>
    <mergeCell ref="C46:C47"/>
    <mergeCell ref="K55:K57"/>
    <mergeCell ref="D20:D21"/>
    <mergeCell ref="J48:J49"/>
    <mergeCell ref="C48:C49"/>
    <mergeCell ref="C20:C21"/>
    <mergeCell ref="E51:E52"/>
    <mergeCell ref="K26:K27"/>
    <mergeCell ref="D43:D44"/>
    <mergeCell ref="D41:D42"/>
    <mergeCell ref="D39:D40"/>
    <mergeCell ref="J138:J139"/>
    <mergeCell ref="K138:K139"/>
    <mergeCell ref="D131:D132"/>
    <mergeCell ref="D129:D130"/>
    <mergeCell ref="B69:B71"/>
    <mergeCell ref="E69:E71"/>
    <mergeCell ref="F69:F71"/>
    <mergeCell ref="G69:G71"/>
    <mergeCell ref="J55:J57"/>
    <mergeCell ref="F61:F63"/>
    <mergeCell ref="G61:G63"/>
    <mergeCell ref="C55:C57"/>
    <mergeCell ref="E55:E56"/>
    <mergeCell ref="F55:F56"/>
    <mergeCell ref="G55:G56"/>
    <mergeCell ref="J69:J71"/>
    <mergeCell ref="D69:D71"/>
    <mergeCell ref="B133:B134"/>
    <mergeCell ref="C133:C134"/>
    <mergeCell ref="D133:D134"/>
    <mergeCell ref="E133:E134"/>
    <mergeCell ref="F133:F134"/>
    <mergeCell ref="G133:G134"/>
    <mergeCell ref="J133:J134"/>
    <mergeCell ref="J152:J153"/>
    <mergeCell ref="B43:B44"/>
    <mergeCell ref="C43:C44"/>
    <mergeCell ref="K13:K14"/>
    <mergeCell ref="J13:J14"/>
    <mergeCell ref="B24:B25"/>
    <mergeCell ref="C24:C25"/>
    <mergeCell ref="J24:J25"/>
    <mergeCell ref="K24:K25"/>
    <mergeCell ref="D24:D25"/>
    <mergeCell ref="B35:B36"/>
    <mergeCell ref="F18:F19"/>
    <mergeCell ref="G18:G19"/>
    <mergeCell ref="J18:J19"/>
    <mergeCell ref="C141:C142"/>
    <mergeCell ref="B141:B142"/>
    <mergeCell ref="B129:B130"/>
    <mergeCell ref="C129:C130"/>
    <mergeCell ref="J129:J130"/>
    <mergeCell ref="K129:K130"/>
    <mergeCell ref="B131:B132"/>
    <mergeCell ref="C131:C132"/>
    <mergeCell ref="B138:B139"/>
    <mergeCell ref="C138:C139"/>
    <mergeCell ref="B13:B14"/>
    <mergeCell ref="D13:D14"/>
    <mergeCell ref="C13:C14"/>
    <mergeCell ref="B48:B49"/>
    <mergeCell ref="J82:J83"/>
    <mergeCell ref="A141:A146"/>
    <mergeCell ref="A125:A127"/>
    <mergeCell ref="A129:A139"/>
    <mergeCell ref="J143:J144"/>
    <mergeCell ref="B125:B126"/>
    <mergeCell ref="D138:D139"/>
    <mergeCell ref="C125:C126"/>
    <mergeCell ref="D125:D126"/>
    <mergeCell ref="J125:J126"/>
    <mergeCell ref="D82:D83"/>
    <mergeCell ref="D79:D80"/>
    <mergeCell ref="A114:A116"/>
    <mergeCell ref="B100:B101"/>
    <mergeCell ref="C100:C101"/>
    <mergeCell ref="A108:A109"/>
    <mergeCell ref="B20:B21"/>
    <mergeCell ref="C18:C19"/>
    <mergeCell ref="D18:D19"/>
    <mergeCell ref="E18:E19"/>
    <mergeCell ref="C152:C153"/>
    <mergeCell ref="D118:D119"/>
    <mergeCell ref="D145:D146"/>
    <mergeCell ref="D152:D153"/>
    <mergeCell ref="G51:G52"/>
    <mergeCell ref="F51:F52"/>
    <mergeCell ref="K53:K54"/>
    <mergeCell ref="D100:D101"/>
    <mergeCell ref="E100:E101"/>
    <mergeCell ref="F100:F101"/>
    <mergeCell ref="K50:K52"/>
    <mergeCell ref="J50:J52"/>
    <mergeCell ref="J76:J77"/>
    <mergeCell ref="K76:K77"/>
    <mergeCell ref="K85:K86"/>
    <mergeCell ref="J85:J86"/>
    <mergeCell ref="J79:J80"/>
    <mergeCell ref="K79:K80"/>
    <mergeCell ref="K143:K144"/>
    <mergeCell ref="C143:C144"/>
    <mergeCell ref="E143:E144"/>
    <mergeCell ref="F143:F144"/>
    <mergeCell ref="G143:G144"/>
    <mergeCell ref="C145:C146"/>
    <mergeCell ref="L152:L153"/>
    <mergeCell ref="K152:K153"/>
    <mergeCell ref="M50:M51"/>
    <mergeCell ref="N50:N51"/>
    <mergeCell ref="G100:G101"/>
    <mergeCell ref="J100:J101"/>
    <mergeCell ref="K100:K101"/>
    <mergeCell ref="D55:D57"/>
    <mergeCell ref="D53:D54"/>
    <mergeCell ref="D50:D52"/>
    <mergeCell ref="D76:D77"/>
    <mergeCell ref="K125:K126"/>
    <mergeCell ref="E152:E153"/>
    <mergeCell ref="F152:F153"/>
    <mergeCell ref="K145:K146"/>
    <mergeCell ref="J145:J146"/>
    <mergeCell ref="D143:D144"/>
    <mergeCell ref="M125:M127"/>
    <mergeCell ref="K131:K132"/>
    <mergeCell ref="J131:J132"/>
    <mergeCell ref="J141:J142"/>
    <mergeCell ref="K141:K142"/>
    <mergeCell ref="D85:D86"/>
    <mergeCell ref="G152:G153"/>
    <mergeCell ref="B4:B6"/>
    <mergeCell ref="C4:C6"/>
    <mergeCell ref="D4:D6"/>
    <mergeCell ref="J4:J6"/>
    <mergeCell ref="J148:J149"/>
    <mergeCell ref="K148:K149"/>
    <mergeCell ref="B148:B149"/>
    <mergeCell ref="C148:C149"/>
    <mergeCell ref="D148:D149"/>
    <mergeCell ref="E148:E149"/>
    <mergeCell ref="F148:F149"/>
    <mergeCell ref="G148:G149"/>
    <mergeCell ref="E87:E88"/>
    <mergeCell ref="F87:F88"/>
    <mergeCell ref="G87:G88"/>
    <mergeCell ref="C76:C77"/>
    <mergeCell ref="C79:C80"/>
    <mergeCell ref="C82:C83"/>
    <mergeCell ref="K82:K83"/>
    <mergeCell ref="J87:J88"/>
    <mergeCell ref="K87:K88"/>
    <mergeCell ref="B143:B144"/>
    <mergeCell ref="B145:B146"/>
    <mergeCell ref="B41:B42"/>
    <mergeCell ref="K4:K6"/>
    <mergeCell ref="B87:B89"/>
    <mergeCell ref="C87:C89"/>
    <mergeCell ref="D87:D89"/>
    <mergeCell ref="B72:B73"/>
    <mergeCell ref="C72:C73"/>
    <mergeCell ref="D72:D73"/>
    <mergeCell ref="J72:J73"/>
    <mergeCell ref="K72:K73"/>
    <mergeCell ref="D10:D12"/>
    <mergeCell ref="J10:J12"/>
    <mergeCell ref="K10:K12"/>
    <mergeCell ref="B10:B12"/>
    <mergeCell ref="C10:C12"/>
    <mergeCell ref="E4:E5"/>
    <mergeCell ref="F4:F5"/>
    <mergeCell ref="G4:G5"/>
    <mergeCell ref="E10:E11"/>
    <mergeCell ref="F10:F11"/>
    <mergeCell ref="G10:G11"/>
    <mergeCell ref="B26:B27"/>
    <mergeCell ref="C26:C27"/>
    <mergeCell ref="J26:J27"/>
    <mergeCell ref="D26:D27"/>
  </mergeCells>
  <pageMargins left="0.25" right="0.25" top="0.75" bottom="0.75" header="0.3" footer="0.3"/>
  <pageSetup scale="6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97"/>
  <sheetViews>
    <sheetView tabSelected="1" zoomScaleNormal="100" workbookViewId="0">
      <pane ySplit="1" topLeftCell="A55" activePane="bottomLeft" state="frozen"/>
      <selection pane="bottomLeft" activeCell="E69" sqref="E69"/>
    </sheetView>
  </sheetViews>
  <sheetFormatPr baseColWidth="10" defaultRowHeight="20.100000000000001" customHeight="1" x14ac:dyDescent="0.25"/>
  <cols>
    <col min="1" max="1" width="11.140625" style="3" customWidth="1"/>
    <col min="2" max="2" width="23.28515625" style="3" customWidth="1"/>
    <col min="3" max="3" width="22.140625" style="5" customWidth="1"/>
    <col min="4" max="4" width="22.140625" style="2" customWidth="1"/>
    <col min="5" max="5" width="12.5703125" style="2" customWidth="1"/>
    <col min="6" max="6" width="12.42578125" style="2" customWidth="1"/>
    <col min="7" max="7" width="12.5703125" style="2" customWidth="1"/>
    <col min="8" max="8" width="6.28515625" style="2" customWidth="1"/>
    <col min="9" max="9" width="6.140625" style="2" customWidth="1"/>
    <col min="10" max="10" width="14.85546875" style="2" customWidth="1"/>
    <col min="11" max="11" width="32.28515625" style="2" customWidth="1"/>
    <col min="12" max="12" width="23.28515625" style="2" customWidth="1"/>
    <col min="13" max="13" width="23" style="3" customWidth="1"/>
    <col min="14" max="16384" width="11.42578125" style="3"/>
  </cols>
  <sheetData>
    <row r="1" spans="1:13" s="2" customFormat="1" ht="20.100000000000001" customHeight="1" x14ac:dyDescent="0.25">
      <c r="A1" s="334" t="s">
        <v>13</v>
      </c>
      <c r="B1" s="334" t="s">
        <v>28</v>
      </c>
      <c r="C1" s="334" t="s">
        <v>12</v>
      </c>
      <c r="D1" s="334" t="s">
        <v>701</v>
      </c>
      <c r="E1" s="335" t="s">
        <v>1</v>
      </c>
      <c r="F1" s="335" t="s">
        <v>2</v>
      </c>
      <c r="G1" s="334" t="s">
        <v>29</v>
      </c>
      <c r="H1" s="334" t="s">
        <v>14</v>
      </c>
      <c r="I1" s="336" t="s">
        <v>263</v>
      </c>
      <c r="J1" s="334" t="s">
        <v>0</v>
      </c>
      <c r="K1" s="334" t="s">
        <v>261</v>
      </c>
      <c r="L1" s="334" t="s">
        <v>3</v>
      </c>
      <c r="M1" s="334" t="s">
        <v>812</v>
      </c>
    </row>
    <row r="2" spans="1:13" ht="20.100000000000001" customHeight="1" x14ac:dyDescent="0.25">
      <c r="A2" s="830"/>
      <c r="B2" s="340" t="s">
        <v>155</v>
      </c>
      <c r="C2" s="340" t="s">
        <v>156</v>
      </c>
      <c r="D2" s="341" t="s">
        <v>720</v>
      </c>
      <c r="E2" s="409">
        <v>43411</v>
      </c>
      <c r="F2" s="409">
        <v>43434</v>
      </c>
      <c r="G2" s="410" t="s">
        <v>34</v>
      </c>
      <c r="H2" s="410">
        <v>12</v>
      </c>
      <c r="I2" s="410" t="s">
        <v>4</v>
      </c>
      <c r="J2" s="341" t="s">
        <v>388</v>
      </c>
      <c r="K2" s="341" t="s">
        <v>389</v>
      </c>
      <c r="L2" s="341"/>
      <c r="M2" s="348"/>
    </row>
    <row r="3" spans="1:13" ht="20.100000000000001" customHeight="1" x14ac:dyDescent="0.25">
      <c r="A3" s="830"/>
      <c r="B3" s="833" t="s">
        <v>157</v>
      </c>
      <c r="C3" s="833" t="s">
        <v>158</v>
      </c>
      <c r="D3" s="819" t="s">
        <v>750</v>
      </c>
      <c r="E3" s="337">
        <v>43405</v>
      </c>
      <c r="F3" s="337">
        <v>43434</v>
      </c>
      <c r="G3" s="338" t="s">
        <v>237</v>
      </c>
      <c r="H3" s="338">
        <v>8</v>
      </c>
      <c r="I3" s="338" t="s">
        <v>4</v>
      </c>
      <c r="J3" s="819">
        <v>3146272862</v>
      </c>
      <c r="K3" s="819" t="s">
        <v>290</v>
      </c>
      <c r="L3" s="341"/>
      <c r="M3" s="348"/>
    </row>
    <row r="4" spans="1:13" ht="20.100000000000001" customHeight="1" x14ac:dyDescent="0.25">
      <c r="A4" s="830"/>
      <c r="B4" s="834"/>
      <c r="C4" s="834"/>
      <c r="D4" s="824"/>
      <c r="E4" s="409">
        <v>43415</v>
      </c>
      <c r="F4" s="409">
        <v>43434</v>
      </c>
      <c r="G4" s="410" t="s">
        <v>34</v>
      </c>
      <c r="H4" s="410">
        <v>12</v>
      </c>
      <c r="I4" s="410" t="s">
        <v>4</v>
      </c>
      <c r="J4" s="824"/>
      <c r="K4" s="824"/>
      <c r="L4" s="341"/>
      <c r="M4" s="348"/>
    </row>
    <row r="5" spans="1:13" ht="20.100000000000001" customHeight="1" x14ac:dyDescent="0.25">
      <c r="A5" s="830"/>
      <c r="B5" s="832" t="s">
        <v>18</v>
      </c>
      <c r="C5" s="832" t="s">
        <v>159</v>
      </c>
      <c r="D5" s="819" t="s">
        <v>750</v>
      </c>
      <c r="E5" s="337">
        <v>43405</v>
      </c>
      <c r="F5" s="337">
        <v>43434</v>
      </c>
      <c r="G5" s="338" t="s">
        <v>237</v>
      </c>
      <c r="H5" s="338">
        <v>8</v>
      </c>
      <c r="I5" s="338" t="s">
        <v>4</v>
      </c>
      <c r="J5" s="819" t="s">
        <v>379</v>
      </c>
      <c r="K5" s="819" t="s">
        <v>380</v>
      </c>
      <c r="L5" s="341"/>
      <c r="M5" s="348"/>
    </row>
    <row r="6" spans="1:13" ht="20.100000000000001" customHeight="1" x14ac:dyDescent="0.25">
      <c r="A6" s="830"/>
      <c r="B6" s="832"/>
      <c r="C6" s="832"/>
      <c r="D6" s="824"/>
      <c r="E6" s="409">
        <v>43415</v>
      </c>
      <c r="F6" s="409">
        <v>43434</v>
      </c>
      <c r="G6" s="410" t="s">
        <v>34</v>
      </c>
      <c r="H6" s="410">
        <v>12</v>
      </c>
      <c r="I6" s="410" t="s">
        <v>4</v>
      </c>
      <c r="J6" s="820"/>
      <c r="K6" s="820"/>
      <c r="L6" s="341"/>
      <c r="M6" s="348"/>
    </row>
    <row r="7" spans="1:13" ht="20.100000000000001" customHeight="1" x14ac:dyDescent="0.25">
      <c r="A7" s="830"/>
      <c r="B7" s="340" t="s">
        <v>160</v>
      </c>
      <c r="C7" s="340" t="s">
        <v>161</v>
      </c>
      <c r="D7" s="341" t="s">
        <v>800</v>
      </c>
      <c r="E7" s="409">
        <v>43415</v>
      </c>
      <c r="F7" s="409">
        <v>43434</v>
      </c>
      <c r="G7" s="410" t="s">
        <v>34</v>
      </c>
      <c r="H7" s="410">
        <v>12</v>
      </c>
      <c r="I7" s="410" t="s">
        <v>4</v>
      </c>
      <c r="J7" s="341">
        <v>3114049087</v>
      </c>
      <c r="K7" s="341" t="s">
        <v>381</v>
      </c>
      <c r="L7" s="341"/>
      <c r="M7" s="348"/>
    </row>
    <row r="8" spans="1:13" s="26" customFormat="1" ht="20.100000000000001" customHeight="1" x14ac:dyDescent="0.25">
      <c r="A8" s="830"/>
      <c r="B8" s="819" t="s">
        <v>1095</v>
      </c>
      <c r="C8" s="819" t="s">
        <v>1096</v>
      </c>
      <c r="D8" s="819" t="s">
        <v>810</v>
      </c>
      <c r="E8" s="825">
        <v>43404</v>
      </c>
      <c r="F8" s="825">
        <v>43434</v>
      </c>
      <c r="G8" s="828" t="s">
        <v>77</v>
      </c>
      <c r="H8" s="338">
        <v>30</v>
      </c>
      <c r="I8" s="338" t="s">
        <v>4</v>
      </c>
      <c r="J8" s="819">
        <v>3103861782</v>
      </c>
      <c r="K8" s="819" t="s">
        <v>1097</v>
      </c>
      <c r="L8" s="341"/>
      <c r="M8" s="353"/>
    </row>
    <row r="9" spans="1:13" s="26" customFormat="1" ht="20.100000000000001" customHeight="1" x14ac:dyDescent="0.25">
      <c r="A9" s="830"/>
      <c r="B9" s="824"/>
      <c r="C9" s="824"/>
      <c r="D9" s="824"/>
      <c r="E9" s="826"/>
      <c r="F9" s="826"/>
      <c r="G9" s="829"/>
      <c r="H9" s="338">
        <v>30</v>
      </c>
      <c r="I9" s="338" t="s">
        <v>6</v>
      </c>
      <c r="J9" s="824"/>
      <c r="K9" s="824"/>
      <c r="L9" s="341"/>
      <c r="M9" s="353"/>
    </row>
    <row r="10" spans="1:13" ht="20.100000000000001" hidden="1" customHeight="1" x14ac:dyDescent="0.25">
      <c r="A10" s="830"/>
      <c r="B10" s="342" t="s">
        <v>955</v>
      </c>
      <c r="C10" s="342" t="s">
        <v>956</v>
      </c>
      <c r="D10" s="343" t="s">
        <v>957</v>
      </c>
      <c r="E10" s="484"/>
      <c r="F10" s="484"/>
      <c r="G10" s="483"/>
      <c r="H10" s="483"/>
      <c r="I10" s="483"/>
      <c r="J10" s="344">
        <v>3116797960</v>
      </c>
      <c r="K10" s="344" t="s">
        <v>958</v>
      </c>
      <c r="L10" s="341"/>
      <c r="M10" s="348"/>
    </row>
    <row r="11" spans="1:13" ht="20.100000000000001" customHeight="1" x14ac:dyDescent="0.25">
      <c r="A11" s="830"/>
      <c r="B11" s="833" t="s">
        <v>162</v>
      </c>
      <c r="C11" s="833" t="s">
        <v>163</v>
      </c>
      <c r="D11" s="344"/>
      <c r="E11" s="825">
        <v>43405</v>
      </c>
      <c r="F11" s="825">
        <v>43434</v>
      </c>
      <c r="G11" s="821" t="s">
        <v>237</v>
      </c>
      <c r="H11" s="338">
        <v>20</v>
      </c>
      <c r="I11" s="338" t="s">
        <v>254</v>
      </c>
      <c r="J11" s="819">
        <v>3014477872</v>
      </c>
      <c r="K11" s="819" t="s">
        <v>268</v>
      </c>
      <c r="L11" s="341"/>
      <c r="M11" s="348"/>
    </row>
    <row r="12" spans="1:13" ht="20.100000000000001" customHeight="1" x14ac:dyDescent="0.25">
      <c r="A12" s="830"/>
      <c r="B12" s="835"/>
      <c r="C12" s="835"/>
      <c r="D12" s="345"/>
      <c r="E12" s="826"/>
      <c r="F12" s="826"/>
      <c r="G12" s="823"/>
      <c r="H12" s="338">
        <v>12</v>
      </c>
      <c r="I12" s="338" t="s">
        <v>9</v>
      </c>
      <c r="J12" s="820"/>
      <c r="K12" s="820"/>
      <c r="L12" s="341"/>
      <c r="M12" s="348"/>
    </row>
    <row r="13" spans="1:13" ht="20.100000000000001" customHeight="1" x14ac:dyDescent="0.25">
      <c r="A13" s="830"/>
      <c r="B13" s="820"/>
      <c r="C13" s="820"/>
      <c r="D13" s="345" t="s">
        <v>797</v>
      </c>
      <c r="E13" s="409">
        <v>43411</v>
      </c>
      <c r="F13" s="409">
        <v>43434</v>
      </c>
      <c r="G13" s="410" t="s">
        <v>34</v>
      </c>
      <c r="H13" s="410">
        <v>12</v>
      </c>
      <c r="I13" s="410" t="s">
        <v>4</v>
      </c>
      <c r="J13" s="820"/>
      <c r="K13" s="820"/>
      <c r="L13" s="341"/>
      <c r="M13" s="348"/>
    </row>
    <row r="14" spans="1:13" ht="20.100000000000001" customHeight="1" x14ac:dyDescent="0.25">
      <c r="A14" s="830"/>
      <c r="B14" s="340" t="s">
        <v>164</v>
      </c>
      <c r="C14" s="340" t="s">
        <v>165</v>
      </c>
      <c r="D14" s="341" t="s">
        <v>798</v>
      </c>
      <c r="E14" s="409">
        <v>43415</v>
      </c>
      <c r="F14" s="409">
        <v>43434</v>
      </c>
      <c r="G14" s="410" t="s">
        <v>34</v>
      </c>
      <c r="H14" s="410">
        <v>12</v>
      </c>
      <c r="I14" s="410" t="s">
        <v>4</v>
      </c>
      <c r="J14" s="341">
        <v>3193390022</v>
      </c>
      <c r="K14" s="341" t="s">
        <v>363</v>
      </c>
      <c r="L14" s="341"/>
      <c r="M14" s="348"/>
    </row>
    <row r="15" spans="1:13" ht="20.100000000000001" customHeight="1" x14ac:dyDescent="0.25">
      <c r="A15" s="830"/>
      <c r="B15" s="340" t="s">
        <v>166</v>
      </c>
      <c r="C15" s="340" t="s">
        <v>167</v>
      </c>
      <c r="D15" s="341" t="s">
        <v>730</v>
      </c>
      <c r="E15" s="409">
        <v>43415</v>
      </c>
      <c r="F15" s="409">
        <v>43434</v>
      </c>
      <c r="G15" s="410" t="s">
        <v>34</v>
      </c>
      <c r="H15" s="410">
        <v>12</v>
      </c>
      <c r="I15" s="410" t="s">
        <v>4</v>
      </c>
      <c r="J15" s="341">
        <v>3135290652</v>
      </c>
      <c r="K15" s="341" t="s">
        <v>361</v>
      </c>
      <c r="L15" s="341"/>
      <c r="M15" s="348"/>
    </row>
    <row r="16" spans="1:13" ht="20.100000000000001" customHeight="1" x14ac:dyDescent="0.25">
      <c r="A16" s="830"/>
      <c r="B16" s="819" t="s">
        <v>168</v>
      </c>
      <c r="C16" s="819" t="s">
        <v>169</v>
      </c>
      <c r="D16" s="819" t="s">
        <v>725</v>
      </c>
      <c r="E16" s="825">
        <v>43405</v>
      </c>
      <c r="F16" s="825">
        <v>43434</v>
      </c>
      <c r="G16" s="821" t="s">
        <v>237</v>
      </c>
      <c r="H16" s="338">
        <v>20</v>
      </c>
      <c r="I16" s="338" t="s">
        <v>254</v>
      </c>
      <c r="J16" s="819">
        <v>7888227</v>
      </c>
      <c r="K16" s="819" t="s">
        <v>283</v>
      </c>
      <c r="L16" s="341"/>
      <c r="M16" s="348"/>
    </row>
    <row r="17" spans="1:13" ht="20.100000000000001" customHeight="1" x14ac:dyDescent="0.25">
      <c r="A17" s="830"/>
      <c r="B17" s="820"/>
      <c r="C17" s="820"/>
      <c r="D17" s="820"/>
      <c r="E17" s="827"/>
      <c r="F17" s="827"/>
      <c r="G17" s="822"/>
      <c r="H17" s="338">
        <v>8</v>
      </c>
      <c r="I17" s="338" t="s">
        <v>4</v>
      </c>
      <c r="J17" s="820"/>
      <c r="K17" s="820"/>
      <c r="L17" s="341"/>
      <c r="M17" s="348"/>
    </row>
    <row r="18" spans="1:13" ht="20.100000000000001" customHeight="1" x14ac:dyDescent="0.25">
      <c r="A18" s="830"/>
      <c r="B18" s="835"/>
      <c r="C18" s="835"/>
      <c r="D18" s="820"/>
      <c r="E18" s="823"/>
      <c r="F18" s="823"/>
      <c r="G18" s="823"/>
      <c r="H18" s="338">
        <v>20</v>
      </c>
      <c r="I18" s="338" t="s">
        <v>9</v>
      </c>
      <c r="J18" s="820"/>
      <c r="K18" s="820"/>
      <c r="L18" s="341"/>
      <c r="M18" s="348"/>
    </row>
    <row r="19" spans="1:13" ht="20.100000000000001" customHeight="1" x14ac:dyDescent="0.25">
      <c r="A19" s="830"/>
      <c r="B19" s="824"/>
      <c r="C19" s="824"/>
      <c r="D19" s="346"/>
      <c r="E19" s="409">
        <v>43411</v>
      </c>
      <c r="F19" s="409">
        <v>43434</v>
      </c>
      <c r="G19" s="410" t="s">
        <v>34</v>
      </c>
      <c r="H19" s="410">
        <v>12</v>
      </c>
      <c r="I19" s="410" t="s">
        <v>4</v>
      </c>
      <c r="J19" s="824"/>
      <c r="K19" s="824"/>
      <c r="L19" s="341"/>
      <c r="M19" s="348"/>
    </row>
    <row r="20" spans="1:13" ht="20.100000000000001" customHeight="1" x14ac:dyDescent="0.25">
      <c r="A20" s="830"/>
      <c r="B20" s="340" t="s">
        <v>170</v>
      </c>
      <c r="C20" s="340" t="s">
        <v>171</v>
      </c>
      <c r="D20" s="341" t="s">
        <v>799</v>
      </c>
      <c r="E20" s="489">
        <v>43415</v>
      </c>
      <c r="F20" s="489">
        <v>43434</v>
      </c>
      <c r="G20" s="490" t="s">
        <v>34</v>
      </c>
      <c r="H20" s="490">
        <v>12</v>
      </c>
      <c r="I20" s="490" t="s">
        <v>4</v>
      </c>
      <c r="J20" s="341">
        <v>3126696508</v>
      </c>
      <c r="K20" s="341" t="s">
        <v>382</v>
      </c>
      <c r="L20" s="341"/>
      <c r="M20" s="348"/>
    </row>
    <row r="21" spans="1:13" ht="20.100000000000001" customHeight="1" x14ac:dyDescent="0.25">
      <c r="A21" s="830"/>
      <c r="B21" s="340" t="s">
        <v>172</v>
      </c>
      <c r="C21" s="340" t="s">
        <v>173</v>
      </c>
      <c r="D21" s="341" t="s">
        <v>730</v>
      </c>
      <c r="E21" s="409">
        <v>43415</v>
      </c>
      <c r="F21" s="409">
        <v>43434</v>
      </c>
      <c r="G21" s="410" t="s">
        <v>34</v>
      </c>
      <c r="H21" s="410">
        <v>12</v>
      </c>
      <c r="I21" s="410" t="s">
        <v>4</v>
      </c>
      <c r="J21" s="341" t="s">
        <v>371</v>
      </c>
      <c r="K21" s="341" t="s">
        <v>372</v>
      </c>
      <c r="L21" s="341"/>
      <c r="M21" s="348"/>
    </row>
    <row r="22" spans="1:13" ht="20.100000000000001" customHeight="1" x14ac:dyDescent="0.25">
      <c r="A22" s="830"/>
      <c r="B22" s="340" t="s">
        <v>174</v>
      </c>
      <c r="C22" s="340" t="s">
        <v>175</v>
      </c>
      <c r="D22" s="341" t="s">
        <v>754</v>
      </c>
      <c r="E22" s="409">
        <v>43415</v>
      </c>
      <c r="F22" s="409">
        <v>43434</v>
      </c>
      <c r="G22" s="410" t="s">
        <v>34</v>
      </c>
      <c r="H22" s="410">
        <v>12</v>
      </c>
      <c r="I22" s="410" t="s">
        <v>4</v>
      </c>
      <c r="J22" s="341">
        <v>3165012169</v>
      </c>
      <c r="K22" s="341" t="s">
        <v>373</v>
      </c>
      <c r="L22" s="341"/>
      <c r="M22" s="348"/>
    </row>
    <row r="23" spans="1:13" ht="20.100000000000001" customHeight="1" x14ac:dyDescent="0.25">
      <c r="A23" s="830"/>
      <c r="B23" s="340" t="s">
        <v>176</v>
      </c>
      <c r="C23" s="340" t="s">
        <v>177</v>
      </c>
      <c r="D23" s="341" t="s">
        <v>725</v>
      </c>
      <c r="E23" s="409">
        <v>43411</v>
      </c>
      <c r="F23" s="409">
        <v>43434</v>
      </c>
      <c r="G23" s="410" t="s">
        <v>34</v>
      </c>
      <c r="H23" s="410">
        <v>12</v>
      </c>
      <c r="I23" s="410" t="s">
        <v>4</v>
      </c>
      <c r="J23" s="341">
        <v>3015559349</v>
      </c>
      <c r="K23" s="341" t="s">
        <v>368</v>
      </c>
      <c r="L23" s="341"/>
      <c r="M23" s="348"/>
    </row>
    <row r="24" spans="1:13" ht="20.100000000000001" customHeight="1" x14ac:dyDescent="0.25">
      <c r="A24" s="830"/>
      <c r="B24" s="340" t="s">
        <v>178</v>
      </c>
      <c r="C24" s="340" t="s">
        <v>179</v>
      </c>
      <c r="D24" s="341" t="s">
        <v>801</v>
      </c>
      <c r="E24" s="409">
        <v>43411</v>
      </c>
      <c r="F24" s="409">
        <v>43434</v>
      </c>
      <c r="G24" s="410" t="s">
        <v>34</v>
      </c>
      <c r="H24" s="410">
        <v>12</v>
      </c>
      <c r="I24" s="410" t="s">
        <v>4</v>
      </c>
      <c r="J24" s="341">
        <v>3113502791</v>
      </c>
      <c r="K24" s="341" t="s">
        <v>298</v>
      </c>
      <c r="L24" s="341"/>
      <c r="M24" s="348"/>
    </row>
    <row r="25" spans="1:13" ht="20.100000000000001" hidden="1" customHeight="1" x14ac:dyDescent="0.25">
      <c r="A25" s="830"/>
      <c r="B25" s="340" t="s">
        <v>1019</v>
      </c>
      <c r="C25" s="340" t="s">
        <v>1020</v>
      </c>
      <c r="D25" s="347" t="s">
        <v>1021</v>
      </c>
      <c r="E25" s="207"/>
      <c r="F25" s="207"/>
      <c r="G25" s="208"/>
      <c r="H25" s="208"/>
      <c r="I25" s="208"/>
      <c r="J25" s="341">
        <v>3114279862</v>
      </c>
      <c r="K25" s="341" t="s">
        <v>1022</v>
      </c>
      <c r="L25" s="341"/>
      <c r="M25" s="348"/>
    </row>
    <row r="26" spans="1:13" ht="20.100000000000001" hidden="1" customHeight="1" x14ac:dyDescent="0.25">
      <c r="A26" s="830"/>
      <c r="B26" s="340" t="s">
        <v>1012</v>
      </c>
      <c r="C26" s="340" t="s">
        <v>1013</v>
      </c>
      <c r="D26" s="341" t="s">
        <v>754</v>
      </c>
      <c r="E26" s="207"/>
      <c r="F26" s="207"/>
      <c r="G26" s="208"/>
      <c r="H26" s="208"/>
      <c r="I26" s="208"/>
      <c r="J26" s="341">
        <v>3125865622</v>
      </c>
      <c r="K26" s="341" t="s">
        <v>1014</v>
      </c>
      <c r="L26" s="341"/>
      <c r="M26" s="348"/>
    </row>
    <row r="27" spans="1:13" ht="20.100000000000001" hidden="1" customHeight="1" x14ac:dyDescent="0.25">
      <c r="A27" s="830"/>
      <c r="B27" s="340" t="s">
        <v>1015</v>
      </c>
      <c r="C27" s="340" t="s">
        <v>1016</v>
      </c>
      <c r="D27" s="341" t="s">
        <v>1017</v>
      </c>
      <c r="E27" s="207"/>
      <c r="F27" s="207"/>
      <c r="G27" s="208"/>
      <c r="H27" s="208"/>
      <c r="I27" s="208"/>
      <c r="J27" s="341" t="s">
        <v>1036</v>
      </c>
      <c r="K27" s="341" t="s">
        <v>1018</v>
      </c>
      <c r="L27" s="341"/>
      <c r="M27" s="348"/>
    </row>
    <row r="28" spans="1:13" ht="20.100000000000001" customHeight="1" x14ac:dyDescent="0.25">
      <c r="A28" s="830"/>
      <c r="B28" s="348" t="s">
        <v>180</v>
      </c>
      <c r="C28" s="340" t="s">
        <v>181</v>
      </c>
      <c r="D28" s="341"/>
      <c r="E28" s="409">
        <v>43415</v>
      </c>
      <c r="F28" s="409">
        <v>43434</v>
      </c>
      <c r="G28" s="410" t="s">
        <v>34</v>
      </c>
      <c r="H28" s="410">
        <v>12</v>
      </c>
      <c r="I28" s="410" t="s">
        <v>4</v>
      </c>
      <c r="J28" s="341">
        <v>3003771604</v>
      </c>
      <c r="K28" s="341" t="s">
        <v>392</v>
      </c>
      <c r="L28" s="341"/>
      <c r="M28" s="348"/>
    </row>
    <row r="29" spans="1:13" ht="20.100000000000001" customHeight="1" x14ac:dyDescent="0.25">
      <c r="A29" s="830"/>
      <c r="B29" s="340" t="s">
        <v>182</v>
      </c>
      <c r="C29" s="340" t="s">
        <v>183</v>
      </c>
      <c r="D29" s="341" t="s">
        <v>934</v>
      </c>
      <c r="E29" s="409">
        <v>43415</v>
      </c>
      <c r="F29" s="409">
        <v>43434</v>
      </c>
      <c r="G29" s="410" t="s">
        <v>34</v>
      </c>
      <c r="H29" s="410">
        <v>12</v>
      </c>
      <c r="I29" s="410" t="s">
        <v>4</v>
      </c>
      <c r="J29" s="341">
        <v>3116890608</v>
      </c>
      <c r="K29" s="341" t="s">
        <v>390</v>
      </c>
      <c r="L29" s="341"/>
      <c r="M29" s="348"/>
    </row>
    <row r="30" spans="1:13" ht="20.100000000000001" customHeight="1" x14ac:dyDescent="0.25">
      <c r="A30" s="830"/>
      <c r="B30" s="340" t="s">
        <v>184</v>
      </c>
      <c r="C30" s="340" t="s">
        <v>185</v>
      </c>
      <c r="D30" s="341" t="s">
        <v>730</v>
      </c>
      <c r="E30" s="409">
        <v>43415</v>
      </c>
      <c r="F30" s="409">
        <v>43434</v>
      </c>
      <c r="G30" s="410" t="s">
        <v>34</v>
      </c>
      <c r="H30" s="410">
        <v>12</v>
      </c>
      <c r="I30" s="410" t="s">
        <v>4</v>
      </c>
      <c r="J30" s="341">
        <v>9718779</v>
      </c>
      <c r="K30" s="341" t="s">
        <v>366</v>
      </c>
      <c r="L30" s="341"/>
      <c r="M30" s="348"/>
    </row>
    <row r="31" spans="1:13" ht="20.100000000000001" customHeight="1" x14ac:dyDescent="0.25">
      <c r="A31" s="830"/>
      <c r="B31" s="340" t="s">
        <v>186</v>
      </c>
      <c r="C31" s="340" t="s">
        <v>187</v>
      </c>
      <c r="D31" s="341" t="s">
        <v>802</v>
      </c>
      <c r="E31" s="409">
        <v>43411</v>
      </c>
      <c r="F31" s="409">
        <v>43434</v>
      </c>
      <c r="G31" s="410" t="s">
        <v>34</v>
      </c>
      <c r="H31" s="410">
        <v>12</v>
      </c>
      <c r="I31" s="410" t="s">
        <v>4</v>
      </c>
      <c r="J31" s="341">
        <v>3146122794</v>
      </c>
      <c r="K31" s="341" t="s">
        <v>391</v>
      </c>
      <c r="L31" s="341"/>
      <c r="M31" s="348"/>
    </row>
    <row r="32" spans="1:13" ht="20.100000000000001" customHeight="1" x14ac:dyDescent="0.25">
      <c r="A32" s="830"/>
      <c r="B32" s="819" t="s">
        <v>188</v>
      </c>
      <c r="C32" s="819" t="s">
        <v>189</v>
      </c>
      <c r="D32" s="819" t="s">
        <v>750</v>
      </c>
      <c r="E32" s="825">
        <v>43411</v>
      </c>
      <c r="F32" s="825">
        <v>43434</v>
      </c>
      <c r="G32" s="828" t="s">
        <v>77</v>
      </c>
      <c r="H32" s="410">
        <v>20</v>
      </c>
      <c r="I32" s="410" t="s">
        <v>4</v>
      </c>
      <c r="J32" s="819" t="s">
        <v>383</v>
      </c>
      <c r="K32" s="819" t="s">
        <v>384</v>
      </c>
      <c r="L32" s="341"/>
      <c r="M32" s="348"/>
    </row>
    <row r="33" spans="1:13" ht="20.100000000000001" customHeight="1" x14ac:dyDescent="0.25">
      <c r="A33" s="830"/>
      <c r="B33" s="820"/>
      <c r="C33" s="820"/>
      <c r="D33" s="820"/>
      <c r="E33" s="827"/>
      <c r="F33" s="827"/>
      <c r="G33" s="838"/>
      <c r="H33" s="410">
        <v>20</v>
      </c>
      <c r="I33" s="410" t="s">
        <v>6</v>
      </c>
      <c r="J33" s="820"/>
      <c r="K33" s="820"/>
      <c r="L33" s="341"/>
      <c r="M33" s="348"/>
    </row>
    <row r="34" spans="1:13" ht="20.100000000000001" customHeight="1" x14ac:dyDescent="0.25">
      <c r="A34" s="830"/>
      <c r="B34" s="824"/>
      <c r="C34" s="824"/>
      <c r="D34" s="824"/>
      <c r="E34" s="826"/>
      <c r="F34" s="826"/>
      <c r="G34" s="838"/>
      <c r="H34" s="410">
        <v>20</v>
      </c>
      <c r="I34" s="410" t="s">
        <v>9</v>
      </c>
      <c r="J34" s="824"/>
      <c r="K34" s="824"/>
      <c r="L34" s="341"/>
      <c r="M34" s="348"/>
    </row>
    <row r="35" spans="1:13" ht="20.100000000000001" customHeight="1" x14ac:dyDescent="0.25">
      <c r="A35" s="830"/>
      <c r="B35" s="346" t="s">
        <v>969</v>
      </c>
      <c r="C35" s="346" t="s">
        <v>970</v>
      </c>
      <c r="D35" s="349" t="s">
        <v>764</v>
      </c>
      <c r="E35" s="214">
        <v>43389</v>
      </c>
      <c r="F35" s="214">
        <v>43419</v>
      </c>
      <c r="G35" s="215" t="s">
        <v>77</v>
      </c>
      <c r="H35" s="212">
        <v>40</v>
      </c>
      <c r="I35" s="212" t="s">
        <v>4</v>
      </c>
      <c r="J35" s="345">
        <v>3117444154</v>
      </c>
      <c r="K35" s="345" t="s">
        <v>971</v>
      </c>
      <c r="L35" s="341"/>
      <c r="M35" s="348"/>
    </row>
    <row r="36" spans="1:13" ht="20.100000000000001" customHeight="1" x14ac:dyDescent="0.25">
      <c r="A36" s="830"/>
      <c r="B36" s="832" t="s">
        <v>190</v>
      </c>
      <c r="C36" s="832" t="s">
        <v>191</v>
      </c>
      <c r="D36" s="819" t="s">
        <v>730</v>
      </c>
      <c r="E36" s="339">
        <v>43405</v>
      </c>
      <c r="F36" s="339">
        <v>43434</v>
      </c>
      <c r="G36" s="338" t="s">
        <v>237</v>
      </c>
      <c r="H36" s="338">
        <v>20</v>
      </c>
      <c r="I36" s="338" t="s">
        <v>254</v>
      </c>
      <c r="J36" s="819">
        <v>3114319257</v>
      </c>
      <c r="K36" s="819" t="s">
        <v>284</v>
      </c>
      <c r="L36" s="341"/>
      <c r="M36" s="348"/>
    </row>
    <row r="37" spans="1:13" ht="20.100000000000001" customHeight="1" x14ac:dyDescent="0.25">
      <c r="A37" s="830"/>
      <c r="B37" s="832"/>
      <c r="C37" s="832"/>
      <c r="D37" s="824"/>
      <c r="E37" s="409">
        <v>43415</v>
      </c>
      <c r="F37" s="409">
        <v>43434</v>
      </c>
      <c r="G37" s="410" t="s">
        <v>34</v>
      </c>
      <c r="H37" s="410">
        <v>12</v>
      </c>
      <c r="I37" s="410" t="s">
        <v>4</v>
      </c>
      <c r="J37" s="824"/>
      <c r="K37" s="824"/>
      <c r="L37" s="341"/>
      <c r="M37" s="348"/>
    </row>
    <row r="38" spans="1:13" ht="20.100000000000001" customHeight="1" x14ac:dyDescent="0.25">
      <c r="A38" s="830"/>
      <c r="B38" s="819" t="s">
        <v>192</v>
      </c>
      <c r="C38" s="819" t="s">
        <v>193</v>
      </c>
      <c r="D38" s="819" t="s">
        <v>754</v>
      </c>
      <c r="E38" s="409">
        <v>43415</v>
      </c>
      <c r="F38" s="409">
        <v>43434</v>
      </c>
      <c r="G38" s="410" t="s">
        <v>34</v>
      </c>
      <c r="H38" s="410">
        <v>12</v>
      </c>
      <c r="I38" s="410" t="s">
        <v>4</v>
      </c>
      <c r="J38" s="408">
        <v>7889843</v>
      </c>
      <c r="K38" s="408" t="s">
        <v>264</v>
      </c>
      <c r="L38" s="408"/>
      <c r="M38" s="348"/>
    </row>
    <row r="39" spans="1:13" ht="20.100000000000001" customHeight="1" x14ac:dyDescent="0.25">
      <c r="A39" s="830"/>
      <c r="B39" s="820"/>
      <c r="C39" s="820"/>
      <c r="D39" s="820"/>
      <c r="E39" s="762">
        <v>43396</v>
      </c>
      <c r="F39" s="762">
        <v>43426</v>
      </c>
      <c r="G39" s="839" t="s">
        <v>237</v>
      </c>
      <c r="H39" s="212">
        <v>8</v>
      </c>
      <c r="I39" s="212" t="s">
        <v>4</v>
      </c>
      <c r="J39" s="345"/>
      <c r="K39" s="345"/>
      <c r="L39" s="345"/>
      <c r="M39" s="348"/>
    </row>
    <row r="40" spans="1:13" ht="20.100000000000001" customHeight="1" x14ac:dyDescent="0.25">
      <c r="A40" s="830"/>
      <c r="B40" s="820"/>
      <c r="C40" s="820"/>
      <c r="D40" s="820"/>
      <c r="E40" s="777"/>
      <c r="F40" s="777"/>
      <c r="G40" s="840"/>
      <c r="H40" s="212">
        <v>20</v>
      </c>
      <c r="I40" s="212" t="s">
        <v>9</v>
      </c>
      <c r="J40" s="345"/>
      <c r="K40" s="345"/>
      <c r="L40" s="345"/>
      <c r="M40" s="348"/>
    </row>
    <row r="41" spans="1:13" ht="20.100000000000001" customHeight="1" x14ac:dyDescent="0.25">
      <c r="A41" s="830"/>
      <c r="B41" s="824"/>
      <c r="C41" s="824"/>
      <c r="D41" s="824"/>
      <c r="E41" s="763"/>
      <c r="F41" s="763"/>
      <c r="G41" s="841"/>
      <c r="H41" s="212">
        <v>20</v>
      </c>
      <c r="I41" s="212" t="s">
        <v>254</v>
      </c>
      <c r="J41" s="345"/>
      <c r="K41" s="345"/>
      <c r="L41" s="345"/>
      <c r="M41" s="348"/>
    </row>
    <row r="42" spans="1:13" ht="20.100000000000001" customHeight="1" x14ac:dyDescent="0.25">
      <c r="A42" s="830"/>
      <c r="B42" s="479" t="s">
        <v>1240</v>
      </c>
      <c r="C42" s="479" t="s">
        <v>1241</v>
      </c>
      <c r="D42" s="479" t="s">
        <v>751</v>
      </c>
      <c r="E42" s="478">
        <v>43424</v>
      </c>
      <c r="F42" s="478">
        <v>43434</v>
      </c>
      <c r="G42" s="480" t="s">
        <v>34</v>
      </c>
      <c r="H42" s="212">
        <v>12</v>
      </c>
      <c r="I42" s="212" t="s">
        <v>4</v>
      </c>
      <c r="J42" s="341">
        <v>3108559486</v>
      </c>
      <c r="K42" s="341" t="s">
        <v>1242</v>
      </c>
      <c r="L42" s="347" t="s">
        <v>1312</v>
      </c>
      <c r="M42" s="348"/>
    </row>
    <row r="43" spans="1:13" ht="20.100000000000001" customHeight="1" x14ac:dyDescent="0.25">
      <c r="A43" s="830"/>
      <c r="B43" s="340" t="s">
        <v>194</v>
      </c>
      <c r="C43" s="340" t="s">
        <v>195</v>
      </c>
      <c r="D43" s="341" t="s">
        <v>803</v>
      </c>
      <c r="E43" s="409">
        <v>43415</v>
      </c>
      <c r="F43" s="409">
        <v>43434</v>
      </c>
      <c r="G43" s="410" t="s">
        <v>34</v>
      </c>
      <c r="H43" s="410">
        <v>12</v>
      </c>
      <c r="I43" s="410" t="s">
        <v>4</v>
      </c>
      <c r="J43" s="341">
        <v>3204248994</v>
      </c>
      <c r="K43" s="341" t="s">
        <v>376</v>
      </c>
      <c r="L43" s="341"/>
      <c r="M43" s="348"/>
    </row>
    <row r="44" spans="1:13" ht="20.100000000000001" customHeight="1" x14ac:dyDescent="0.25">
      <c r="A44" s="830"/>
      <c r="B44" s="832" t="s">
        <v>196</v>
      </c>
      <c r="C44" s="832" t="s">
        <v>197</v>
      </c>
      <c r="D44" s="819" t="s">
        <v>730</v>
      </c>
      <c r="E44" s="825">
        <v>43405</v>
      </c>
      <c r="F44" s="825">
        <v>43434</v>
      </c>
      <c r="G44" s="821" t="s">
        <v>237</v>
      </c>
      <c r="H44" s="338">
        <v>20</v>
      </c>
      <c r="I44" s="338" t="s">
        <v>254</v>
      </c>
      <c r="J44" s="819">
        <v>7889843</v>
      </c>
      <c r="K44" s="819" t="s">
        <v>264</v>
      </c>
      <c r="L44" s="341"/>
      <c r="M44" s="348"/>
    </row>
    <row r="45" spans="1:13" ht="20.100000000000001" customHeight="1" x14ac:dyDescent="0.25">
      <c r="A45" s="830"/>
      <c r="B45" s="832"/>
      <c r="C45" s="832"/>
      <c r="D45" s="820"/>
      <c r="E45" s="827"/>
      <c r="F45" s="827"/>
      <c r="G45" s="822"/>
      <c r="H45" s="338">
        <v>8</v>
      </c>
      <c r="I45" s="338" t="s">
        <v>4</v>
      </c>
      <c r="J45" s="820"/>
      <c r="K45" s="820"/>
      <c r="L45" s="341"/>
      <c r="M45" s="348"/>
    </row>
    <row r="46" spans="1:13" ht="20.100000000000001" customHeight="1" x14ac:dyDescent="0.25">
      <c r="A46" s="830"/>
      <c r="B46" s="832"/>
      <c r="C46" s="832"/>
      <c r="D46" s="820"/>
      <c r="E46" s="827"/>
      <c r="F46" s="827"/>
      <c r="G46" s="823"/>
      <c r="H46" s="338">
        <v>20</v>
      </c>
      <c r="I46" s="338" t="s">
        <v>9</v>
      </c>
      <c r="J46" s="820"/>
      <c r="K46" s="820"/>
      <c r="L46" s="341"/>
      <c r="M46" s="348"/>
    </row>
    <row r="47" spans="1:13" ht="20.100000000000001" customHeight="1" x14ac:dyDescent="0.25">
      <c r="A47" s="830"/>
      <c r="B47" s="832"/>
      <c r="C47" s="832"/>
      <c r="D47" s="824"/>
      <c r="E47" s="409">
        <v>43415</v>
      </c>
      <c r="F47" s="409">
        <v>43434</v>
      </c>
      <c r="G47" s="410" t="s">
        <v>34</v>
      </c>
      <c r="H47" s="410">
        <v>12</v>
      </c>
      <c r="I47" s="410" t="s">
        <v>4</v>
      </c>
      <c r="J47" s="820"/>
      <c r="K47" s="820"/>
      <c r="L47" s="341"/>
      <c r="M47" s="348"/>
    </row>
    <row r="48" spans="1:13" ht="20.100000000000001" customHeight="1" x14ac:dyDescent="0.25">
      <c r="A48" s="830"/>
      <c r="B48" s="831" t="s">
        <v>198</v>
      </c>
      <c r="C48" s="831" t="s">
        <v>199</v>
      </c>
      <c r="D48" s="821" t="s">
        <v>810</v>
      </c>
      <c r="E48" s="762">
        <v>43390</v>
      </c>
      <c r="F48" s="852">
        <v>43420</v>
      </c>
      <c r="G48" s="842" t="s">
        <v>77</v>
      </c>
      <c r="H48" s="212">
        <v>20</v>
      </c>
      <c r="I48" s="212" t="s">
        <v>4</v>
      </c>
      <c r="J48" s="821">
        <v>3182385017</v>
      </c>
      <c r="K48" s="821" t="s">
        <v>367</v>
      </c>
      <c r="L48" s="848" t="s">
        <v>1165</v>
      </c>
      <c r="M48" s="348"/>
    </row>
    <row r="49" spans="1:13" ht="20.100000000000001" customHeight="1" x14ac:dyDescent="0.25">
      <c r="A49" s="830"/>
      <c r="B49" s="831"/>
      <c r="C49" s="831"/>
      <c r="D49" s="823"/>
      <c r="E49" s="778"/>
      <c r="F49" s="842"/>
      <c r="G49" s="842"/>
      <c r="H49" s="212">
        <v>20</v>
      </c>
      <c r="I49" s="212" t="s">
        <v>5</v>
      </c>
      <c r="J49" s="822"/>
      <c r="K49" s="822"/>
      <c r="L49" s="849"/>
      <c r="M49" s="348"/>
    </row>
    <row r="50" spans="1:13" ht="20.100000000000001" customHeight="1" x14ac:dyDescent="0.25">
      <c r="A50" s="830"/>
      <c r="B50" s="340" t="s">
        <v>200</v>
      </c>
      <c r="C50" s="340" t="s">
        <v>201</v>
      </c>
      <c r="D50" s="341" t="s">
        <v>763</v>
      </c>
      <c r="E50" s="409">
        <v>43411</v>
      </c>
      <c r="F50" s="409">
        <v>43434</v>
      </c>
      <c r="G50" s="410" t="s">
        <v>34</v>
      </c>
      <c r="H50" s="410">
        <v>12</v>
      </c>
      <c r="I50" s="410" t="s">
        <v>4</v>
      </c>
      <c r="J50" s="341">
        <v>3045433157</v>
      </c>
      <c r="K50" s="341" t="s">
        <v>377</v>
      </c>
      <c r="L50" s="341"/>
      <c r="M50" s="348"/>
    </row>
    <row r="51" spans="1:13" s="2" customFormat="1" ht="23.25" hidden="1" customHeight="1" x14ac:dyDescent="0.25">
      <c r="A51" s="830"/>
      <c r="B51" s="408" t="s">
        <v>698</v>
      </c>
      <c r="C51" s="408" t="s">
        <v>699</v>
      </c>
      <c r="D51" s="408"/>
      <c r="E51" s="207"/>
      <c r="F51" s="207"/>
      <c r="G51" s="208"/>
      <c r="H51" s="208"/>
      <c r="I51" s="208"/>
      <c r="J51" s="408">
        <v>3116479465</v>
      </c>
      <c r="K51" s="408"/>
      <c r="L51" s="354"/>
      <c r="M51" s="341"/>
    </row>
    <row r="52" spans="1:13" ht="20.100000000000001" customHeight="1" x14ac:dyDescent="0.25">
      <c r="A52" s="830"/>
      <c r="B52" s="340" t="s">
        <v>202</v>
      </c>
      <c r="C52" s="340" t="s">
        <v>203</v>
      </c>
      <c r="D52" s="341" t="s">
        <v>754</v>
      </c>
      <c r="E52" s="409">
        <v>43415</v>
      </c>
      <c r="F52" s="409">
        <v>43434</v>
      </c>
      <c r="G52" s="410" t="s">
        <v>34</v>
      </c>
      <c r="H52" s="410">
        <v>12</v>
      </c>
      <c r="I52" s="410" t="s">
        <v>4</v>
      </c>
      <c r="J52" s="341">
        <v>3217725137</v>
      </c>
      <c r="K52" s="341" t="s">
        <v>358</v>
      </c>
      <c r="L52" s="341"/>
      <c r="M52" s="348"/>
    </row>
    <row r="53" spans="1:13" ht="20.100000000000001" customHeight="1" x14ac:dyDescent="0.25">
      <c r="A53" s="830"/>
      <c r="B53" s="340" t="s">
        <v>204</v>
      </c>
      <c r="C53" s="340" t="s">
        <v>890</v>
      </c>
      <c r="D53" s="347" t="s">
        <v>805</v>
      </c>
      <c r="E53" s="409">
        <v>43415</v>
      </c>
      <c r="F53" s="409">
        <v>43434</v>
      </c>
      <c r="G53" s="410" t="s">
        <v>34</v>
      </c>
      <c r="H53" s="410">
        <v>12</v>
      </c>
      <c r="I53" s="410" t="s">
        <v>4</v>
      </c>
      <c r="J53" s="341">
        <v>3106417282</v>
      </c>
      <c r="K53" s="341" t="s">
        <v>393</v>
      </c>
      <c r="L53" s="341"/>
      <c r="M53" s="348"/>
    </row>
    <row r="54" spans="1:13" ht="20.100000000000001" customHeight="1" x14ac:dyDescent="0.25">
      <c r="A54" s="830"/>
      <c r="B54" s="819" t="s">
        <v>205</v>
      </c>
      <c r="C54" s="819" t="s">
        <v>181</v>
      </c>
      <c r="D54" s="819" t="s">
        <v>800</v>
      </c>
      <c r="E54" s="449">
        <v>43415</v>
      </c>
      <c r="F54" s="449">
        <v>43434</v>
      </c>
      <c r="G54" s="450" t="s">
        <v>34</v>
      </c>
      <c r="H54" s="338">
        <v>12</v>
      </c>
      <c r="I54" s="338" t="s">
        <v>4</v>
      </c>
      <c r="J54" s="819">
        <v>3114282072</v>
      </c>
      <c r="K54" s="819" t="s">
        <v>381</v>
      </c>
      <c r="L54" s="341"/>
      <c r="M54" s="348"/>
    </row>
    <row r="55" spans="1:13" ht="20.100000000000001" customHeight="1" x14ac:dyDescent="0.25">
      <c r="A55" s="830"/>
      <c r="B55" s="820"/>
      <c r="C55" s="820"/>
      <c r="D55" s="820"/>
      <c r="E55" s="825">
        <v>43405</v>
      </c>
      <c r="F55" s="825">
        <v>43434</v>
      </c>
      <c r="G55" s="821" t="s">
        <v>237</v>
      </c>
      <c r="H55" s="410">
        <v>20</v>
      </c>
      <c r="I55" s="410" t="s">
        <v>254</v>
      </c>
      <c r="J55" s="820"/>
      <c r="K55" s="820"/>
      <c r="L55" s="341"/>
      <c r="M55" s="348"/>
    </row>
    <row r="56" spans="1:13" ht="20.100000000000001" customHeight="1" x14ac:dyDescent="0.25">
      <c r="A56" s="830"/>
      <c r="B56" s="824"/>
      <c r="C56" s="824"/>
      <c r="D56" s="824"/>
      <c r="E56" s="826"/>
      <c r="F56" s="826"/>
      <c r="G56" s="823"/>
      <c r="H56" s="338">
        <v>12</v>
      </c>
      <c r="I56" s="338" t="s">
        <v>9</v>
      </c>
      <c r="J56" s="824"/>
      <c r="K56" s="824"/>
      <c r="L56" s="341"/>
      <c r="M56" s="348"/>
    </row>
    <row r="57" spans="1:13" ht="20.100000000000001" customHeight="1" x14ac:dyDescent="0.25">
      <c r="A57" s="830"/>
      <c r="B57" s="340" t="s">
        <v>206</v>
      </c>
      <c r="C57" s="340" t="s">
        <v>207</v>
      </c>
      <c r="D57" s="341" t="s">
        <v>754</v>
      </c>
      <c r="E57" s="409">
        <v>43411</v>
      </c>
      <c r="F57" s="409">
        <v>43434</v>
      </c>
      <c r="G57" s="410" t="s">
        <v>34</v>
      </c>
      <c r="H57" s="410">
        <v>12</v>
      </c>
      <c r="I57" s="410" t="s">
        <v>4</v>
      </c>
      <c r="J57" s="341">
        <v>3145979513</v>
      </c>
      <c r="K57" s="341" t="s">
        <v>362</v>
      </c>
      <c r="L57" s="341"/>
      <c r="M57" s="348"/>
    </row>
    <row r="58" spans="1:13" ht="20.100000000000001" customHeight="1" x14ac:dyDescent="0.25">
      <c r="A58" s="830"/>
      <c r="B58" s="819" t="s">
        <v>208</v>
      </c>
      <c r="C58" s="819" t="s">
        <v>209</v>
      </c>
      <c r="D58" s="819" t="s">
        <v>796</v>
      </c>
      <c r="E58" s="337">
        <v>43405</v>
      </c>
      <c r="F58" s="337">
        <v>43434</v>
      </c>
      <c r="G58" s="338" t="s">
        <v>237</v>
      </c>
      <c r="H58" s="338">
        <v>12</v>
      </c>
      <c r="I58" s="338" t="s">
        <v>254</v>
      </c>
      <c r="J58" s="341"/>
      <c r="K58" s="341"/>
      <c r="L58" s="341"/>
      <c r="M58" s="348"/>
    </row>
    <row r="59" spans="1:13" ht="20.100000000000001" customHeight="1" x14ac:dyDescent="0.25">
      <c r="A59" s="830"/>
      <c r="B59" s="834"/>
      <c r="C59" s="834"/>
      <c r="D59" s="824"/>
      <c r="E59" s="409">
        <v>43415</v>
      </c>
      <c r="F59" s="409">
        <v>43434</v>
      </c>
      <c r="G59" s="410" t="s">
        <v>34</v>
      </c>
      <c r="H59" s="410">
        <v>12</v>
      </c>
      <c r="I59" s="410" t="s">
        <v>4</v>
      </c>
      <c r="J59" s="341" t="s">
        <v>385</v>
      </c>
      <c r="K59" s="341" t="s">
        <v>386</v>
      </c>
      <c r="L59" s="341"/>
      <c r="M59" s="348"/>
    </row>
    <row r="60" spans="1:13" ht="20.100000000000001" customHeight="1" x14ac:dyDescent="0.25">
      <c r="A60" s="830"/>
      <c r="B60" s="836" t="s">
        <v>210</v>
      </c>
      <c r="C60" s="836" t="s">
        <v>211</v>
      </c>
      <c r="D60" s="821" t="s">
        <v>754</v>
      </c>
      <c r="E60" s="762">
        <v>43390</v>
      </c>
      <c r="F60" s="762">
        <v>43420</v>
      </c>
      <c r="G60" s="766" t="s">
        <v>212</v>
      </c>
      <c r="H60" s="212">
        <v>20</v>
      </c>
      <c r="I60" s="212" t="s">
        <v>317</v>
      </c>
      <c r="J60" s="821" t="s">
        <v>374</v>
      </c>
      <c r="K60" s="821" t="s">
        <v>375</v>
      </c>
      <c r="L60" s="850" t="s">
        <v>1198</v>
      </c>
      <c r="M60" s="451"/>
    </row>
    <row r="61" spans="1:13" ht="20.100000000000001" customHeight="1" x14ac:dyDescent="0.25">
      <c r="A61" s="830"/>
      <c r="B61" s="837"/>
      <c r="C61" s="837"/>
      <c r="D61" s="823"/>
      <c r="E61" s="763"/>
      <c r="F61" s="763"/>
      <c r="G61" s="767"/>
      <c r="H61" s="212">
        <v>20</v>
      </c>
      <c r="I61" s="212" t="s">
        <v>6</v>
      </c>
      <c r="J61" s="823"/>
      <c r="K61" s="823"/>
      <c r="L61" s="851"/>
      <c r="M61" s="451"/>
    </row>
    <row r="62" spans="1:13" ht="20.100000000000001" customHeight="1" x14ac:dyDescent="0.25">
      <c r="A62" s="830"/>
      <c r="B62" s="819" t="s">
        <v>213</v>
      </c>
      <c r="C62" s="819" t="s">
        <v>214</v>
      </c>
      <c r="D62" s="819" t="s">
        <v>751</v>
      </c>
      <c r="E62" s="337">
        <v>43405</v>
      </c>
      <c r="F62" s="337">
        <v>43434</v>
      </c>
      <c r="G62" s="338" t="s">
        <v>237</v>
      </c>
      <c r="H62" s="338">
        <v>12</v>
      </c>
      <c r="I62" s="338" t="s">
        <v>254</v>
      </c>
      <c r="J62" s="819">
        <v>3107086059</v>
      </c>
      <c r="K62" s="819" t="s">
        <v>693</v>
      </c>
      <c r="L62" s="341"/>
      <c r="M62" s="348"/>
    </row>
    <row r="63" spans="1:13" ht="20.100000000000001" customHeight="1" x14ac:dyDescent="0.25">
      <c r="A63" s="830"/>
      <c r="B63" s="834"/>
      <c r="C63" s="834"/>
      <c r="D63" s="824"/>
      <c r="E63" s="409">
        <v>43415</v>
      </c>
      <c r="F63" s="409">
        <v>43434</v>
      </c>
      <c r="G63" s="410" t="s">
        <v>34</v>
      </c>
      <c r="H63" s="410">
        <v>12</v>
      </c>
      <c r="I63" s="410" t="s">
        <v>4</v>
      </c>
      <c r="J63" s="824"/>
      <c r="K63" s="824"/>
      <c r="L63" s="341"/>
      <c r="M63" s="348"/>
    </row>
    <row r="64" spans="1:13" ht="20.100000000000001" customHeight="1" x14ac:dyDescent="0.25">
      <c r="A64" s="830"/>
      <c r="B64" s="819" t="s">
        <v>215</v>
      </c>
      <c r="C64" s="819" t="s">
        <v>216</v>
      </c>
      <c r="D64" s="819"/>
      <c r="E64" s="409">
        <v>43411</v>
      </c>
      <c r="F64" s="409">
        <v>43434</v>
      </c>
      <c r="G64" s="410" t="s">
        <v>34</v>
      </c>
      <c r="H64" s="410">
        <v>12</v>
      </c>
      <c r="I64" s="410" t="s">
        <v>4</v>
      </c>
      <c r="J64" s="819">
        <v>3132341618</v>
      </c>
      <c r="K64" s="819" t="s">
        <v>369</v>
      </c>
      <c r="L64" s="341"/>
      <c r="M64" s="348"/>
    </row>
    <row r="65" spans="1:13" ht="20.100000000000001" customHeight="1" x14ac:dyDescent="0.25">
      <c r="A65" s="830"/>
      <c r="B65" s="824"/>
      <c r="C65" s="824"/>
      <c r="D65" s="824"/>
      <c r="E65" s="207"/>
      <c r="F65" s="207"/>
      <c r="G65" s="208"/>
      <c r="H65" s="208"/>
      <c r="I65" s="208"/>
      <c r="J65" s="824"/>
      <c r="K65" s="824"/>
      <c r="L65" s="341" t="s">
        <v>1035</v>
      </c>
      <c r="M65" s="348"/>
    </row>
    <row r="66" spans="1:13" ht="20.100000000000001" customHeight="1" x14ac:dyDescent="0.25">
      <c r="A66" s="830"/>
      <c r="B66" s="340" t="s">
        <v>891</v>
      </c>
      <c r="C66" s="340" t="s">
        <v>892</v>
      </c>
      <c r="D66" s="341"/>
      <c r="E66" s="409">
        <v>43411</v>
      </c>
      <c r="F66" s="409">
        <v>43434</v>
      </c>
      <c r="G66" s="410" t="s">
        <v>34</v>
      </c>
      <c r="H66" s="410">
        <v>12</v>
      </c>
      <c r="I66" s="410" t="s">
        <v>4</v>
      </c>
      <c r="J66" s="341">
        <v>3217454995</v>
      </c>
      <c r="K66" s="341" t="s">
        <v>394</v>
      </c>
      <c r="L66" s="341"/>
      <c r="M66" s="348"/>
    </row>
    <row r="67" spans="1:13" ht="20.100000000000001" customHeight="1" x14ac:dyDescent="0.25">
      <c r="A67" s="830"/>
      <c r="B67" s="340" t="s">
        <v>217</v>
      </c>
      <c r="C67" s="340" t="s">
        <v>218</v>
      </c>
      <c r="D67" s="350"/>
      <c r="E67" s="409">
        <v>43415</v>
      </c>
      <c r="F67" s="409">
        <v>43434</v>
      </c>
      <c r="G67" s="410" t="s">
        <v>34</v>
      </c>
      <c r="H67" s="410">
        <v>12</v>
      </c>
      <c r="I67" s="410" t="s">
        <v>4</v>
      </c>
      <c r="J67" s="341">
        <v>3116916694</v>
      </c>
      <c r="K67" s="341" t="s">
        <v>387</v>
      </c>
      <c r="L67" s="341"/>
      <c r="M67" s="348"/>
    </row>
    <row r="68" spans="1:13" ht="20.100000000000001" customHeight="1" x14ac:dyDescent="0.25">
      <c r="A68" s="830"/>
      <c r="B68" s="411" t="s">
        <v>219</v>
      </c>
      <c r="C68" s="411" t="s">
        <v>220</v>
      </c>
      <c r="D68" s="408" t="s">
        <v>750</v>
      </c>
      <c r="E68" s="409">
        <v>43411</v>
      </c>
      <c r="F68" s="409">
        <v>43434</v>
      </c>
      <c r="G68" s="410" t="s">
        <v>34</v>
      </c>
      <c r="H68" s="410">
        <v>12</v>
      </c>
      <c r="I68" s="410" t="s">
        <v>4</v>
      </c>
      <c r="J68" s="408" t="s">
        <v>912</v>
      </c>
      <c r="K68" s="408" t="s">
        <v>269</v>
      </c>
      <c r="L68" s="408"/>
      <c r="M68" s="348"/>
    </row>
    <row r="69" spans="1:13" ht="20.100000000000001" customHeight="1" x14ac:dyDescent="0.25">
      <c r="A69" s="830"/>
      <c r="B69" s="819" t="s">
        <v>221</v>
      </c>
      <c r="C69" s="819" t="s">
        <v>222</v>
      </c>
      <c r="D69" s="819" t="s">
        <v>730</v>
      </c>
      <c r="E69" s="409">
        <v>43415</v>
      </c>
      <c r="F69" s="409">
        <v>43434</v>
      </c>
      <c r="G69" s="410" t="s">
        <v>34</v>
      </c>
      <c r="H69" s="410">
        <v>12</v>
      </c>
      <c r="I69" s="410" t="s">
        <v>4</v>
      </c>
      <c r="J69" s="819">
        <v>3145653404</v>
      </c>
      <c r="K69" s="819" t="s">
        <v>378</v>
      </c>
      <c r="L69" s="346"/>
      <c r="M69" s="348"/>
    </row>
    <row r="70" spans="1:13" ht="20.100000000000001" customHeight="1" x14ac:dyDescent="0.25">
      <c r="A70" s="830"/>
      <c r="B70" s="820"/>
      <c r="C70" s="820"/>
      <c r="D70" s="820"/>
      <c r="E70" s="825">
        <v>43405</v>
      </c>
      <c r="F70" s="825">
        <v>43434</v>
      </c>
      <c r="G70" s="821" t="s">
        <v>237</v>
      </c>
      <c r="H70" s="338">
        <v>8</v>
      </c>
      <c r="I70" s="338" t="s">
        <v>4</v>
      </c>
      <c r="J70" s="820"/>
      <c r="K70" s="820"/>
      <c r="L70" s="346"/>
      <c r="M70" s="348"/>
    </row>
    <row r="71" spans="1:13" ht="20.100000000000001" customHeight="1" x14ac:dyDescent="0.25">
      <c r="A71" s="830"/>
      <c r="B71" s="824"/>
      <c r="C71" s="824"/>
      <c r="D71" s="824"/>
      <c r="E71" s="826"/>
      <c r="F71" s="826"/>
      <c r="G71" s="823"/>
      <c r="H71" s="338">
        <v>20</v>
      </c>
      <c r="I71" s="338" t="s">
        <v>9</v>
      </c>
      <c r="J71" s="824"/>
      <c r="K71" s="824"/>
      <c r="L71" s="341"/>
      <c r="M71" s="348"/>
    </row>
    <row r="72" spans="1:13" ht="20.100000000000001" customHeight="1" x14ac:dyDescent="0.25">
      <c r="A72" s="830"/>
      <c r="B72" s="340" t="s">
        <v>223</v>
      </c>
      <c r="C72" s="340" t="s">
        <v>224</v>
      </c>
      <c r="D72" s="341" t="s">
        <v>720</v>
      </c>
      <c r="E72" s="409">
        <v>43411</v>
      </c>
      <c r="F72" s="409">
        <v>43434</v>
      </c>
      <c r="G72" s="410" t="s">
        <v>34</v>
      </c>
      <c r="H72" s="410">
        <v>12</v>
      </c>
      <c r="I72" s="410" t="s">
        <v>4</v>
      </c>
      <c r="J72" s="341">
        <v>3017980497</v>
      </c>
      <c r="K72" s="341" t="s">
        <v>370</v>
      </c>
      <c r="L72" s="341"/>
      <c r="M72" s="348"/>
    </row>
    <row r="73" spans="1:13" ht="20.100000000000001" customHeight="1" x14ac:dyDescent="0.25">
      <c r="A73" s="830"/>
      <c r="B73" s="340" t="s">
        <v>225</v>
      </c>
      <c r="C73" s="340" t="s">
        <v>226</v>
      </c>
      <c r="D73" s="341" t="s">
        <v>751</v>
      </c>
      <c r="E73" s="447">
        <v>43415</v>
      </c>
      <c r="F73" s="447">
        <v>43434</v>
      </c>
      <c r="G73" s="448" t="s">
        <v>34</v>
      </c>
      <c r="H73" s="410">
        <v>12</v>
      </c>
      <c r="I73" s="410" t="s">
        <v>4</v>
      </c>
      <c r="J73" s="341">
        <v>3108443930</v>
      </c>
      <c r="K73" s="341" t="s">
        <v>360</v>
      </c>
      <c r="L73" s="341"/>
      <c r="M73" s="348"/>
    </row>
    <row r="74" spans="1:13" ht="20.100000000000001" customHeight="1" x14ac:dyDescent="0.25">
      <c r="A74" s="830"/>
      <c r="B74" s="340" t="s">
        <v>690</v>
      </c>
      <c r="C74" s="340" t="s">
        <v>691</v>
      </c>
      <c r="D74" s="341"/>
      <c r="E74" s="409">
        <v>43415</v>
      </c>
      <c r="F74" s="409">
        <v>43434</v>
      </c>
      <c r="G74" s="410" t="s">
        <v>34</v>
      </c>
      <c r="H74" s="410">
        <v>12</v>
      </c>
      <c r="I74" s="410" t="s">
        <v>4</v>
      </c>
      <c r="J74" s="341">
        <v>3126464928</v>
      </c>
      <c r="K74" s="341" t="s">
        <v>692</v>
      </c>
      <c r="L74" s="341"/>
      <c r="M74" s="348"/>
    </row>
    <row r="75" spans="1:13" ht="20.100000000000001" customHeight="1" x14ac:dyDescent="0.25">
      <c r="A75" s="830"/>
      <c r="B75" s="348" t="s">
        <v>227</v>
      </c>
      <c r="C75" s="340" t="s">
        <v>228</v>
      </c>
      <c r="D75" s="341" t="s">
        <v>720</v>
      </c>
      <c r="E75" s="409">
        <v>43415</v>
      </c>
      <c r="F75" s="409">
        <v>43434</v>
      </c>
      <c r="G75" s="410" t="s">
        <v>34</v>
      </c>
      <c r="H75" s="410">
        <v>12</v>
      </c>
      <c r="I75" s="410" t="s">
        <v>4</v>
      </c>
      <c r="J75" s="341">
        <v>3105140952</v>
      </c>
      <c r="K75" s="341" t="s">
        <v>357</v>
      </c>
      <c r="L75" s="341"/>
      <c r="M75" s="348"/>
    </row>
    <row r="76" spans="1:13" ht="20.100000000000001" customHeight="1" x14ac:dyDescent="0.25">
      <c r="A76" s="830"/>
      <c r="B76" s="819" t="s">
        <v>229</v>
      </c>
      <c r="C76" s="819" t="s">
        <v>230</v>
      </c>
      <c r="D76" s="344"/>
      <c r="E76" s="409">
        <v>43411</v>
      </c>
      <c r="F76" s="409">
        <v>43434</v>
      </c>
      <c r="G76" s="410" t="s">
        <v>34</v>
      </c>
      <c r="H76" s="410">
        <v>12</v>
      </c>
      <c r="I76" s="410" t="s">
        <v>4</v>
      </c>
      <c r="J76" s="819" t="s">
        <v>364</v>
      </c>
      <c r="K76" s="819" t="s">
        <v>365</v>
      </c>
      <c r="L76" s="341"/>
      <c r="M76" s="348"/>
    </row>
    <row r="77" spans="1:13" ht="20.100000000000001" customHeight="1" x14ac:dyDescent="0.25">
      <c r="A77" s="830"/>
      <c r="B77" s="820"/>
      <c r="C77" s="820"/>
      <c r="D77" s="345" t="s">
        <v>800</v>
      </c>
      <c r="E77" s="825">
        <v>43405</v>
      </c>
      <c r="F77" s="825">
        <v>43434</v>
      </c>
      <c r="G77" s="821" t="s">
        <v>237</v>
      </c>
      <c r="H77" s="338">
        <v>8</v>
      </c>
      <c r="I77" s="338" t="s">
        <v>254</v>
      </c>
      <c r="J77" s="820"/>
      <c r="K77" s="820"/>
      <c r="L77" s="341"/>
      <c r="M77" s="348"/>
    </row>
    <row r="78" spans="1:13" ht="20.100000000000001" customHeight="1" x14ac:dyDescent="0.25">
      <c r="A78" s="830"/>
      <c r="B78" s="834"/>
      <c r="C78" s="834"/>
      <c r="D78" s="346"/>
      <c r="E78" s="826"/>
      <c r="F78" s="826"/>
      <c r="G78" s="823"/>
      <c r="H78" s="338">
        <v>12</v>
      </c>
      <c r="I78" s="338" t="s">
        <v>4</v>
      </c>
      <c r="J78" s="824"/>
      <c r="K78" s="824"/>
      <c r="L78" s="341"/>
      <c r="M78" s="348"/>
    </row>
    <row r="79" spans="1:13" ht="20.100000000000001" customHeight="1" x14ac:dyDescent="0.25">
      <c r="A79" s="830"/>
      <c r="B79" s="351" t="s">
        <v>683</v>
      </c>
      <c r="C79" s="351" t="s">
        <v>684</v>
      </c>
      <c r="D79" s="352" t="s">
        <v>806</v>
      </c>
      <c r="E79" s="447">
        <v>43415</v>
      </c>
      <c r="F79" s="447">
        <v>43434</v>
      </c>
      <c r="G79" s="448" t="s">
        <v>34</v>
      </c>
      <c r="H79" s="410">
        <v>12</v>
      </c>
      <c r="I79" s="410" t="s">
        <v>4</v>
      </c>
      <c r="J79" s="341">
        <v>7924056</v>
      </c>
      <c r="K79" s="341" t="s">
        <v>685</v>
      </c>
      <c r="L79" s="341"/>
      <c r="M79" s="348"/>
    </row>
    <row r="80" spans="1:13" ht="20.100000000000001" customHeight="1" x14ac:dyDescent="0.25">
      <c r="A80" s="830"/>
      <c r="B80" s="819" t="s">
        <v>710</v>
      </c>
      <c r="C80" s="819" t="s">
        <v>711</v>
      </c>
      <c r="D80" s="819" t="s">
        <v>754</v>
      </c>
      <c r="E80" s="846">
        <v>43405</v>
      </c>
      <c r="F80" s="846">
        <v>43434</v>
      </c>
      <c r="G80" s="847" t="s">
        <v>237</v>
      </c>
      <c r="H80" s="338">
        <v>8</v>
      </c>
      <c r="I80" s="338" t="s">
        <v>254</v>
      </c>
      <c r="J80" s="819">
        <v>3205407531</v>
      </c>
      <c r="K80" s="819" t="s">
        <v>712</v>
      </c>
      <c r="L80" s="341"/>
      <c r="M80" s="348"/>
    </row>
    <row r="81" spans="1:13" ht="20.100000000000001" customHeight="1" x14ac:dyDescent="0.25">
      <c r="A81" s="830"/>
      <c r="B81" s="820"/>
      <c r="C81" s="820"/>
      <c r="D81" s="820"/>
      <c r="E81" s="846"/>
      <c r="F81" s="846"/>
      <c r="G81" s="847"/>
      <c r="H81" s="338">
        <v>20</v>
      </c>
      <c r="I81" s="338" t="s">
        <v>4</v>
      </c>
      <c r="J81" s="820"/>
      <c r="K81" s="820"/>
      <c r="L81" s="341"/>
      <c r="M81" s="348"/>
    </row>
    <row r="82" spans="1:13" ht="20.100000000000001" customHeight="1" x14ac:dyDescent="0.25">
      <c r="A82" s="830"/>
      <c r="B82" s="834"/>
      <c r="C82" s="834"/>
      <c r="D82" s="824"/>
      <c r="E82" s="447">
        <v>43415</v>
      </c>
      <c r="F82" s="447">
        <v>43434</v>
      </c>
      <c r="G82" s="448" t="s">
        <v>34</v>
      </c>
      <c r="H82" s="410">
        <v>12</v>
      </c>
      <c r="I82" s="410" t="s">
        <v>6</v>
      </c>
      <c r="J82" s="824"/>
      <c r="K82" s="824"/>
      <c r="L82" s="341"/>
      <c r="M82" s="348"/>
    </row>
    <row r="83" spans="1:13" ht="20.100000000000001" customHeight="1" x14ac:dyDescent="0.25">
      <c r="A83" s="830"/>
      <c r="B83" s="491" t="s">
        <v>1254</v>
      </c>
      <c r="C83" s="491" t="s">
        <v>1255</v>
      </c>
      <c r="D83" s="487" t="s">
        <v>1256</v>
      </c>
      <c r="E83" s="498">
        <v>43430</v>
      </c>
      <c r="F83" s="498">
        <v>43460</v>
      </c>
      <c r="G83" s="499" t="s">
        <v>34</v>
      </c>
      <c r="H83" s="490">
        <v>12</v>
      </c>
      <c r="I83" s="490" t="s">
        <v>4</v>
      </c>
      <c r="J83" s="487" t="s">
        <v>1257</v>
      </c>
      <c r="K83" s="487" t="s">
        <v>1258</v>
      </c>
      <c r="L83" s="354" t="s">
        <v>1259</v>
      </c>
      <c r="M83" s="348"/>
    </row>
    <row r="84" spans="1:13" ht="20.100000000000001" customHeight="1" x14ac:dyDescent="0.25">
      <c r="A84" s="830"/>
      <c r="B84" s="491" t="s">
        <v>1261</v>
      </c>
      <c r="C84" s="491" t="s">
        <v>1262</v>
      </c>
      <c r="D84" s="487" t="s">
        <v>1263</v>
      </c>
      <c r="E84" s="498">
        <v>43425</v>
      </c>
      <c r="F84" s="498">
        <v>43434</v>
      </c>
      <c r="G84" s="499" t="s">
        <v>34</v>
      </c>
      <c r="H84" s="490">
        <v>12</v>
      </c>
      <c r="I84" s="490" t="s">
        <v>4</v>
      </c>
      <c r="J84" s="487">
        <v>3002207846</v>
      </c>
      <c r="K84" s="487" t="s">
        <v>1264</v>
      </c>
      <c r="L84" s="354"/>
      <c r="M84" s="497"/>
    </row>
    <row r="85" spans="1:13" ht="20.100000000000001" customHeight="1" x14ac:dyDescent="0.25">
      <c r="A85" s="830"/>
      <c r="B85" s="463" t="s">
        <v>1211</v>
      </c>
      <c r="C85" s="463" t="s">
        <v>1212</v>
      </c>
      <c r="D85" s="462" t="s">
        <v>1213</v>
      </c>
      <c r="E85" s="447">
        <v>43420</v>
      </c>
      <c r="F85" s="447">
        <v>43434</v>
      </c>
      <c r="G85" s="448" t="s">
        <v>237</v>
      </c>
      <c r="H85" s="488">
        <v>12</v>
      </c>
      <c r="I85" s="488" t="s">
        <v>4</v>
      </c>
      <c r="J85" s="462">
        <v>3126457569</v>
      </c>
      <c r="K85" s="462" t="s">
        <v>1215</v>
      </c>
      <c r="L85" s="486"/>
      <c r="M85" s="497"/>
    </row>
    <row r="86" spans="1:13" ht="20.100000000000001" customHeight="1" x14ac:dyDescent="0.25">
      <c r="A86" s="830"/>
      <c r="B86" s="843" t="s">
        <v>170</v>
      </c>
      <c r="C86" s="843" t="s">
        <v>117</v>
      </c>
      <c r="D86" s="843" t="s">
        <v>730</v>
      </c>
      <c r="E86" s="825">
        <v>43425</v>
      </c>
      <c r="F86" s="825">
        <v>43446</v>
      </c>
      <c r="G86" s="828" t="s">
        <v>77</v>
      </c>
      <c r="H86" s="481">
        <v>20</v>
      </c>
      <c r="I86" s="481" t="s">
        <v>4</v>
      </c>
      <c r="J86" s="819" t="s">
        <v>716</v>
      </c>
      <c r="K86" s="819" t="s">
        <v>717</v>
      </c>
      <c r="L86" s="341"/>
      <c r="M86" s="348"/>
    </row>
    <row r="87" spans="1:13" ht="20.100000000000001" customHeight="1" x14ac:dyDescent="0.25">
      <c r="A87" s="830"/>
      <c r="B87" s="843"/>
      <c r="C87" s="843"/>
      <c r="D87" s="843"/>
      <c r="E87" s="826"/>
      <c r="F87" s="826"/>
      <c r="G87" s="829"/>
      <c r="H87" s="481">
        <v>40</v>
      </c>
      <c r="I87" s="481" t="s">
        <v>6</v>
      </c>
      <c r="J87" s="820"/>
      <c r="K87" s="820"/>
      <c r="L87" s="341"/>
      <c r="M87" s="348"/>
    </row>
    <row r="88" spans="1:13" s="2" customFormat="1" ht="22.5" customHeight="1" x14ac:dyDescent="0.25">
      <c r="A88" s="830"/>
      <c r="B88" s="819" t="s">
        <v>105</v>
      </c>
      <c r="C88" s="819" t="s">
        <v>816</v>
      </c>
      <c r="D88" s="819"/>
      <c r="E88" s="825">
        <v>43415</v>
      </c>
      <c r="F88" s="825">
        <v>43434</v>
      </c>
      <c r="G88" s="821" t="s">
        <v>77</v>
      </c>
      <c r="H88" s="410">
        <v>20</v>
      </c>
      <c r="I88" s="410" t="s">
        <v>4</v>
      </c>
      <c r="J88" s="844" t="s">
        <v>817</v>
      </c>
      <c r="K88" s="819" t="s">
        <v>818</v>
      </c>
      <c r="L88" s="341"/>
      <c r="M88" s="341"/>
    </row>
    <row r="89" spans="1:13" s="2" customFormat="1" ht="22.5" customHeight="1" x14ac:dyDescent="0.25">
      <c r="A89" s="830"/>
      <c r="B89" s="820"/>
      <c r="C89" s="820"/>
      <c r="D89" s="820"/>
      <c r="E89" s="827"/>
      <c r="F89" s="827"/>
      <c r="G89" s="822"/>
      <c r="H89" s="410">
        <v>20</v>
      </c>
      <c r="I89" s="410" t="s">
        <v>254</v>
      </c>
      <c r="J89" s="853"/>
      <c r="K89" s="820"/>
      <c r="L89" s="341"/>
      <c r="M89" s="341"/>
    </row>
    <row r="90" spans="1:13" s="2" customFormat="1" ht="22.5" customHeight="1" x14ac:dyDescent="0.25">
      <c r="A90" s="830"/>
      <c r="B90" s="834"/>
      <c r="C90" s="834"/>
      <c r="D90" s="824"/>
      <c r="E90" s="826"/>
      <c r="F90" s="826"/>
      <c r="G90" s="823"/>
      <c r="H90" s="410">
        <v>20</v>
      </c>
      <c r="I90" s="410" t="s">
        <v>9</v>
      </c>
      <c r="J90" s="845"/>
      <c r="K90" s="824"/>
      <c r="L90" s="341"/>
      <c r="M90" s="341"/>
    </row>
    <row r="91" spans="1:13" s="2" customFormat="1" ht="22.5" customHeight="1" x14ac:dyDescent="0.25">
      <c r="A91" s="830"/>
      <c r="B91" s="819" t="s">
        <v>249</v>
      </c>
      <c r="C91" s="819" t="s">
        <v>250</v>
      </c>
      <c r="D91" s="844" t="s">
        <v>811</v>
      </c>
      <c r="E91" s="825">
        <v>43415</v>
      </c>
      <c r="F91" s="825">
        <v>43434</v>
      </c>
      <c r="G91" s="821" t="s">
        <v>34</v>
      </c>
      <c r="H91" s="410">
        <v>8</v>
      </c>
      <c r="I91" s="410" t="s">
        <v>4</v>
      </c>
      <c r="J91" s="819">
        <v>3135338592</v>
      </c>
      <c r="K91" s="819" t="s">
        <v>359</v>
      </c>
      <c r="L91" s="341"/>
      <c r="M91" s="341"/>
    </row>
    <row r="92" spans="1:13" ht="20.100000000000001" customHeight="1" x14ac:dyDescent="0.25">
      <c r="A92" s="830"/>
      <c r="B92" s="824"/>
      <c r="C92" s="824"/>
      <c r="D92" s="845"/>
      <c r="E92" s="826"/>
      <c r="F92" s="826"/>
      <c r="G92" s="823"/>
      <c r="H92" s="410">
        <v>4</v>
      </c>
      <c r="I92" s="410" t="s">
        <v>253</v>
      </c>
      <c r="J92" s="824"/>
      <c r="K92" s="824"/>
      <c r="L92" s="341"/>
      <c r="M92" s="348"/>
    </row>
    <row r="93" spans="1:13" ht="20.100000000000001" customHeight="1" x14ac:dyDescent="0.25">
      <c r="H93" s="2">
        <f>SUM(H2:H92)</f>
        <v>1244</v>
      </c>
    </row>
    <row r="94" spans="1:13" ht="20.100000000000001" customHeight="1" x14ac:dyDescent="0.25">
      <c r="E94" s="237"/>
      <c r="F94" s="237"/>
      <c r="G94" s="6"/>
      <c r="H94" s="6"/>
      <c r="I94" s="6"/>
    </row>
    <row r="95" spans="1:13" ht="20.100000000000001" customHeight="1" x14ac:dyDescent="0.25">
      <c r="E95" s="6"/>
      <c r="F95" s="6"/>
      <c r="G95" s="6"/>
      <c r="H95" s="6"/>
      <c r="I95" s="6"/>
    </row>
    <row r="97" spans="3:3" ht="20.100000000000001" customHeight="1" x14ac:dyDescent="0.25">
      <c r="C97" s="182"/>
    </row>
  </sheetData>
  <autoFilter ref="A1:M93"/>
  <mergeCells count="147">
    <mergeCell ref="L48:L49"/>
    <mergeCell ref="L60:L61"/>
    <mergeCell ref="D48:D49"/>
    <mergeCell ref="D60:D61"/>
    <mergeCell ref="D58:D59"/>
    <mergeCell ref="E48:E49"/>
    <mergeCell ref="F48:F49"/>
    <mergeCell ref="E60:E61"/>
    <mergeCell ref="G88:G90"/>
    <mergeCell ref="J48:J49"/>
    <mergeCell ref="K48:K49"/>
    <mergeCell ref="G60:G61"/>
    <mergeCell ref="J62:J63"/>
    <mergeCell ref="K62:K63"/>
    <mergeCell ref="K60:K61"/>
    <mergeCell ref="D86:D87"/>
    <mergeCell ref="E86:E87"/>
    <mergeCell ref="F86:F87"/>
    <mergeCell ref="G86:G87"/>
    <mergeCell ref="E88:E90"/>
    <mergeCell ref="F88:F90"/>
    <mergeCell ref="J88:J90"/>
    <mergeCell ref="K88:K90"/>
    <mergeCell ref="K80:K82"/>
    <mergeCell ref="B76:B78"/>
    <mergeCell ref="C76:C78"/>
    <mergeCell ref="J76:J78"/>
    <mergeCell ref="G77:G78"/>
    <mergeCell ref="F77:F78"/>
    <mergeCell ref="D88:D90"/>
    <mergeCell ref="E80:E81"/>
    <mergeCell ref="F80:F81"/>
    <mergeCell ref="G80:G81"/>
    <mergeCell ref="B80:B82"/>
    <mergeCell ref="D80:D82"/>
    <mergeCell ref="J80:J82"/>
    <mergeCell ref="J86:J87"/>
    <mergeCell ref="K86:K87"/>
    <mergeCell ref="B86:B87"/>
    <mergeCell ref="C86:C87"/>
    <mergeCell ref="E91:E92"/>
    <mergeCell ref="F91:F92"/>
    <mergeCell ref="E55:E56"/>
    <mergeCell ref="F55:F56"/>
    <mergeCell ref="G55:G56"/>
    <mergeCell ref="F60:F61"/>
    <mergeCell ref="B62:B63"/>
    <mergeCell ref="C62:C63"/>
    <mergeCell ref="K76:K78"/>
    <mergeCell ref="E77:E78"/>
    <mergeCell ref="B64:B65"/>
    <mergeCell ref="C64:C65"/>
    <mergeCell ref="J60:J61"/>
    <mergeCell ref="C58:C59"/>
    <mergeCell ref="B58:B59"/>
    <mergeCell ref="D64:D65"/>
    <mergeCell ref="B91:B92"/>
    <mergeCell ref="C91:C92"/>
    <mergeCell ref="D91:D92"/>
    <mergeCell ref="G91:G92"/>
    <mergeCell ref="J91:J92"/>
    <mergeCell ref="K91:K92"/>
    <mergeCell ref="J64:J65"/>
    <mergeCell ref="K64:K65"/>
    <mergeCell ref="D3:D4"/>
    <mergeCell ref="F8:F9"/>
    <mergeCell ref="B38:B41"/>
    <mergeCell ref="C38:C41"/>
    <mergeCell ref="E44:E46"/>
    <mergeCell ref="E11:E12"/>
    <mergeCell ref="F11:F12"/>
    <mergeCell ref="D5:D6"/>
    <mergeCell ref="D16:D18"/>
    <mergeCell ref="B8:B9"/>
    <mergeCell ref="C8:C9"/>
    <mergeCell ref="D8:D9"/>
    <mergeCell ref="E8:E9"/>
    <mergeCell ref="E16:E18"/>
    <mergeCell ref="F16:F18"/>
    <mergeCell ref="G32:G34"/>
    <mergeCell ref="G39:G41"/>
    <mergeCell ref="G48:G49"/>
    <mergeCell ref="D44:D47"/>
    <mergeCell ref="D32:D34"/>
    <mergeCell ref="D36:D37"/>
    <mergeCell ref="A2:A92"/>
    <mergeCell ref="B48:B49"/>
    <mergeCell ref="C48:C49"/>
    <mergeCell ref="B44:B47"/>
    <mergeCell ref="C44:C47"/>
    <mergeCell ref="C3:C4"/>
    <mergeCell ref="B36:B37"/>
    <mergeCell ref="C36:C37"/>
    <mergeCell ref="B3:B4"/>
    <mergeCell ref="B32:B34"/>
    <mergeCell ref="C32:C34"/>
    <mergeCell ref="B16:B19"/>
    <mergeCell ref="C16:C19"/>
    <mergeCell ref="B5:B6"/>
    <mergeCell ref="C5:C6"/>
    <mergeCell ref="C80:C82"/>
    <mergeCell ref="B60:B61"/>
    <mergeCell ref="B88:B90"/>
    <mergeCell ref="C88:C90"/>
    <mergeCell ref="C60:C61"/>
    <mergeCell ref="B69:B71"/>
    <mergeCell ref="C69:C71"/>
    <mergeCell ref="C11:C13"/>
    <mergeCell ref="B11:B13"/>
    <mergeCell ref="E32:E34"/>
    <mergeCell ref="E39:E41"/>
    <mergeCell ref="F39:F41"/>
    <mergeCell ref="D38:D41"/>
    <mergeCell ref="F44:F46"/>
    <mergeCell ref="F32:F34"/>
    <mergeCell ref="K3:K4"/>
    <mergeCell ref="J3:J4"/>
    <mergeCell ref="J36:J37"/>
    <mergeCell ref="K36:K37"/>
    <mergeCell ref="J5:J6"/>
    <mergeCell ref="K5:K6"/>
    <mergeCell ref="J16:J19"/>
    <mergeCell ref="K16:K19"/>
    <mergeCell ref="J11:J13"/>
    <mergeCell ref="K11:K13"/>
    <mergeCell ref="K32:K34"/>
    <mergeCell ref="J32:J34"/>
    <mergeCell ref="G8:G9"/>
    <mergeCell ref="J8:J9"/>
    <mergeCell ref="K8:K9"/>
    <mergeCell ref="G11:G12"/>
    <mergeCell ref="G16:G18"/>
    <mergeCell ref="J44:J47"/>
    <mergeCell ref="K44:K47"/>
    <mergeCell ref="G44:G46"/>
    <mergeCell ref="D69:D71"/>
    <mergeCell ref="E70:E71"/>
    <mergeCell ref="F70:F71"/>
    <mergeCell ref="G70:G71"/>
    <mergeCell ref="J69:J71"/>
    <mergeCell ref="K69:K71"/>
    <mergeCell ref="B54:B56"/>
    <mergeCell ref="C54:C56"/>
    <mergeCell ref="D54:D56"/>
    <mergeCell ref="J54:J56"/>
    <mergeCell ref="K54:K56"/>
    <mergeCell ref="D62:D63"/>
  </mergeCells>
  <pageMargins left="0.7" right="0.7" top="0.75" bottom="0.75" header="0.3" footer="0.3"/>
  <pageSetup scale="55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17"/>
  <sheetViews>
    <sheetView zoomScale="85" zoomScaleNormal="85" workbookViewId="0">
      <pane ySplit="1" topLeftCell="A2" activePane="bottomLeft" state="frozen"/>
      <selection pane="bottomLeft" activeCell="F12" sqref="F12:F13"/>
    </sheetView>
  </sheetViews>
  <sheetFormatPr baseColWidth="10" defaultRowHeight="30" customHeight="1" x14ac:dyDescent="0.25"/>
  <cols>
    <col min="1" max="1" width="7" style="8" customWidth="1"/>
    <col min="2" max="2" width="17.5703125" style="1" customWidth="1"/>
    <col min="3" max="3" width="22.42578125" style="1" customWidth="1"/>
    <col min="4" max="4" width="4.28515625" style="1" hidden="1" customWidth="1"/>
    <col min="5" max="5" width="13.42578125" style="1" hidden="1" customWidth="1"/>
    <col min="6" max="7" width="14.42578125" style="1" customWidth="1"/>
    <col min="8" max="8" width="16.42578125" style="1" customWidth="1"/>
    <col min="9" max="9" width="20.85546875" style="12" customWidth="1"/>
    <col min="10" max="11" width="12.140625" style="525" customWidth="1"/>
    <col min="12" max="12" width="9" style="1" customWidth="1"/>
    <col min="13" max="13" width="9.7109375" style="1" customWidth="1"/>
    <col min="14" max="14" width="23" style="1" customWidth="1"/>
    <col min="15" max="15" width="45.140625" style="1" customWidth="1"/>
    <col min="16" max="16" width="23.7109375" style="1" customWidth="1"/>
    <col min="17" max="16384" width="11.42578125" style="1"/>
  </cols>
  <sheetData>
    <row r="1" spans="1:17" ht="30" customHeight="1" x14ac:dyDescent="0.25">
      <c r="A1" s="355" t="s">
        <v>403</v>
      </c>
      <c r="B1" s="356" t="s">
        <v>404</v>
      </c>
      <c r="C1" s="356" t="s">
        <v>405</v>
      </c>
      <c r="D1" s="357" t="s">
        <v>406</v>
      </c>
      <c r="E1" s="358" t="s">
        <v>407</v>
      </c>
      <c r="F1" s="357" t="s">
        <v>408</v>
      </c>
      <c r="G1" s="357" t="s">
        <v>701</v>
      </c>
      <c r="H1" s="357" t="s">
        <v>13</v>
      </c>
      <c r="I1" s="356" t="s">
        <v>0</v>
      </c>
      <c r="J1" s="524" t="s">
        <v>1</v>
      </c>
      <c r="K1" s="524" t="s">
        <v>2</v>
      </c>
      <c r="L1" s="357" t="s">
        <v>411</v>
      </c>
      <c r="M1" s="357" t="s">
        <v>412</v>
      </c>
      <c r="N1" s="357" t="s">
        <v>545</v>
      </c>
      <c r="O1" s="357" t="s">
        <v>3</v>
      </c>
      <c r="P1" s="359" t="s">
        <v>544</v>
      </c>
    </row>
    <row r="2" spans="1:17" ht="30" customHeight="1" x14ac:dyDescent="0.25">
      <c r="A2" s="856">
        <v>1</v>
      </c>
      <c r="B2" s="858" t="s">
        <v>546</v>
      </c>
      <c r="C2" s="858" t="s">
        <v>547</v>
      </c>
      <c r="D2" s="360"/>
      <c r="E2" s="360"/>
      <c r="F2" s="858" t="s">
        <v>440</v>
      </c>
      <c r="G2" s="858" t="s">
        <v>725</v>
      </c>
      <c r="H2" s="858" t="s">
        <v>15</v>
      </c>
      <c r="I2" s="858">
        <v>32185655741</v>
      </c>
      <c r="J2" s="862">
        <v>1</v>
      </c>
      <c r="K2" s="862">
        <v>30</v>
      </c>
      <c r="L2" s="361">
        <v>12</v>
      </c>
      <c r="M2" s="362" t="s">
        <v>4</v>
      </c>
      <c r="N2" s="510" t="s">
        <v>548</v>
      </c>
      <c r="O2" s="360"/>
      <c r="P2" s="360"/>
      <c r="Q2" s="9"/>
    </row>
    <row r="3" spans="1:17" ht="30" customHeight="1" x14ac:dyDescent="0.25">
      <c r="A3" s="857"/>
      <c r="B3" s="859"/>
      <c r="C3" s="859"/>
      <c r="D3" s="360"/>
      <c r="E3" s="360"/>
      <c r="F3" s="859"/>
      <c r="G3" s="859"/>
      <c r="H3" s="859"/>
      <c r="I3" s="859"/>
      <c r="J3" s="863"/>
      <c r="K3" s="863"/>
      <c r="L3" s="361">
        <v>12</v>
      </c>
      <c r="M3" s="362" t="s">
        <v>6</v>
      </c>
      <c r="N3" s="510" t="s">
        <v>548</v>
      </c>
      <c r="O3" s="360"/>
      <c r="P3" s="360"/>
      <c r="Q3" s="9"/>
    </row>
    <row r="4" spans="1:17" ht="30" customHeight="1" x14ac:dyDescent="0.25">
      <c r="A4" s="856">
        <v>2</v>
      </c>
      <c r="B4" s="858" t="s">
        <v>549</v>
      </c>
      <c r="C4" s="858" t="s">
        <v>550</v>
      </c>
      <c r="D4" s="360"/>
      <c r="E4" s="360"/>
      <c r="F4" s="858" t="s">
        <v>440</v>
      </c>
      <c r="G4" s="858" t="s">
        <v>720</v>
      </c>
      <c r="H4" s="858" t="s">
        <v>10</v>
      </c>
      <c r="I4" s="858" t="s">
        <v>551</v>
      </c>
      <c r="J4" s="862">
        <v>1</v>
      </c>
      <c r="K4" s="862">
        <v>30</v>
      </c>
      <c r="L4" s="361">
        <v>12</v>
      </c>
      <c r="M4" s="362" t="s">
        <v>4</v>
      </c>
      <c r="N4" s="510" t="s">
        <v>11</v>
      </c>
      <c r="O4" s="360"/>
      <c r="P4" s="360"/>
      <c r="Q4" s="9"/>
    </row>
    <row r="5" spans="1:17" ht="30" customHeight="1" x14ac:dyDescent="0.25">
      <c r="A5" s="883"/>
      <c r="B5" s="866"/>
      <c r="C5" s="866"/>
      <c r="D5" s="360"/>
      <c r="E5" s="360"/>
      <c r="F5" s="866"/>
      <c r="G5" s="866"/>
      <c r="H5" s="866"/>
      <c r="I5" s="866"/>
      <c r="J5" s="870"/>
      <c r="K5" s="870"/>
      <c r="L5" s="361">
        <v>12</v>
      </c>
      <c r="M5" s="362" t="s">
        <v>254</v>
      </c>
      <c r="N5" s="433" t="s">
        <v>494</v>
      </c>
      <c r="O5" s="360"/>
      <c r="P5" s="360"/>
      <c r="Q5" s="9"/>
    </row>
    <row r="6" spans="1:17" ht="30" customHeight="1" x14ac:dyDescent="0.25">
      <c r="A6" s="857"/>
      <c r="B6" s="859"/>
      <c r="C6" s="859"/>
      <c r="D6" s="360"/>
      <c r="E6" s="360"/>
      <c r="F6" s="859"/>
      <c r="G6" s="859"/>
      <c r="H6" s="859"/>
      <c r="I6" s="859"/>
      <c r="J6" s="863"/>
      <c r="K6" s="863"/>
      <c r="L6" s="361">
        <v>12</v>
      </c>
      <c r="M6" s="364" t="s">
        <v>9</v>
      </c>
      <c r="N6" s="514" t="s">
        <v>526</v>
      </c>
      <c r="O6" s="360"/>
      <c r="P6" s="360"/>
      <c r="Q6" s="9"/>
    </row>
    <row r="7" spans="1:17" ht="30" customHeight="1" x14ac:dyDescent="0.25">
      <c r="A7" s="856">
        <v>3</v>
      </c>
      <c r="B7" s="858" t="s">
        <v>552</v>
      </c>
      <c r="C7" s="858" t="s">
        <v>553</v>
      </c>
      <c r="D7" s="360"/>
      <c r="E7" s="360"/>
      <c r="F7" s="858" t="s">
        <v>440</v>
      </c>
      <c r="G7" s="858" t="s">
        <v>757</v>
      </c>
      <c r="H7" s="858" t="s">
        <v>15</v>
      </c>
      <c r="I7" s="858">
        <v>3016915903</v>
      </c>
      <c r="J7" s="862">
        <v>1</v>
      </c>
      <c r="K7" s="862">
        <v>30</v>
      </c>
      <c r="L7" s="361">
        <v>20</v>
      </c>
      <c r="M7" s="364" t="s">
        <v>4</v>
      </c>
      <c r="N7" s="514" t="s">
        <v>548</v>
      </c>
      <c r="O7" s="360"/>
      <c r="P7" s="360"/>
      <c r="Q7" s="9"/>
    </row>
    <row r="8" spans="1:17" ht="30" customHeight="1" x14ac:dyDescent="0.25">
      <c r="A8" s="883"/>
      <c r="B8" s="866"/>
      <c r="C8" s="866"/>
      <c r="D8" s="360"/>
      <c r="E8" s="360"/>
      <c r="F8" s="866"/>
      <c r="G8" s="866"/>
      <c r="H8" s="866"/>
      <c r="I8" s="866"/>
      <c r="J8" s="870"/>
      <c r="K8" s="870"/>
      <c r="L8" s="361">
        <v>20</v>
      </c>
      <c r="M8" s="364" t="s">
        <v>9</v>
      </c>
      <c r="N8" s="514" t="s">
        <v>548</v>
      </c>
      <c r="O8" s="360" t="s">
        <v>672</v>
      </c>
      <c r="P8" s="360"/>
      <c r="Q8" s="9"/>
    </row>
    <row r="9" spans="1:17" s="2" customFormat="1" ht="30" customHeight="1" x14ac:dyDescent="0.25">
      <c r="A9" s="857"/>
      <c r="B9" s="859"/>
      <c r="C9" s="859"/>
      <c r="D9" s="360"/>
      <c r="E9" s="360"/>
      <c r="F9" s="859"/>
      <c r="G9" s="859"/>
      <c r="H9" s="859"/>
      <c r="I9" s="859"/>
      <c r="J9" s="863"/>
      <c r="K9" s="863"/>
      <c r="L9" s="361">
        <v>20</v>
      </c>
      <c r="M9" s="364" t="s">
        <v>254</v>
      </c>
      <c r="N9" s="514" t="s">
        <v>548</v>
      </c>
      <c r="O9" s="360"/>
      <c r="P9" s="360"/>
      <c r="Q9" s="27"/>
    </row>
    <row r="10" spans="1:17" ht="30" customHeight="1" x14ac:dyDescent="0.25">
      <c r="A10" s="365">
        <v>4</v>
      </c>
      <c r="B10" s="366" t="s">
        <v>554</v>
      </c>
      <c r="C10" s="361" t="s">
        <v>555</v>
      </c>
      <c r="D10" s="360"/>
      <c r="E10" s="360"/>
      <c r="F10" s="361" t="s">
        <v>440</v>
      </c>
      <c r="G10" s="361"/>
      <c r="H10" s="496" t="s">
        <v>15</v>
      </c>
      <c r="I10" s="361" t="s">
        <v>556</v>
      </c>
      <c r="J10" s="446">
        <v>1</v>
      </c>
      <c r="K10" s="446">
        <v>30</v>
      </c>
      <c r="L10" s="361">
        <v>12</v>
      </c>
      <c r="M10" s="364" t="s">
        <v>6</v>
      </c>
      <c r="N10" s="514" t="s">
        <v>548</v>
      </c>
      <c r="O10" s="360"/>
      <c r="P10" s="360"/>
      <c r="Q10" s="9"/>
    </row>
    <row r="11" spans="1:17" ht="30" customHeight="1" x14ac:dyDescent="0.25">
      <c r="A11" s="365">
        <v>5</v>
      </c>
      <c r="B11" s="366" t="s">
        <v>557</v>
      </c>
      <c r="C11" s="361" t="s">
        <v>558</v>
      </c>
      <c r="D11" s="360"/>
      <c r="E11" s="360"/>
      <c r="F11" s="361" t="s">
        <v>559</v>
      </c>
      <c r="G11" s="367" t="s">
        <v>765</v>
      </c>
      <c r="H11" s="496" t="s">
        <v>16</v>
      </c>
      <c r="I11" s="368" t="s">
        <v>560</v>
      </c>
      <c r="J11" s="446">
        <v>1</v>
      </c>
      <c r="K11" s="446">
        <v>30</v>
      </c>
      <c r="L11" s="361">
        <v>12</v>
      </c>
      <c r="M11" s="364" t="s">
        <v>4</v>
      </c>
      <c r="N11" s="514" t="s">
        <v>17</v>
      </c>
      <c r="O11" s="361"/>
      <c r="P11" s="361"/>
      <c r="Q11" s="9"/>
    </row>
    <row r="12" spans="1:17" ht="30" customHeight="1" x14ac:dyDescent="0.25">
      <c r="A12" s="856">
        <v>6</v>
      </c>
      <c r="B12" s="858" t="s">
        <v>561</v>
      </c>
      <c r="C12" s="858" t="s">
        <v>562</v>
      </c>
      <c r="D12" s="360"/>
      <c r="E12" s="360"/>
      <c r="F12" s="858" t="s">
        <v>440</v>
      </c>
      <c r="G12" s="858"/>
      <c r="H12" s="858" t="s">
        <v>15</v>
      </c>
      <c r="I12" s="858" t="s">
        <v>706</v>
      </c>
      <c r="J12" s="862">
        <v>1</v>
      </c>
      <c r="K12" s="862">
        <v>30</v>
      </c>
      <c r="L12" s="361">
        <v>12</v>
      </c>
      <c r="M12" s="364" t="s">
        <v>4</v>
      </c>
      <c r="N12" s="514" t="s">
        <v>548</v>
      </c>
      <c r="O12" s="361"/>
      <c r="P12" s="361"/>
      <c r="Q12" s="9"/>
    </row>
    <row r="13" spans="1:17" ht="30" customHeight="1" x14ac:dyDescent="0.25">
      <c r="A13" s="857"/>
      <c r="B13" s="859"/>
      <c r="C13" s="859"/>
      <c r="D13" s="360"/>
      <c r="E13" s="360"/>
      <c r="F13" s="859"/>
      <c r="G13" s="859"/>
      <c r="H13" s="859"/>
      <c r="I13" s="859"/>
      <c r="J13" s="863"/>
      <c r="K13" s="863"/>
      <c r="L13" s="361">
        <v>12</v>
      </c>
      <c r="M13" s="364" t="s">
        <v>254</v>
      </c>
      <c r="N13" s="514" t="s">
        <v>548</v>
      </c>
      <c r="O13" s="361"/>
      <c r="P13" s="361"/>
      <c r="Q13" s="9"/>
    </row>
    <row r="14" spans="1:17" ht="30" customHeight="1" x14ac:dyDescent="0.25">
      <c r="A14" s="856">
        <v>7</v>
      </c>
      <c r="B14" s="858" t="s">
        <v>563</v>
      </c>
      <c r="C14" s="858" t="s">
        <v>564</v>
      </c>
      <c r="D14" s="360"/>
      <c r="E14" s="360"/>
      <c r="F14" s="858" t="s">
        <v>486</v>
      </c>
      <c r="G14" s="858" t="s">
        <v>755</v>
      </c>
      <c r="H14" s="858" t="s">
        <v>487</v>
      </c>
      <c r="I14" s="858" t="s">
        <v>821</v>
      </c>
      <c r="J14" s="864">
        <v>1</v>
      </c>
      <c r="K14" s="864">
        <v>30</v>
      </c>
      <c r="L14" s="361">
        <v>20</v>
      </c>
      <c r="M14" s="364" t="s">
        <v>4</v>
      </c>
      <c r="N14" s="514" t="s">
        <v>565</v>
      </c>
      <c r="O14" s="361" t="s">
        <v>843</v>
      </c>
      <c r="P14" s="361"/>
      <c r="Q14" s="9"/>
    </row>
    <row r="15" spans="1:17" ht="30" customHeight="1" x14ac:dyDescent="0.25">
      <c r="A15" s="857"/>
      <c r="B15" s="859"/>
      <c r="C15" s="859"/>
      <c r="D15" s="360"/>
      <c r="E15" s="360"/>
      <c r="F15" s="859"/>
      <c r="G15" s="859"/>
      <c r="H15" s="859"/>
      <c r="I15" s="859"/>
      <c r="J15" s="865"/>
      <c r="K15" s="865"/>
      <c r="L15" s="360">
        <v>12</v>
      </c>
      <c r="M15" s="360" t="s">
        <v>254</v>
      </c>
      <c r="N15" s="369" t="s">
        <v>819</v>
      </c>
      <c r="O15" s="360"/>
      <c r="P15" s="360"/>
      <c r="Q15" s="9"/>
    </row>
    <row r="16" spans="1:17" ht="33.75" customHeight="1" x14ac:dyDescent="0.25">
      <c r="A16" s="856">
        <v>9</v>
      </c>
      <c r="B16" s="858" t="s">
        <v>568</v>
      </c>
      <c r="C16" s="858" t="s">
        <v>569</v>
      </c>
      <c r="D16" s="360"/>
      <c r="E16" s="360"/>
      <c r="F16" s="858" t="s">
        <v>486</v>
      </c>
      <c r="G16" s="858" t="s">
        <v>750</v>
      </c>
      <c r="H16" s="858" t="s">
        <v>570</v>
      </c>
      <c r="I16" s="858">
        <v>3106613592</v>
      </c>
      <c r="J16" s="864">
        <v>17</v>
      </c>
      <c r="K16" s="864">
        <v>16</v>
      </c>
      <c r="L16" s="370">
        <v>60</v>
      </c>
      <c r="M16" s="371" t="s">
        <v>4</v>
      </c>
      <c r="N16" s="370" t="s">
        <v>548</v>
      </c>
      <c r="O16" s="370"/>
      <c r="P16" s="370"/>
      <c r="Q16" s="9"/>
    </row>
    <row r="17" spans="1:17" ht="25.5" customHeight="1" x14ac:dyDescent="0.25">
      <c r="A17" s="883"/>
      <c r="B17" s="866"/>
      <c r="C17" s="866"/>
      <c r="D17" s="360"/>
      <c r="E17" s="360"/>
      <c r="F17" s="866"/>
      <c r="G17" s="866"/>
      <c r="H17" s="866"/>
      <c r="I17" s="866"/>
      <c r="J17" s="877"/>
      <c r="K17" s="877"/>
      <c r="L17" s="370">
        <v>4</v>
      </c>
      <c r="M17" s="371" t="s">
        <v>9</v>
      </c>
      <c r="N17" s="370" t="s">
        <v>548</v>
      </c>
      <c r="O17" s="370"/>
      <c r="P17" s="370"/>
      <c r="Q17" s="9"/>
    </row>
    <row r="18" spans="1:17" ht="25.5" customHeight="1" x14ac:dyDescent="0.25">
      <c r="A18" s="883"/>
      <c r="B18" s="866"/>
      <c r="C18" s="866"/>
      <c r="D18" s="360"/>
      <c r="E18" s="360"/>
      <c r="F18" s="866"/>
      <c r="G18" s="866"/>
      <c r="H18" s="866"/>
      <c r="I18" s="866"/>
      <c r="J18" s="877"/>
      <c r="K18" s="877"/>
      <c r="L18" s="370">
        <v>1</v>
      </c>
      <c r="M18" s="371" t="s">
        <v>253</v>
      </c>
      <c r="N18" s="370" t="s">
        <v>571</v>
      </c>
      <c r="O18" s="370"/>
      <c r="P18" s="370"/>
      <c r="Q18" s="9"/>
    </row>
    <row r="19" spans="1:17" s="2" customFormat="1" ht="30" customHeight="1" x14ac:dyDescent="0.25">
      <c r="A19" s="857"/>
      <c r="B19" s="859"/>
      <c r="C19" s="859"/>
      <c r="D19" s="360"/>
      <c r="E19" s="360"/>
      <c r="F19" s="859"/>
      <c r="G19" s="859"/>
      <c r="H19" s="859"/>
      <c r="I19" s="859"/>
      <c r="J19" s="865"/>
      <c r="K19" s="865"/>
      <c r="L19" s="361">
        <v>4</v>
      </c>
      <c r="M19" s="364" t="s">
        <v>254</v>
      </c>
      <c r="N19" s="514" t="s">
        <v>548</v>
      </c>
      <c r="O19" s="361"/>
      <c r="P19" s="361"/>
      <c r="Q19" s="27"/>
    </row>
    <row r="20" spans="1:17" s="2" customFormat="1" ht="30" customHeight="1" x14ac:dyDescent="0.25">
      <c r="A20" s="903">
        <v>10</v>
      </c>
      <c r="B20" s="661" t="s">
        <v>572</v>
      </c>
      <c r="C20" s="661" t="s">
        <v>573</v>
      </c>
      <c r="D20" s="402"/>
      <c r="E20" s="402"/>
      <c r="F20" s="661" t="s">
        <v>486</v>
      </c>
      <c r="G20" s="661" t="s">
        <v>725</v>
      </c>
      <c r="H20" s="661" t="s">
        <v>574</v>
      </c>
      <c r="I20" s="905">
        <v>3215976449</v>
      </c>
      <c r="J20" s="929">
        <v>15</v>
      </c>
      <c r="K20" s="929">
        <v>14</v>
      </c>
      <c r="L20" s="267">
        <v>30</v>
      </c>
      <c r="M20" s="394" t="s">
        <v>4</v>
      </c>
      <c r="N20" s="267" t="s">
        <v>19</v>
      </c>
      <c r="O20" s="622" t="s">
        <v>1192</v>
      </c>
      <c r="P20" s="361"/>
      <c r="Q20" s="27"/>
    </row>
    <row r="21" spans="1:17" ht="31.5" customHeight="1" x14ac:dyDescent="0.25">
      <c r="A21" s="904"/>
      <c r="B21" s="673"/>
      <c r="C21" s="673"/>
      <c r="D21" s="402"/>
      <c r="E21" s="402"/>
      <c r="F21" s="673"/>
      <c r="G21" s="673"/>
      <c r="H21" s="673"/>
      <c r="I21" s="907"/>
      <c r="J21" s="930"/>
      <c r="K21" s="930"/>
      <c r="L21" s="267">
        <v>30</v>
      </c>
      <c r="M21" s="394" t="s">
        <v>254</v>
      </c>
      <c r="N21" s="267" t="s">
        <v>242</v>
      </c>
      <c r="O21" s="623"/>
      <c r="P21" s="361"/>
      <c r="Q21" s="9"/>
    </row>
    <row r="22" spans="1:17" ht="30" customHeight="1" x14ac:dyDescent="0.25">
      <c r="A22" s="856">
        <v>12</v>
      </c>
      <c r="B22" s="858" t="s">
        <v>575</v>
      </c>
      <c r="C22" s="858" t="s">
        <v>576</v>
      </c>
      <c r="D22" s="360"/>
      <c r="E22" s="360"/>
      <c r="F22" s="858" t="s">
        <v>486</v>
      </c>
      <c r="G22" s="858" t="s">
        <v>771</v>
      </c>
      <c r="H22" s="858" t="s">
        <v>20</v>
      </c>
      <c r="I22" s="925">
        <v>3004931017</v>
      </c>
      <c r="J22" s="864">
        <v>10</v>
      </c>
      <c r="K22" s="864">
        <v>9</v>
      </c>
      <c r="L22" s="361">
        <v>30</v>
      </c>
      <c r="M22" s="364" t="s">
        <v>4</v>
      </c>
      <c r="N22" s="514" t="s">
        <v>19</v>
      </c>
      <c r="O22" s="361"/>
      <c r="P22" s="361"/>
      <c r="Q22" s="9"/>
    </row>
    <row r="23" spans="1:17" ht="30" customHeight="1" x14ac:dyDescent="0.25">
      <c r="A23" s="857"/>
      <c r="B23" s="859"/>
      <c r="C23" s="859"/>
      <c r="D23" s="360"/>
      <c r="E23" s="360"/>
      <c r="F23" s="859"/>
      <c r="G23" s="859"/>
      <c r="H23" s="859"/>
      <c r="I23" s="927"/>
      <c r="J23" s="865"/>
      <c r="K23" s="865"/>
      <c r="L23" s="361">
        <v>12</v>
      </c>
      <c r="M23" s="364" t="s">
        <v>254</v>
      </c>
      <c r="N23" s="514" t="s">
        <v>242</v>
      </c>
      <c r="O23" s="361" t="s">
        <v>898</v>
      </c>
      <c r="P23" s="361"/>
      <c r="Q23" s="9"/>
    </row>
    <row r="24" spans="1:17" ht="18.75" customHeight="1" x14ac:dyDescent="0.25">
      <c r="A24" s="856">
        <v>13</v>
      </c>
      <c r="B24" s="858" t="s">
        <v>577</v>
      </c>
      <c r="C24" s="858" t="s">
        <v>578</v>
      </c>
      <c r="D24" s="360"/>
      <c r="E24" s="360"/>
      <c r="F24" s="858" t="s">
        <v>486</v>
      </c>
      <c r="G24" s="858" t="s">
        <v>776</v>
      </c>
      <c r="H24" s="858" t="s">
        <v>570</v>
      </c>
      <c r="I24" s="925"/>
      <c r="J24" s="864">
        <v>25</v>
      </c>
      <c r="K24" s="864">
        <v>24</v>
      </c>
      <c r="L24" s="361">
        <v>60</v>
      </c>
      <c r="M24" s="364" t="s">
        <v>6</v>
      </c>
      <c r="N24" s="858" t="s">
        <v>548</v>
      </c>
      <c r="O24" s="858" t="s">
        <v>828</v>
      </c>
      <c r="P24" s="361"/>
      <c r="Q24" s="9"/>
    </row>
    <row r="25" spans="1:17" ht="18.75" customHeight="1" x14ac:dyDescent="0.25">
      <c r="A25" s="883"/>
      <c r="B25" s="866"/>
      <c r="C25" s="866"/>
      <c r="D25" s="360"/>
      <c r="E25" s="360"/>
      <c r="F25" s="866"/>
      <c r="G25" s="866"/>
      <c r="H25" s="866"/>
      <c r="I25" s="926"/>
      <c r="J25" s="877"/>
      <c r="K25" s="877"/>
      <c r="L25" s="361">
        <v>30</v>
      </c>
      <c r="M25" s="364" t="s">
        <v>4</v>
      </c>
      <c r="N25" s="866"/>
      <c r="O25" s="866"/>
      <c r="P25" s="361"/>
      <c r="Q25" s="9"/>
    </row>
    <row r="26" spans="1:17" ht="18" customHeight="1" x14ac:dyDescent="0.25">
      <c r="A26" s="883"/>
      <c r="B26" s="866"/>
      <c r="C26" s="866"/>
      <c r="D26" s="360"/>
      <c r="E26" s="360"/>
      <c r="F26" s="866"/>
      <c r="G26" s="866"/>
      <c r="H26" s="866"/>
      <c r="I26" s="926"/>
      <c r="J26" s="877"/>
      <c r="K26" s="877"/>
      <c r="L26" s="361">
        <v>4</v>
      </c>
      <c r="M26" s="364" t="s">
        <v>9</v>
      </c>
      <c r="N26" s="866"/>
      <c r="O26" s="866"/>
      <c r="P26" s="361"/>
      <c r="Q26" s="9"/>
    </row>
    <row r="27" spans="1:17" ht="16.5" customHeight="1" x14ac:dyDescent="0.25">
      <c r="A27" s="883"/>
      <c r="B27" s="866"/>
      <c r="C27" s="866"/>
      <c r="D27" s="360"/>
      <c r="E27" s="360"/>
      <c r="F27" s="866"/>
      <c r="G27" s="866"/>
      <c r="H27" s="866"/>
      <c r="I27" s="926"/>
      <c r="J27" s="877"/>
      <c r="K27" s="877"/>
      <c r="L27" s="361">
        <v>1</v>
      </c>
      <c r="M27" s="364" t="s">
        <v>253</v>
      </c>
      <c r="N27" s="866"/>
      <c r="O27" s="866"/>
      <c r="P27" s="361"/>
      <c r="Q27" s="9"/>
    </row>
    <row r="28" spans="1:17" ht="20.25" customHeight="1" x14ac:dyDescent="0.25">
      <c r="A28" s="857"/>
      <c r="B28" s="859"/>
      <c r="C28" s="859"/>
      <c r="D28" s="360"/>
      <c r="E28" s="360"/>
      <c r="F28" s="859"/>
      <c r="G28" s="859"/>
      <c r="H28" s="859"/>
      <c r="I28" s="927"/>
      <c r="J28" s="865"/>
      <c r="K28" s="865"/>
      <c r="L28" s="361">
        <v>4</v>
      </c>
      <c r="M28" s="364" t="s">
        <v>254</v>
      </c>
      <c r="N28" s="859"/>
      <c r="O28" s="859"/>
      <c r="P28" s="361"/>
      <c r="Q28" s="9"/>
    </row>
    <row r="29" spans="1:17" ht="22.5" customHeight="1" x14ac:dyDescent="0.25">
      <c r="A29" s="856">
        <v>14</v>
      </c>
      <c r="B29" s="858" t="s">
        <v>579</v>
      </c>
      <c r="C29" s="858" t="s">
        <v>580</v>
      </c>
      <c r="D29" s="360"/>
      <c r="E29" s="360"/>
      <c r="F29" s="858" t="s">
        <v>486</v>
      </c>
      <c r="G29" s="858" t="s">
        <v>750</v>
      </c>
      <c r="H29" s="858" t="s">
        <v>570</v>
      </c>
      <c r="I29" s="925"/>
      <c r="J29" s="864">
        <v>4</v>
      </c>
      <c r="K29" s="864">
        <v>3</v>
      </c>
      <c r="L29" s="361">
        <v>1</v>
      </c>
      <c r="M29" s="364" t="s">
        <v>253</v>
      </c>
      <c r="N29" s="858" t="s">
        <v>548</v>
      </c>
      <c r="O29" s="372"/>
      <c r="P29" s="361"/>
      <c r="Q29" s="9"/>
    </row>
    <row r="30" spans="1:17" ht="21" customHeight="1" x14ac:dyDescent="0.25">
      <c r="A30" s="883"/>
      <c r="B30" s="866"/>
      <c r="C30" s="866"/>
      <c r="D30" s="360"/>
      <c r="E30" s="360"/>
      <c r="F30" s="866"/>
      <c r="G30" s="866"/>
      <c r="H30" s="866"/>
      <c r="I30" s="926"/>
      <c r="J30" s="877"/>
      <c r="K30" s="877"/>
      <c r="L30" s="361">
        <v>90</v>
      </c>
      <c r="M30" s="364" t="s">
        <v>6</v>
      </c>
      <c r="N30" s="866"/>
      <c r="O30" s="372" t="s">
        <v>581</v>
      </c>
      <c r="P30" s="361"/>
      <c r="Q30" s="9"/>
    </row>
    <row r="31" spans="1:17" ht="21.75" customHeight="1" x14ac:dyDescent="0.25">
      <c r="A31" s="883"/>
      <c r="B31" s="866"/>
      <c r="C31" s="866"/>
      <c r="D31" s="360"/>
      <c r="E31" s="360"/>
      <c r="F31" s="866"/>
      <c r="G31" s="866"/>
      <c r="H31" s="866"/>
      <c r="I31" s="926"/>
      <c r="J31" s="877"/>
      <c r="K31" s="877"/>
      <c r="L31" s="361">
        <v>20</v>
      </c>
      <c r="M31" s="364" t="s">
        <v>9</v>
      </c>
      <c r="N31" s="866"/>
      <c r="O31" s="931" t="s">
        <v>1086</v>
      </c>
      <c r="P31" s="361"/>
      <c r="Q31" s="9"/>
    </row>
    <row r="32" spans="1:17" ht="20.25" customHeight="1" x14ac:dyDescent="0.25">
      <c r="A32" s="883"/>
      <c r="B32" s="866"/>
      <c r="C32" s="866"/>
      <c r="D32" s="360"/>
      <c r="E32" s="360"/>
      <c r="F32" s="866"/>
      <c r="G32" s="866"/>
      <c r="H32" s="866"/>
      <c r="I32" s="926"/>
      <c r="J32" s="877"/>
      <c r="K32" s="877"/>
      <c r="L32" s="361">
        <v>20</v>
      </c>
      <c r="M32" s="364" t="s">
        <v>4</v>
      </c>
      <c r="N32" s="866"/>
      <c r="O32" s="932"/>
      <c r="P32" s="361"/>
      <c r="Q32" s="9"/>
    </row>
    <row r="33" spans="1:17" ht="21.75" customHeight="1" x14ac:dyDescent="0.25">
      <c r="A33" s="857"/>
      <c r="B33" s="859"/>
      <c r="C33" s="859"/>
      <c r="D33" s="360"/>
      <c r="E33" s="360"/>
      <c r="F33" s="859"/>
      <c r="G33" s="859"/>
      <c r="H33" s="859"/>
      <c r="I33" s="927"/>
      <c r="J33" s="865"/>
      <c r="K33" s="865"/>
      <c r="L33" s="361">
        <v>20</v>
      </c>
      <c r="M33" s="364" t="s">
        <v>254</v>
      </c>
      <c r="N33" s="859"/>
      <c r="O33" s="933"/>
      <c r="P33" s="361"/>
      <c r="Q33" s="9"/>
    </row>
    <row r="34" spans="1:17" ht="34.5" customHeight="1" x14ac:dyDescent="0.25">
      <c r="A34" s="365">
        <v>15</v>
      </c>
      <c r="B34" s="366" t="s">
        <v>582</v>
      </c>
      <c r="C34" s="361" t="s">
        <v>583</v>
      </c>
      <c r="D34" s="360"/>
      <c r="E34" s="360"/>
      <c r="F34" s="361" t="s">
        <v>416</v>
      </c>
      <c r="G34" s="361" t="s">
        <v>754</v>
      </c>
      <c r="H34" s="496" t="s">
        <v>21</v>
      </c>
      <c r="I34" s="369" t="s">
        <v>584</v>
      </c>
      <c r="J34" s="386">
        <v>16</v>
      </c>
      <c r="K34" s="386">
        <v>15</v>
      </c>
      <c r="L34" s="361">
        <v>20</v>
      </c>
      <c r="M34" s="364" t="s">
        <v>4</v>
      </c>
      <c r="N34" s="514" t="s">
        <v>7</v>
      </c>
      <c r="O34" s="361" t="s">
        <v>585</v>
      </c>
      <c r="P34" s="361"/>
      <c r="Q34" s="9"/>
    </row>
    <row r="35" spans="1:17" ht="29.25" customHeight="1" x14ac:dyDescent="0.25">
      <c r="A35" s="856">
        <v>16</v>
      </c>
      <c r="B35" s="858" t="s">
        <v>586</v>
      </c>
      <c r="C35" s="858" t="s">
        <v>587</v>
      </c>
      <c r="D35" s="360"/>
      <c r="E35" s="360"/>
      <c r="F35" s="858" t="s">
        <v>416</v>
      </c>
      <c r="G35" s="858" t="s">
        <v>783</v>
      </c>
      <c r="H35" s="858" t="s">
        <v>21</v>
      </c>
      <c r="I35" s="858" t="s">
        <v>588</v>
      </c>
      <c r="J35" s="864">
        <v>15</v>
      </c>
      <c r="K35" s="864">
        <v>14</v>
      </c>
      <c r="L35" s="361">
        <v>60</v>
      </c>
      <c r="M35" s="364" t="s">
        <v>6</v>
      </c>
      <c r="N35" s="514" t="s">
        <v>7</v>
      </c>
      <c r="O35" s="858" t="s">
        <v>589</v>
      </c>
      <c r="P35" s="361" t="s">
        <v>918</v>
      </c>
      <c r="Q35" s="9"/>
    </row>
    <row r="36" spans="1:17" ht="30" customHeight="1" x14ac:dyDescent="0.25">
      <c r="A36" s="857"/>
      <c r="B36" s="859"/>
      <c r="C36" s="859"/>
      <c r="D36" s="360"/>
      <c r="E36" s="360"/>
      <c r="F36" s="859"/>
      <c r="G36" s="859"/>
      <c r="H36" s="859"/>
      <c r="I36" s="859"/>
      <c r="J36" s="865"/>
      <c r="K36" s="865"/>
      <c r="L36" s="360">
        <v>30</v>
      </c>
      <c r="M36" s="360" t="s">
        <v>4</v>
      </c>
      <c r="N36" s="514" t="s">
        <v>7</v>
      </c>
      <c r="O36" s="859"/>
      <c r="P36" s="360"/>
      <c r="Q36" s="9"/>
    </row>
    <row r="37" spans="1:17" ht="30" customHeight="1" x14ac:dyDescent="0.25">
      <c r="A37" s="856">
        <v>17</v>
      </c>
      <c r="B37" s="858" t="s">
        <v>590</v>
      </c>
      <c r="C37" s="858" t="s">
        <v>591</v>
      </c>
      <c r="D37" s="360"/>
      <c r="E37" s="360"/>
      <c r="F37" s="858" t="s">
        <v>416</v>
      </c>
      <c r="G37" s="860" t="s">
        <v>766</v>
      </c>
      <c r="H37" s="858" t="s">
        <v>16</v>
      </c>
      <c r="I37" s="858">
        <v>3214483439</v>
      </c>
      <c r="J37" s="862">
        <v>23</v>
      </c>
      <c r="K37" s="864">
        <v>22</v>
      </c>
      <c r="L37" s="360">
        <v>12</v>
      </c>
      <c r="M37" s="373" t="s">
        <v>9</v>
      </c>
      <c r="N37" s="514" t="s">
        <v>501</v>
      </c>
      <c r="O37" s="363" t="s">
        <v>1053</v>
      </c>
      <c r="P37" s="360"/>
      <c r="Q37" s="9"/>
    </row>
    <row r="38" spans="1:17" ht="36.75" customHeight="1" x14ac:dyDescent="0.25">
      <c r="A38" s="857"/>
      <c r="B38" s="859"/>
      <c r="C38" s="859"/>
      <c r="D38" s="360"/>
      <c r="E38" s="360"/>
      <c r="F38" s="859"/>
      <c r="G38" s="861"/>
      <c r="H38" s="859"/>
      <c r="I38" s="859"/>
      <c r="J38" s="863"/>
      <c r="K38" s="865"/>
      <c r="L38" s="361">
        <v>30</v>
      </c>
      <c r="M38" s="364" t="s">
        <v>4</v>
      </c>
      <c r="N38" s="514" t="s">
        <v>17</v>
      </c>
      <c r="O38" s="361" t="s">
        <v>592</v>
      </c>
      <c r="P38" s="361"/>
      <c r="Q38" s="9"/>
    </row>
    <row r="39" spans="1:17" ht="24" customHeight="1" x14ac:dyDescent="0.25">
      <c r="A39" s="856">
        <v>18</v>
      </c>
      <c r="B39" s="858" t="s">
        <v>593</v>
      </c>
      <c r="C39" s="858" t="s">
        <v>594</v>
      </c>
      <c r="D39" s="360"/>
      <c r="E39" s="360"/>
      <c r="F39" s="858" t="s">
        <v>418</v>
      </c>
      <c r="G39" s="858" t="s">
        <v>725</v>
      </c>
      <c r="H39" s="858" t="s">
        <v>23</v>
      </c>
      <c r="I39" s="925">
        <v>3126882922</v>
      </c>
      <c r="J39" s="862">
        <v>1</v>
      </c>
      <c r="K39" s="864">
        <v>30</v>
      </c>
      <c r="L39" s="361">
        <v>20</v>
      </c>
      <c r="M39" s="364" t="s">
        <v>4</v>
      </c>
      <c r="N39" s="514" t="s">
        <v>24</v>
      </c>
      <c r="O39" s="361"/>
      <c r="P39" s="361"/>
      <c r="Q39" s="9"/>
    </row>
    <row r="40" spans="1:17" ht="24.75" customHeight="1" x14ac:dyDescent="0.25">
      <c r="A40" s="883"/>
      <c r="B40" s="866"/>
      <c r="C40" s="866"/>
      <c r="D40" s="360"/>
      <c r="E40" s="360"/>
      <c r="F40" s="866"/>
      <c r="G40" s="866"/>
      <c r="H40" s="866"/>
      <c r="I40" s="926"/>
      <c r="J40" s="870"/>
      <c r="K40" s="877"/>
      <c r="L40" s="361">
        <v>20</v>
      </c>
      <c r="M40" s="364" t="s">
        <v>254</v>
      </c>
      <c r="N40" s="514" t="s">
        <v>869</v>
      </c>
      <c r="O40" s="361"/>
      <c r="P40" s="361"/>
      <c r="Q40" s="9"/>
    </row>
    <row r="41" spans="1:17" ht="27" customHeight="1" x14ac:dyDescent="0.25">
      <c r="A41" s="857"/>
      <c r="B41" s="859"/>
      <c r="C41" s="859"/>
      <c r="D41" s="360"/>
      <c r="E41" s="360"/>
      <c r="F41" s="859"/>
      <c r="G41" s="859"/>
      <c r="H41" s="859"/>
      <c r="I41" s="927"/>
      <c r="J41" s="863"/>
      <c r="K41" s="865"/>
      <c r="L41" s="361">
        <v>60</v>
      </c>
      <c r="M41" s="364" t="s">
        <v>6</v>
      </c>
      <c r="N41" s="514" t="s">
        <v>24</v>
      </c>
      <c r="O41" s="361" t="s">
        <v>596</v>
      </c>
      <c r="P41" s="361"/>
      <c r="Q41" s="9"/>
    </row>
    <row r="42" spans="1:17" ht="21" customHeight="1" x14ac:dyDescent="0.25">
      <c r="A42" s="856">
        <v>19</v>
      </c>
      <c r="B42" s="858" t="s">
        <v>597</v>
      </c>
      <c r="C42" s="858" t="s">
        <v>598</v>
      </c>
      <c r="D42" s="360"/>
      <c r="E42" s="360"/>
      <c r="F42" s="858" t="s">
        <v>418</v>
      </c>
      <c r="G42" s="858"/>
      <c r="H42" s="858" t="s">
        <v>25</v>
      </c>
      <c r="I42" s="858">
        <v>3008807535</v>
      </c>
      <c r="J42" s="862">
        <v>1</v>
      </c>
      <c r="K42" s="864">
        <v>30</v>
      </c>
      <c r="L42" s="361">
        <v>20</v>
      </c>
      <c r="M42" s="364" t="s">
        <v>4</v>
      </c>
      <c r="N42" s="514" t="s">
        <v>488</v>
      </c>
      <c r="O42" s="374"/>
      <c r="P42" s="361"/>
      <c r="Q42" s="9"/>
    </row>
    <row r="43" spans="1:17" ht="21.75" customHeight="1" x14ac:dyDescent="0.25">
      <c r="A43" s="883"/>
      <c r="B43" s="866"/>
      <c r="C43" s="866"/>
      <c r="D43" s="360"/>
      <c r="E43" s="360"/>
      <c r="F43" s="866"/>
      <c r="G43" s="866"/>
      <c r="H43" s="866"/>
      <c r="I43" s="866"/>
      <c r="J43" s="870"/>
      <c r="K43" s="877"/>
      <c r="L43" s="361">
        <v>20</v>
      </c>
      <c r="M43" s="364" t="s">
        <v>254</v>
      </c>
      <c r="N43" s="514" t="s">
        <v>154</v>
      </c>
      <c r="O43" s="934" t="s">
        <v>1118</v>
      </c>
      <c r="P43" s="361"/>
      <c r="Q43" s="9"/>
    </row>
    <row r="44" spans="1:17" ht="21.75" customHeight="1" x14ac:dyDescent="0.25">
      <c r="A44" s="857"/>
      <c r="B44" s="859"/>
      <c r="C44" s="859"/>
      <c r="D44" s="360"/>
      <c r="E44" s="360"/>
      <c r="F44" s="859"/>
      <c r="G44" s="859"/>
      <c r="H44" s="859"/>
      <c r="I44" s="859"/>
      <c r="J44" s="863"/>
      <c r="K44" s="865"/>
      <c r="L44" s="361">
        <v>20</v>
      </c>
      <c r="M44" s="364" t="s">
        <v>9</v>
      </c>
      <c r="N44" s="514" t="s">
        <v>80</v>
      </c>
      <c r="O44" s="935"/>
      <c r="P44" s="361"/>
      <c r="Q44" s="9"/>
    </row>
    <row r="45" spans="1:17" ht="30" customHeight="1" x14ac:dyDescent="0.25">
      <c r="A45" s="856">
        <v>20</v>
      </c>
      <c r="B45" s="858" t="s">
        <v>599</v>
      </c>
      <c r="C45" s="858" t="s">
        <v>600</v>
      </c>
      <c r="D45" s="360"/>
      <c r="E45" s="360"/>
      <c r="F45" s="858" t="s">
        <v>418</v>
      </c>
      <c r="G45" s="858"/>
      <c r="H45" s="858" t="s">
        <v>22</v>
      </c>
      <c r="I45" s="858" t="s">
        <v>601</v>
      </c>
      <c r="J45" s="862">
        <v>1</v>
      </c>
      <c r="K45" s="864">
        <v>30</v>
      </c>
      <c r="L45" s="361">
        <v>20</v>
      </c>
      <c r="M45" s="364" t="s">
        <v>4</v>
      </c>
      <c r="N45" s="514" t="s">
        <v>854</v>
      </c>
      <c r="O45" s="361"/>
      <c r="P45" s="361"/>
      <c r="Q45" s="9"/>
    </row>
    <row r="46" spans="1:17" ht="30" customHeight="1" x14ac:dyDescent="0.25">
      <c r="A46" s="883"/>
      <c r="B46" s="866"/>
      <c r="C46" s="866"/>
      <c r="D46" s="360"/>
      <c r="E46" s="360"/>
      <c r="F46" s="866"/>
      <c r="G46" s="866"/>
      <c r="H46" s="866"/>
      <c r="I46" s="866"/>
      <c r="J46" s="870"/>
      <c r="K46" s="877"/>
      <c r="L46" s="361">
        <v>60</v>
      </c>
      <c r="M46" s="364" t="s">
        <v>6</v>
      </c>
      <c r="N46" s="514" t="s">
        <v>854</v>
      </c>
      <c r="O46" s="361"/>
      <c r="P46" s="361"/>
      <c r="Q46" s="9"/>
    </row>
    <row r="47" spans="1:17" ht="30" customHeight="1" x14ac:dyDescent="0.25">
      <c r="A47" s="857"/>
      <c r="B47" s="859"/>
      <c r="C47" s="859"/>
      <c r="D47" s="360"/>
      <c r="E47" s="360"/>
      <c r="F47" s="859"/>
      <c r="G47" s="859"/>
      <c r="H47" s="859"/>
      <c r="I47" s="859"/>
      <c r="J47" s="863"/>
      <c r="K47" s="865"/>
      <c r="L47" s="361">
        <v>20</v>
      </c>
      <c r="M47" s="364" t="s">
        <v>254</v>
      </c>
      <c r="N47" s="514" t="s">
        <v>242</v>
      </c>
      <c r="O47" s="361"/>
      <c r="P47" s="361"/>
      <c r="Q47" s="9"/>
    </row>
    <row r="48" spans="1:17" ht="30" customHeight="1" x14ac:dyDescent="0.25">
      <c r="A48" s="856">
        <v>21</v>
      </c>
      <c r="B48" s="858" t="s">
        <v>602</v>
      </c>
      <c r="C48" s="858" t="s">
        <v>603</v>
      </c>
      <c r="D48" s="360"/>
      <c r="E48" s="360"/>
      <c r="F48" s="858" t="s">
        <v>418</v>
      </c>
      <c r="G48" s="858"/>
      <c r="H48" s="858" t="s">
        <v>16</v>
      </c>
      <c r="I48" s="858" t="s">
        <v>604</v>
      </c>
      <c r="J48" s="864">
        <v>1</v>
      </c>
      <c r="K48" s="864">
        <v>30</v>
      </c>
      <c r="L48" s="361">
        <v>180</v>
      </c>
      <c r="M48" s="364" t="s">
        <v>6</v>
      </c>
      <c r="N48" s="514" t="s">
        <v>17</v>
      </c>
      <c r="O48" s="361"/>
      <c r="P48" s="361"/>
      <c r="Q48" s="9"/>
    </row>
    <row r="49" spans="1:17" ht="30" customHeight="1" x14ac:dyDescent="0.25">
      <c r="A49" s="883"/>
      <c r="B49" s="866"/>
      <c r="C49" s="866"/>
      <c r="D49" s="360"/>
      <c r="E49" s="360"/>
      <c r="F49" s="866"/>
      <c r="G49" s="866"/>
      <c r="H49" s="866"/>
      <c r="I49" s="866"/>
      <c r="J49" s="877"/>
      <c r="K49" s="877"/>
      <c r="L49" s="361">
        <v>30</v>
      </c>
      <c r="M49" s="364" t="s">
        <v>4</v>
      </c>
      <c r="N49" s="514" t="s">
        <v>17</v>
      </c>
      <c r="O49" s="361"/>
      <c r="P49" s="361"/>
      <c r="Q49" s="9"/>
    </row>
    <row r="50" spans="1:17" ht="30" customHeight="1" x14ac:dyDescent="0.25">
      <c r="A50" s="857"/>
      <c r="B50" s="859"/>
      <c r="C50" s="859"/>
      <c r="D50" s="433"/>
      <c r="E50" s="433"/>
      <c r="F50" s="859"/>
      <c r="G50" s="859"/>
      <c r="H50" s="859"/>
      <c r="I50" s="859"/>
      <c r="J50" s="865"/>
      <c r="K50" s="865"/>
      <c r="L50" s="578">
        <v>40</v>
      </c>
      <c r="M50" s="364" t="s">
        <v>254</v>
      </c>
      <c r="N50" s="578" t="s">
        <v>1354</v>
      </c>
      <c r="O50" s="577" t="s">
        <v>1355</v>
      </c>
      <c r="P50" s="578"/>
      <c r="Q50" s="9"/>
    </row>
    <row r="51" spans="1:17" ht="30" customHeight="1" x14ac:dyDescent="0.25">
      <c r="A51" s="856">
        <v>22</v>
      </c>
      <c r="B51" s="858" t="s">
        <v>605</v>
      </c>
      <c r="C51" s="858" t="s">
        <v>606</v>
      </c>
      <c r="D51" s="360"/>
      <c r="E51" s="360"/>
      <c r="F51" s="858" t="s">
        <v>418</v>
      </c>
      <c r="G51" s="858" t="s">
        <v>720</v>
      </c>
      <c r="H51" s="858" t="s">
        <v>15</v>
      </c>
      <c r="I51" s="858" t="s">
        <v>607</v>
      </c>
      <c r="J51" s="862">
        <v>1</v>
      </c>
      <c r="K51" s="864">
        <v>30</v>
      </c>
      <c r="L51" s="361">
        <v>20</v>
      </c>
      <c r="M51" s="364" t="s">
        <v>4</v>
      </c>
      <c r="N51" s="514" t="s">
        <v>548</v>
      </c>
      <c r="O51" s="858" t="s">
        <v>608</v>
      </c>
      <c r="P51" s="361"/>
      <c r="Q51" s="9"/>
    </row>
    <row r="52" spans="1:17" ht="30" customHeight="1" x14ac:dyDescent="0.25">
      <c r="A52" s="857"/>
      <c r="B52" s="859"/>
      <c r="C52" s="859"/>
      <c r="D52" s="360"/>
      <c r="E52" s="360"/>
      <c r="F52" s="859"/>
      <c r="G52" s="859"/>
      <c r="H52" s="859"/>
      <c r="I52" s="859"/>
      <c r="J52" s="863"/>
      <c r="K52" s="865"/>
      <c r="L52" s="361">
        <v>20</v>
      </c>
      <c r="M52" s="364" t="s">
        <v>254</v>
      </c>
      <c r="N52" s="514" t="s">
        <v>548</v>
      </c>
      <c r="O52" s="859"/>
      <c r="P52" s="361"/>
      <c r="Q52" s="9"/>
    </row>
    <row r="53" spans="1:17" ht="30" customHeight="1" x14ac:dyDescent="0.25">
      <c r="A53" s="365">
        <v>23</v>
      </c>
      <c r="B53" s="366" t="s">
        <v>610</v>
      </c>
      <c r="C53" s="361" t="s">
        <v>611</v>
      </c>
      <c r="D53" s="360"/>
      <c r="E53" s="360"/>
      <c r="F53" s="361" t="s">
        <v>486</v>
      </c>
      <c r="G53" s="361" t="s">
        <v>720</v>
      </c>
      <c r="H53" s="496" t="s">
        <v>26</v>
      </c>
      <c r="I53" s="361">
        <v>3184441237</v>
      </c>
      <c r="J53" s="386">
        <v>1</v>
      </c>
      <c r="K53" s="386">
        <v>30</v>
      </c>
      <c r="L53" s="361">
        <v>20</v>
      </c>
      <c r="M53" s="364" t="s">
        <v>4</v>
      </c>
      <c r="N53" s="514" t="s">
        <v>27</v>
      </c>
      <c r="O53" s="361"/>
      <c r="P53" s="361"/>
      <c r="Q53" s="9"/>
    </row>
    <row r="54" spans="1:17" ht="30" customHeight="1" x14ac:dyDescent="0.25">
      <c r="A54" s="856">
        <v>24</v>
      </c>
      <c r="B54" s="858" t="s">
        <v>612</v>
      </c>
      <c r="C54" s="858" t="s">
        <v>613</v>
      </c>
      <c r="D54" s="360"/>
      <c r="E54" s="360"/>
      <c r="F54" s="874" t="s">
        <v>416</v>
      </c>
      <c r="G54" s="874" t="s">
        <v>754</v>
      </c>
      <c r="H54" s="858" t="s">
        <v>10</v>
      </c>
      <c r="I54" s="881" t="s">
        <v>614</v>
      </c>
      <c r="J54" s="862">
        <v>21</v>
      </c>
      <c r="K54" s="864">
        <v>20</v>
      </c>
      <c r="L54" s="361">
        <v>16</v>
      </c>
      <c r="M54" s="364" t="s">
        <v>4</v>
      </c>
      <c r="N54" s="514" t="s">
        <v>8</v>
      </c>
      <c r="O54" s="858" t="s">
        <v>615</v>
      </c>
      <c r="P54" s="361"/>
      <c r="Q54" s="9"/>
    </row>
    <row r="55" spans="1:17" ht="30" customHeight="1" x14ac:dyDescent="0.25">
      <c r="A55" s="883"/>
      <c r="B55" s="866"/>
      <c r="C55" s="866"/>
      <c r="D55" s="360"/>
      <c r="E55" s="360"/>
      <c r="F55" s="923"/>
      <c r="G55" s="923"/>
      <c r="H55" s="866"/>
      <c r="I55" s="924"/>
      <c r="J55" s="870"/>
      <c r="K55" s="877"/>
      <c r="L55" s="361">
        <v>16</v>
      </c>
      <c r="M55" s="364" t="s">
        <v>254</v>
      </c>
      <c r="N55" s="433" t="s">
        <v>494</v>
      </c>
      <c r="O55" s="866"/>
      <c r="P55" s="361"/>
      <c r="Q55" s="9"/>
    </row>
    <row r="56" spans="1:17" ht="30" customHeight="1" x14ac:dyDescent="0.25">
      <c r="A56" s="883"/>
      <c r="B56" s="866"/>
      <c r="C56" s="866"/>
      <c r="D56" s="360"/>
      <c r="E56" s="360"/>
      <c r="F56" s="923"/>
      <c r="G56" s="875"/>
      <c r="H56" s="866"/>
      <c r="I56" s="924"/>
      <c r="J56" s="870"/>
      <c r="K56" s="877"/>
      <c r="L56" s="361">
        <v>16</v>
      </c>
      <c r="M56" s="364" t="s">
        <v>9</v>
      </c>
      <c r="N56" s="514" t="s">
        <v>526</v>
      </c>
      <c r="O56" s="866"/>
      <c r="P56" s="361"/>
      <c r="Q56" s="9"/>
    </row>
    <row r="57" spans="1:17" s="4" customFormat="1" ht="30" customHeight="1" x14ac:dyDescent="0.25">
      <c r="A57" s="669">
        <v>25</v>
      </c>
      <c r="B57" s="617" t="s">
        <v>147</v>
      </c>
      <c r="C57" s="617" t="s">
        <v>616</v>
      </c>
      <c r="D57" s="617" t="s">
        <v>415</v>
      </c>
      <c r="E57" s="919">
        <v>78016110</v>
      </c>
      <c r="F57" s="617" t="s">
        <v>416</v>
      </c>
      <c r="G57" s="617" t="s">
        <v>720</v>
      </c>
      <c r="H57" s="617" t="s">
        <v>10</v>
      </c>
      <c r="I57" s="914">
        <v>3014529933</v>
      </c>
      <c r="J57" s="854">
        <v>1</v>
      </c>
      <c r="K57" s="854">
        <v>30</v>
      </c>
      <c r="L57" s="588">
        <v>60</v>
      </c>
      <c r="M57" s="588" t="s">
        <v>6</v>
      </c>
      <c r="N57" s="588" t="s">
        <v>8</v>
      </c>
      <c r="O57" s="617" t="s">
        <v>1358</v>
      </c>
      <c r="P57" s="588"/>
      <c r="Q57" s="10"/>
    </row>
    <row r="58" spans="1:17" s="4" customFormat="1" ht="30" customHeight="1" x14ac:dyDescent="0.25">
      <c r="A58" s="918"/>
      <c r="B58" s="729"/>
      <c r="C58" s="729"/>
      <c r="D58" s="729"/>
      <c r="E58" s="920"/>
      <c r="F58" s="729"/>
      <c r="G58" s="729"/>
      <c r="H58" s="729"/>
      <c r="I58" s="915"/>
      <c r="J58" s="917"/>
      <c r="K58" s="917"/>
      <c r="L58" s="588">
        <v>12</v>
      </c>
      <c r="M58" s="588" t="s">
        <v>4</v>
      </c>
      <c r="N58" s="588" t="s">
        <v>8</v>
      </c>
      <c r="O58" s="729"/>
      <c r="P58" s="588" t="s">
        <v>617</v>
      </c>
      <c r="Q58" s="10"/>
    </row>
    <row r="59" spans="1:17" s="4" customFormat="1" ht="30" customHeight="1" x14ac:dyDescent="0.25">
      <c r="A59" s="670"/>
      <c r="B59" s="618"/>
      <c r="C59" s="618"/>
      <c r="D59" s="618"/>
      <c r="E59" s="921"/>
      <c r="F59" s="618"/>
      <c r="G59" s="618"/>
      <c r="H59" s="618"/>
      <c r="I59" s="916"/>
      <c r="J59" s="855"/>
      <c r="K59" s="855"/>
      <c r="L59" s="588">
        <v>12</v>
      </c>
      <c r="M59" s="588" t="s">
        <v>254</v>
      </c>
      <c r="N59" s="588" t="s">
        <v>494</v>
      </c>
      <c r="O59" s="618"/>
      <c r="P59" s="588"/>
      <c r="Q59" s="10"/>
    </row>
    <row r="60" spans="1:17" s="4" customFormat="1" ht="30" customHeight="1" x14ac:dyDescent="0.25">
      <c r="A60" s="856">
        <v>26</v>
      </c>
      <c r="B60" s="858" t="s">
        <v>618</v>
      </c>
      <c r="C60" s="858" t="s">
        <v>619</v>
      </c>
      <c r="D60" s="375"/>
      <c r="E60" s="376"/>
      <c r="F60" s="858" t="s">
        <v>416</v>
      </c>
      <c r="G60" s="858" t="s">
        <v>942</v>
      </c>
      <c r="H60" s="858" t="s">
        <v>15</v>
      </c>
      <c r="I60" s="858">
        <v>3008151227</v>
      </c>
      <c r="J60" s="862">
        <v>2</v>
      </c>
      <c r="K60" s="864">
        <v>1</v>
      </c>
      <c r="L60" s="360">
        <v>60</v>
      </c>
      <c r="M60" s="373" t="s">
        <v>6</v>
      </c>
      <c r="N60" s="922" t="s">
        <v>548</v>
      </c>
      <c r="O60" s="922" t="s">
        <v>943</v>
      </c>
      <c r="P60" s="360"/>
      <c r="Q60" s="10"/>
    </row>
    <row r="61" spans="1:17" s="4" customFormat="1" ht="30" customHeight="1" x14ac:dyDescent="0.25">
      <c r="A61" s="883"/>
      <c r="B61" s="866"/>
      <c r="C61" s="866"/>
      <c r="D61" s="375"/>
      <c r="E61" s="376"/>
      <c r="F61" s="866"/>
      <c r="G61" s="866"/>
      <c r="H61" s="866"/>
      <c r="I61" s="866"/>
      <c r="J61" s="870"/>
      <c r="K61" s="877"/>
      <c r="L61" s="360">
        <v>60</v>
      </c>
      <c r="M61" s="373" t="s">
        <v>4</v>
      </c>
      <c r="N61" s="922"/>
      <c r="O61" s="922"/>
      <c r="P61" s="360"/>
      <c r="Q61" s="10"/>
    </row>
    <row r="62" spans="1:17" s="4" customFormat="1" ht="30" customHeight="1" x14ac:dyDescent="0.25">
      <c r="A62" s="883"/>
      <c r="B62" s="866"/>
      <c r="C62" s="866"/>
      <c r="D62" s="375"/>
      <c r="E62" s="376"/>
      <c r="F62" s="866"/>
      <c r="G62" s="866"/>
      <c r="H62" s="866"/>
      <c r="I62" s="866"/>
      <c r="J62" s="870"/>
      <c r="K62" s="877"/>
      <c r="L62" s="360">
        <v>12</v>
      </c>
      <c r="M62" s="373" t="s">
        <v>254</v>
      </c>
      <c r="N62" s="922"/>
      <c r="O62" s="922"/>
      <c r="P62" s="360"/>
      <c r="Q62" s="10"/>
    </row>
    <row r="63" spans="1:17" ht="30" customHeight="1" x14ac:dyDescent="0.25">
      <c r="A63" s="857"/>
      <c r="B63" s="859"/>
      <c r="C63" s="859"/>
      <c r="D63" s="360"/>
      <c r="E63" s="360"/>
      <c r="F63" s="859"/>
      <c r="G63" s="859"/>
      <c r="H63" s="859"/>
      <c r="I63" s="859"/>
      <c r="J63" s="863"/>
      <c r="K63" s="865"/>
      <c r="L63" s="361">
        <v>12</v>
      </c>
      <c r="M63" s="364" t="s">
        <v>253</v>
      </c>
      <c r="N63" s="510" t="s">
        <v>571</v>
      </c>
      <c r="O63" s="377" t="s">
        <v>1093</v>
      </c>
      <c r="P63" s="361"/>
      <c r="Q63" s="9"/>
    </row>
    <row r="64" spans="1:17" ht="30" customHeight="1" x14ac:dyDescent="0.25">
      <c r="A64" s="903">
        <v>27</v>
      </c>
      <c r="B64" s="661" t="s">
        <v>620</v>
      </c>
      <c r="C64" s="661" t="s">
        <v>621</v>
      </c>
      <c r="D64" s="493"/>
      <c r="E64" s="493"/>
      <c r="F64" s="661" t="s">
        <v>440</v>
      </c>
      <c r="G64" s="661"/>
      <c r="H64" s="661" t="s">
        <v>15</v>
      </c>
      <c r="I64" s="905">
        <v>7850717</v>
      </c>
      <c r="J64" s="908">
        <v>1</v>
      </c>
      <c r="K64" s="908">
        <v>30</v>
      </c>
      <c r="L64" s="267">
        <v>60</v>
      </c>
      <c r="M64" s="394" t="s">
        <v>4</v>
      </c>
      <c r="N64" s="661" t="s">
        <v>548</v>
      </c>
      <c r="O64" s="495"/>
      <c r="P64" s="267"/>
      <c r="Q64" s="9"/>
    </row>
    <row r="65" spans="1:17" ht="30" customHeight="1" x14ac:dyDescent="0.25">
      <c r="A65" s="666"/>
      <c r="B65" s="662"/>
      <c r="C65" s="662"/>
      <c r="D65" s="493"/>
      <c r="E65" s="493"/>
      <c r="F65" s="662"/>
      <c r="G65" s="662"/>
      <c r="H65" s="662"/>
      <c r="I65" s="906"/>
      <c r="J65" s="909"/>
      <c r="K65" s="909"/>
      <c r="L65" s="267">
        <v>12</v>
      </c>
      <c r="M65" s="394" t="s">
        <v>254</v>
      </c>
      <c r="N65" s="662"/>
      <c r="O65" s="267" t="s">
        <v>622</v>
      </c>
      <c r="P65" s="267"/>
      <c r="Q65" s="9"/>
    </row>
    <row r="66" spans="1:17" ht="30" customHeight="1" x14ac:dyDescent="0.25">
      <c r="A66" s="904"/>
      <c r="B66" s="673"/>
      <c r="C66" s="673"/>
      <c r="D66" s="493"/>
      <c r="E66" s="493"/>
      <c r="F66" s="673"/>
      <c r="G66" s="673"/>
      <c r="H66" s="673"/>
      <c r="I66" s="907"/>
      <c r="J66" s="910"/>
      <c r="K66" s="910"/>
      <c r="L66" s="267">
        <v>12</v>
      </c>
      <c r="M66" s="394" t="s">
        <v>9</v>
      </c>
      <c r="N66" s="673"/>
      <c r="O66" s="267"/>
      <c r="P66" s="267"/>
      <c r="Q66" s="9"/>
    </row>
    <row r="67" spans="1:17" ht="23.25" customHeight="1" x14ac:dyDescent="0.25">
      <c r="A67" s="856">
        <v>28</v>
      </c>
      <c r="B67" s="872" t="s">
        <v>623</v>
      </c>
      <c r="C67" s="872" t="s">
        <v>624</v>
      </c>
      <c r="D67" s="433"/>
      <c r="E67" s="433"/>
      <c r="F67" s="858" t="s">
        <v>486</v>
      </c>
      <c r="G67" s="901" t="s">
        <v>772</v>
      </c>
      <c r="H67" s="858" t="s">
        <v>20</v>
      </c>
      <c r="I67" s="858" t="s">
        <v>625</v>
      </c>
      <c r="J67" s="862">
        <v>19</v>
      </c>
      <c r="K67" s="862">
        <v>18</v>
      </c>
      <c r="L67" s="496">
        <v>20</v>
      </c>
      <c r="M67" s="364" t="s">
        <v>6</v>
      </c>
      <c r="N67" s="514" t="s">
        <v>19</v>
      </c>
      <c r="O67" s="858"/>
      <c r="P67" s="858"/>
      <c r="Q67" s="9"/>
    </row>
    <row r="68" spans="1:17" ht="24" customHeight="1" x14ac:dyDescent="0.25">
      <c r="A68" s="857"/>
      <c r="B68" s="880"/>
      <c r="C68" s="880"/>
      <c r="D68" s="433"/>
      <c r="E68" s="433"/>
      <c r="F68" s="859"/>
      <c r="G68" s="902"/>
      <c r="H68" s="859"/>
      <c r="I68" s="859"/>
      <c r="J68" s="869"/>
      <c r="K68" s="869"/>
      <c r="L68" s="496">
        <v>20</v>
      </c>
      <c r="M68" s="364" t="s">
        <v>254</v>
      </c>
      <c r="N68" s="514" t="s">
        <v>626</v>
      </c>
      <c r="O68" s="859"/>
      <c r="P68" s="859"/>
      <c r="Q68" s="9"/>
    </row>
    <row r="69" spans="1:17" ht="30" customHeight="1" x14ac:dyDescent="0.25">
      <c r="A69" s="365">
        <v>29</v>
      </c>
      <c r="B69" s="378" t="s">
        <v>627</v>
      </c>
      <c r="C69" s="360" t="s">
        <v>628</v>
      </c>
      <c r="D69" s="360"/>
      <c r="E69" s="360"/>
      <c r="F69" s="360" t="s">
        <v>418</v>
      </c>
      <c r="G69" s="360"/>
      <c r="H69" s="360" t="s">
        <v>629</v>
      </c>
      <c r="I69" s="368" t="s">
        <v>630</v>
      </c>
      <c r="J69" s="386">
        <v>1</v>
      </c>
      <c r="K69" s="386">
        <v>30</v>
      </c>
      <c r="L69" s="360">
        <v>20</v>
      </c>
      <c r="M69" s="373" t="s">
        <v>4</v>
      </c>
      <c r="N69" s="433" t="s">
        <v>854</v>
      </c>
      <c r="O69" s="379" t="s">
        <v>1061</v>
      </c>
      <c r="P69" s="360"/>
      <c r="Q69" s="9"/>
    </row>
    <row r="70" spans="1:17" ht="30" customHeight="1" x14ac:dyDescent="0.25">
      <c r="A70" s="239"/>
      <c r="B70" s="395" t="s">
        <v>631</v>
      </c>
      <c r="C70" s="240" t="s">
        <v>632</v>
      </c>
      <c r="D70" s="240"/>
      <c r="E70" s="240"/>
      <c r="F70" s="240"/>
      <c r="G70" s="240" t="s">
        <v>776</v>
      </c>
      <c r="H70" s="493" t="s">
        <v>15</v>
      </c>
      <c r="I70" s="240"/>
      <c r="J70" s="396">
        <v>11</v>
      </c>
      <c r="K70" s="396">
        <v>10</v>
      </c>
      <c r="L70" s="240">
        <v>120</v>
      </c>
      <c r="M70" s="397" t="s">
        <v>633</v>
      </c>
      <c r="N70" s="506" t="s">
        <v>548</v>
      </c>
      <c r="O70" s="240" t="s">
        <v>634</v>
      </c>
      <c r="P70" s="240"/>
      <c r="Q70" s="9"/>
    </row>
    <row r="71" spans="1:17" ht="20.25" customHeight="1" x14ac:dyDescent="0.25">
      <c r="A71" s="856">
        <v>30</v>
      </c>
      <c r="B71" s="872" t="s">
        <v>635</v>
      </c>
      <c r="C71" s="872" t="s">
        <v>636</v>
      </c>
      <c r="D71" s="360"/>
      <c r="E71" s="360"/>
      <c r="F71" s="872" t="s">
        <v>486</v>
      </c>
      <c r="G71" s="872" t="s">
        <v>778</v>
      </c>
      <c r="H71" s="872" t="s">
        <v>570</v>
      </c>
      <c r="I71" s="872"/>
      <c r="J71" s="911">
        <v>25</v>
      </c>
      <c r="K71" s="911">
        <v>24</v>
      </c>
      <c r="L71" s="360">
        <v>15</v>
      </c>
      <c r="M71" s="373" t="s">
        <v>6</v>
      </c>
      <c r="N71" s="872" t="s">
        <v>548</v>
      </c>
      <c r="O71" s="872" t="s">
        <v>827</v>
      </c>
      <c r="P71" s="360"/>
      <c r="Q71" s="9"/>
    </row>
    <row r="72" spans="1:17" ht="18.75" customHeight="1" x14ac:dyDescent="0.25">
      <c r="A72" s="883"/>
      <c r="B72" s="873"/>
      <c r="C72" s="873"/>
      <c r="D72" s="360"/>
      <c r="E72" s="360"/>
      <c r="F72" s="873"/>
      <c r="G72" s="873"/>
      <c r="H72" s="873"/>
      <c r="I72" s="873"/>
      <c r="J72" s="912"/>
      <c r="K72" s="912"/>
      <c r="L72" s="360">
        <v>15</v>
      </c>
      <c r="M72" s="373" t="s">
        <v>4</v>
      </c>
      <c r="N72" s="873"/>
      <c r="O72" s="873"/>
      <c r="P72" s="360"/>
      <c r="Q72" s="9"/>
    </row>
    <row r="73" spans="1:17" ht="20.25" customHeight="1" x14ac:dyDescent="0.25">
      <c r="A73" s="883"/>
      <c r="B73" s="873"/>
      <c r="C73" s="873"/>
      <c r="D73" s="360"/>
      <c r="E73" s="360"/>
      <c r="F73" s="873"/>
      <c r="G73" s="873"/>
      <c r="H73" s="873"/>
      <c r="I73" s="873"/>
      <c r="J73" s="912"/>
      <c r="K73" s="912"/>
      <c r="L73" s="360">
        <v>4</v>
      </c>
      <c r="M73" s="373" t="s">
        <v>9</v>
      </c>
      <c r="N73" s="873"/>
      <c r="O73" s="873"/>
      <c r="P73" s="360"/>
      <c r="Q73" s="9"/>
    </row>
    <row r="74" spans="1:17" ht="22.5" customHeight="1" x14ac:dyDescent="0.25">
      <c r="A74" s="883"/>
      <c r="B74" s="873"/>
      <c r="C74" s="873"/>
      <c r="D74" s="360"/>
      <c r="E74" s="360"/>
      <c r="F74" s="873"/>
      <c r="G74" s="873"/>
      <c r="H74" s="873"/>
      <c r="I74" s="873"/>
      <c r="J74" s="912"/>
      <c r="K74" s="912"/>
      <c r="L74" s="360">
        <v>1</v>
      </c>
      <c r="M74" s="373" t="s">
        <v>253</v>
      </c>
      <c r="N74" s="873"/>
      <c r="O74" s="873"/>
      <c r="P74" s="360"/>
      <c r="Q74" s="9"/>
    </row>
    <row r="75" spans="1:17" ht="19.5" customHeight="1" x14ac:dyDescent="0.25">
      <c r="A75" s="857"/>
      <c r="B75" s="880"/>
      <c r="C75" s="880"/>
      <c r="D75" s="360"/>
      <c r="E75" s="360"/>
      <c r="F75" s="880"/>
      <c r="G75" s="880"/>
      <c r="H75" s="880"/>
      <c r="I75" s="880"/>
      <c r="J75" s="913"/>
      <c r="K75" s="913"/>
      <c r="L75" s="360">
        <v>4</v>
      </c>
      <c r="M75" s="373" t="s">
        <v>254</v>
      </c>
      <c r="N75" s="880"/>
      <c r="O75" s="880"/>
      <c r="P75" s="360"/>
      <c r="Q75" s="9"/>
    </row>
    <row r="76" spans="1:17" s="2" customFormat="1" ht="24.75" customHeight="1" x14ac:dyDescent="0.25">
      <c r="A76" s="856">
        <v>31</v>
      </c>
      <c r="B76" s="872" t="s">
        <v>637</v>
      </c>
      <c r="C76" s="872" t="s">
        <v>638</v>
      </c>
      <c r="D76" s="360"/>
      <c r="E76" s="360"/>
      <c r="F76" s="872" t="s">
        <v>486</v>
      </c>
      <c r="G76" s="872" t="s">
        <v>767</v>
      </c>
      <c r="H76" s="872" t="s">
        <v>132</v>
      </c>
      <c r="I76" s="881" t="s">
        <v>639</v>
      </c>
      <c r="J76" s="864">
        <v>1</v>
      </c>
      <c r="K76" s="864">
        <v>30</v>
      </c>
      <c r="L76" s="360">
        <v>60</v>
      </c>
      <c r="M76" s="373" t="s">
        <v>6</v>
      </c>
      <c r="N76" s="433" t="s">
        <v>133</v>
      </c>
      <c r="O76" s="380"/>
      <c r="P76" s="381"/>
      <c r="Q76" s="27"/>
    </row>
    <row r="77" spans="1:17" ht="27" customHeight="1" x14ac:dyDescent="0.25">
      <c r="A77" s="857"/>
      <c r="B77" s="880"/>
      <c r="C77" s="880"/>
      <c r="D77" s="360"/>
      <c r="E77" s="360"/>
      <c r="F77" s="880"/>
      <c r="G77" s="880"/>
      <c r="H77" s="880"/>
      <c r="I77" s="882"/>
      <c r="J77" s="865"/>
      <c r="K77" s="865"/>
      <c r="L77" s="360">
        <v>60</v>
      </c>
      <c r="M77" s="373" t="s">
        <v>4</v>
      </c>
      <c r="N77" s="433" t="s">
        <v>133</v>
      </c>
      <c r="O77" s="372" t="s">
        <v>640</v>
      </c>
      <c r="P77" s="382"/>
      <c r="Q77" s="27"/>
    </row>
    <row r="78" spans="1:17" ht="27" customHeight="1" x14ac:dyDescent="0.25">
      <c r="A78" s="856">
        <v>32</v>
      </c>
      <c r="B78" s="872" t="s">
        <v>641</v>
      </c>
      <c r="C78" s="872" t="s">
        <v>642</v>
      </c>
      <c r="D78" s="360"/>
      <c r="E78" s="360"/>
      <c r="F78" s="872" t="s">
        <v>418</v>
      </c>
      <c r="G78" s="872"/>
      <c r="H78" s="872" t="s">
        <v>534</v>
      </c>
      <c r="I78" s="872">
        <v>3007763838</v>
      </c>
      <c r="J78" s="864">
        <v>1</v>
      </c>
      <c r="K78" s="864">
        <v>30</v>
      </c>
      <c r="L78" s="360">
        <v>30</v>
      </c>
      <c r="M78" s="373" t="s">
        <v>9</v>
      </c>
      <c r="N78" s="433" t="s">
        <v>689</v>
      </c>
      <c r="O78" s="372" t="s">
        <v>715</v>
      </c>
      <c r="P78" s="382"/>
      <c r="Q78" s="27"/>
    </row>
    <row r="79" spans="1:17" ht="44.25" customHeight="1" x14ac:dyDescent="0.25">
      <c r="A79" s="857"/>
      <c r="B79" s="880"/>
      <c r="C79" s="880"/>
      <c r="D79" s="360"/>
      <c r="E79" s="360"/>
      <c r="F79" s="880"/>
      <c r="G79" s="880"/>
      <c r="H79" s="880"/>
      <c r="I79" s="880"/>
      <c r="J79" s="865"/>
      <c r="K79" s="865"/>
      <c r="L79" s="360">
        <v>20</v>
      </c>
      <c r="M79" s="373" t="s">
        <v>4</v>
      </c>
      <c r="N79" s="433" t="s">
        <v>527</v>
      </c>
      <c r="O79" s="372" t="s">
        <v>643</v>
      </c>
      <c r="P79" s="382"/>
      <c r="Q79" s="11">
        <v>30000</v>
      </c>
    </row>
    <row r="80" spans="1:17" ht="24" customHeight="1" x14ac:dyDescent="0.25">
      <c r="A80" s="895">
        <v>33</v>
      </c>
      <c r="B80" s="887" t="s">
        <v>514</v>
      </c>
      <c r="C80" s="887" t="s">
        <v>645</v>
      </c>
      <c r="D80" s="887" t="s">
        <v>415</v>
      </c>
      <c r="E80" s="896">
        <v>78037181</v>
      </c>
      <c r="F80" s="887" t="s">
        <v>540</v>
      </c>
      <c r="G80" s="872" t="s">
        <v>791</v>
      </c>
      <c r="H80" s="887" t="s">
        <v>23</v>
      </c>
      <c r="I80" s="890">
        <v>3045339349</v>
      </c>
      <c r="J80" s="891">
        <v>15</v>
      </c>
      <c r="K80" s="892">
        <v>14</v>
      </c>
      <c r="L80" s="383">
        <v>20</v>
      </c>
      <c r="M80" s="384" t="s">
        <v>4</v>
      </c>
      <c r="N80" s="384" t="s">
        <v>24</v>
      </c>
      <c r="O80" s="872" t="s">
        <v>944</v>
      </c>
      <c r="P80" s="360"/>
      <c r="Q80" s="9"/>
    </row>
    <row r="81" spans="1:17" ht="24" customHeight="1" x14ac:dyDescent="0.25">
      <c r="A81" s="895"/>
      <c r="B81" s="888"/>
      <c r="C81" s="888"/>
      <c r="D81" s="888"/>
      <c r="E81" s="897"/>
      <c r="F81" s="888"/>
      <c r="G81" s="873"/>
      <c r="H81" s="888"/>
      <c r="I81" s="890"/>
      <c r="J81" s="891"/>
      <c r="K81" s="893"/>
      <c r="L81" s="383">
        <v>60</v>
      </c>
      <c r="M81" s="384" t="s">
        <v>6</v>
      </c>
      <c r="N81" s="384" t="s">
        <v>24</v>
      </c>
      <c r="O81" s="873"/>
      <c r="P81" s="360"/>
      <c r="Q81" s="9"/>
    </row>
    <row r="82" spans="1:17" ht="24" customHeight="1" x14ac:dyDescent="0.25">
      <c r="A82" s="895"/>
      <c r="B82" s="889"/>
      <c r="C82" s="889"/>
      <c r="D82" s="889"/>
      <c r="E82" s="898"/>
      <c r="F82" s="889"/>
      <c r="G82" s="880"/>
      <c r="H82" s="889"/>
      <c r="I82" s="890"/>
      <c r="J82" s="891"/>
      <c r="K82" s="894"/>
      <c r="L82" s="383">
        <v>20</v>
      </c>
      <c r="M82" s="384" t="s">
        <v>254</v>
      </c>
      <c r="N82" s="384" t="s">
        <v>595</v>
      </c>
      <c r="O82" s="880"/>
      <c r="P82" s="360"/>
      <c r="Q82" s="9"/>
    </row>
    <row r="83" spans="1:17" ht="47.25" customHeight="1" x14ac:dyDescent="0.25">
      <c r="A83" s="365">
        <v>34</v>
      </c>
      <c r="B83" s="360" t="s">
        <v>646</v>
      </c>
      <c r="C83" s="360" t="s">
        <v>647</v>
      </c>
      <c r="D83" s="360" t="s">
        <v>415</v>
      </c>
      <c r="E83" s="385">
        <v>50919775</v>
      </c>
      <c r="F83" s="360" t="s">
        <v>418</v>
      </c>
      <c r="G83" s="360"/>
      <c r="H83" s="433" t="s">
        <v>15</v>
      </c>
      <c r="I83" s="360"/>
      <c r="J83" s="386">
        <v>1</v>
      </c>
      <c r="K83" s="386">
        <v>30</v>
      </c>
      <c r="L83" s="360">
        <v>40</v>
      </c>
      <c r="M83" s="360" t="s">
        <v>4</v>
      </c>
      <c r="N83" s="433" t="s">
        <v>548</v>
      </c>
      <c r="O83" s="360" t="s">
        <v>1074</v>
      </c>
      <c r="P83" s="360"/>
      <c r="Q83" s="9"/>
    </row>
    <row r="84" spans="1:17" ht="30" customHeight="1" x14ac:dyDescent="0.25">
      <c r="A84" s="856">
        <v>35</v>
      </c>
      <c r="B84" s="872" t="s">
        <v>644</v>
      </c>
      <c r="C84" s="872" t="s">
        <v>648</v>
      </c>
      <c r="D84" s="433"/>
      <c r="E84" s="385"/>
      <c r="F84" s="872" t="s">
        <v>418</v>
      </c>
      <c r="G84" s="872" t="s">
        <v>777</v>
      </c>
      <c r="H84" s="872" t="s">
        <v>570</v>
      </c>
      <c r="I84" s="872">
        <v>3147929320</v>
      </c>
      <c r="J84" s="864">
        <v>30</v>
      </c>
      <c r="K84" s="864">
        <v>29</v>
      </c>
      <c r="L84" s="433">
        <v>30</v>
      </c>
      <c r="M84" s="433" t="s">
        <v>4</v>
      </c>
      <c r="N84" s="872" t="s">
        <v>548</v>
      </c>
      <c r="O84" s="872"/>
      <c r="P84" s="581"/>
      <c r="Q84" s="9"/>
    </row>
    <row r="85" spans="1:17" ht="30" customHeight="1" x14ac:dyDescent="0.25">
      <c r="A85" s="857"/>
      <c r="B85" s="880"/>
      <c r="C85" s="880"/>
      <c r="D85" s="433"/>
      <c r="E85" s="433"/>
      <c r="F85" s="880"/>
      <c r="G85" s="880"/>
      <c r="H85" s="880"/>
      <c r="I85" s="880"/>
      <c r="J85" s="865"/>
      <c r="K85" s="865"/>
      <c r="L85" s="433">
        <v>30</v>
      </c>
      <c r="M85" s="433" t="s">
        <v>6</v>
      </c>
      <c r="N85" s="880"/>
      <c r="O85" s="880"/>
      <c r="P85" s="433"/>
      <c r="Q85" s="9"/>
    </row>
    <row r="86" spans="1:17" s="4" customFormat="1" ht="30" customHeight="1" x14ac:dyDescent="0.25">
      <c r="A86" s="856">
        <v>36</v>
      </c>
      <c r="B86" s="872" t="s">
        <v>649</v>
      </c>
      <c r="C86" s="872" t="s">
        <v>650</v>
      </c>
      <c r="D86" s="872" t="s">
        <v>415</v>
      </c>
      <c r="E86" s="899">
        <v>78027242</v>
      </c>
      <c r="F86" s="872" t="s">
        <v>416</v>
      </c>
      <c r="G86" s="872" t="s">
        <v>755</v>
      </c>
      <c r="H86" s="872" t="s">
        <v>10</v>
      </c>
      <c r="I86" s="860">
        <v>3113286434</v>
      </c>
      <c r="J86" s="864">
        <v>22</v>
      </c>
      <c r="K86" s="864">
        <v>21</v>
      </c>
      <c r="L86" s="387">
        <v>30</v>
      </c>
      <c r="M86" s="360" t="s">
        <v>4</v>
      </c>
      <c r="N86" s="433" t="s">
        <v>8</v>
      </c>
      <c r="O86" s="878" t="s">
        <v>748</v>
      </c>
      <c r="P86" s="928" t="s">
        <v>1286</v>
      </c>
    </row>
    <row r="87" spans="1:17" s="4" customFormat="1" ht="30" customHeight="1" x14ac:dyDescent="0.25">
      <c r="A87" s="883"/>
      <c r="B87" s="873"/>
      <c r="C87" s="873"/>
      <c r="D87" s="873"/>
      <c r="E87" s="900"/>
      <c r="F87" s="873"/>
      <c r="G87" s="873"/>
      <c r="H87" s="873"/>
      <c r="I87" s="876"/>
      <c r="J87" s="877"/>
      <c r="K87" s="877"/>
      <c r="L87" s="387">
        <v>20</v>
      </c>
      <c r="M87" s="360" t="s">
        <v>6</v>
      </c>
      <c r="N87" s="433" t="s">
        <v>8</v>
      </c>
      <c r="O87" s="879"/>
      <c r="P87" s="928"/>
    </row>
    <row r="88" spans="1:17" s="4" customFormat="1" ht="30" customHeight="1" x14ac:dyDescent="0.25">
      <c r="A88" s="883"/>
      <c r="B88" s="873"/>
      <c r="C88" s="873"/>
      <c r="D88" s="873"/>
      <c r="E88" s="900"/>
      <c r="F88" s="873"/>
      <c r="G88" s="873"/>
      <c r="H88" s="873"/>
      <c r="I88" s="876"/>
      <c r="J88" s="877"/>
      <c r="K88" s="877"/>
      <c r="L88" s="387">
        <v>12</v>
      </c>
      <c r="M88" s="360" t="s">
        <v>254</v>
      </c>
      <c r="N88" s="433" t="s">
        <v>494</v>
      </c>
      <c r="O88" s="879"/>
      <c r="P88" s="928"/>
    </row>
    <row r="89" spans="1:17" s="4" customFormat="1" ht="30" customHeight="1" x14ac:dyDescent="0.25">
      <c r="A89" s="883"/>
      <c r="B89" s="873"/>
      <c r="C89" s="873"/>
      <c r="D89" s="880"/>
      <c r="E89" s="900"/>
      <c r="F89" s="873"/>
      <c r="G89" s="388"/>
      <c r="H89" s="873"/>
      <c r="I89" s="876"/>
      <c r="J89" s="877"/>
      <c r="K89" s="877"/>
      <c r="L89" s="389">
        <v>8</v>
      </c>
      <c r="M89" s="390" t="s">
        <v>9</v>
      </c>
      <c r="N89" s="509" t="s">
        <v>526</v>
      </c>
      <c r="O89" s="391" t="s">
        <v>747</v>
      </c>
      <c r="P89" s="928"/>
    </row>
    <row r="90" spans="1:17" ht="30" customHeight="1" x14ac:dyDescent="0.25">
      <c r="A90" s="856">
        <v>37</v>
      </c>
      <c r="B90" s="874" t="s">
        <v>651</v>
      </c>
      <c r="C90" s="874" t="s">
        <v>652</v>
      </c>
      <c r="D90" s="392"/>
      <c r="E90" s="392"/>
      <c r="F90" s="874" t="s">
        <v>418</v>
      </c>
      <c r="G90" s="858" t="s">
        <v>792</v>
      </c>
      <c r="H90" s="874" t="s">
        <v>23</v>
      </c>
      <c r="I90" s="874"/>
      <c r="J90" s="862">
        <v>1</v>
      </c>
      <c r="K90" s="864">
        <v>30</v>
      </c>
      <c r="L90" s="392">
        <v>20</v>
      </c>
      <c r="M90" s="392" t="s">
        <v>4</v>
      </c>
      <c r="N90" s="433" t="s">
        <v>24</v>
      </c>
      <c r="O90" s="360"/>
      <c r="P90" s="360"/>
    </row>
    <row r="91" spans="1:17" ht="30" customHeight="1" x14ac:dyDescent="0.25">
      <c r="A91" s="857"/>
      <c r="B91" s="875"/>
      <c r="C91" s="875"/>
      <c r="D91" s="360"/>
      <c r="E91" s="360"/>
      <c r="F91" s="875"/>
      <c r="G91" s="859"/>
      <c r="H91" s="875"/>
      <c r="I91" s="875"/>
      <c r="J91" s="863"/>
      <c r="K91" s="865"/>
      <c r="L91" s="392">
        <v>20</v>
      </c>
      <c r="M91" s="392" t="s">
        <v>9</v>
      </c>
      <c r="N91" s="433" t="s">
        <v>868</v>
      </c>
      <c r="O91" s="360"/>
      <c r="P91" s="360"/>
    </row>
    <row r="92" spans="1:17" ht="30" customHeight="1" x14ac:dyDescent="0.25">
      <c r="A92" s="856">
        <v>38</v>
      </c>
      <c r="B92" s="872" t="s">
        <v>653</v>
      </c>
      <c r="C92" s="872" t="s">
        <v>654</v>
      </c>
      <c r="D92" s="360"/>
      <c r="E92" s="360"/>
      <c r="F92" s="872" t="s">
        <v>655</v>
      </c>
      <c r="G92" s="872" t="s">
        <v>754</v>
      </c>
      <c r="H92" s="872" t="s">
        <v>10</v>
      </c>
      <c r="I92" s="872" t="s">
        <v>656</v>
      </c>
      <c r="J92" s="864">
        <v>1</v>
      </c>
      <c r="K92" s="864">
        <v>30</v>
      </c>
      <c r="L92" s="360">
        <v>12</v>
      </c>
      <c r="M92" s="360" t="s">
        <v>6</v>
      </c>
      <c r="N92" s="433" t="s">
        <v>8</v>
      </c>
      <c r="O92" s="872" t="s">
        <v>838</v>
      </c>
      <c r="P92" s="360"/>
    </row>
    <row r="93" spans="1:17" ht="30" customHeight="1" x14ac:dyDescent="0.25">
      <c r="A93" s="883"/>
      <c r="B93" s="873"/>
      <c r="C93" s="873"/>
      <c r="D93" s="360"/>
      <c r="E93" s="360"/>
      <c r="F93" s="873"/>
      <c r="G93" s="873"/>
      <c r="H93" s="873"/>
      <c r="I93" s="873"/>
      <c r="J93" s="877"/>
      <c r="K93" s="877"/>
      <c r="L93" s="360">
        <v>12</v>
      </c>
      <c r="M93" s="360" t="s">
        <v>4</v>
      </c>
      <c r="N93" s="433" t="s">
        <v>8</v>
      </c>
      <c r="O93" s="873"/>
      <c r="P93" s="360"/>
    </row>
    <row r="94" spans="1:17" ht="30" customHeight="1" x14ac:dyDescent="0.25">
      <c r="A94" s="857"/>
      <c r="B94" s="880"/>
      <c r="C94" s="880"/>
      <c r="D94" s="360"/>
      <c r="E94" s="360"/>
      <c r="F94" s="880"/>
      <c r="G94" s="880"/>
      <c r="H94" s="880"/>
      <c r="I94" s="880"/>
      <c r="J94" s="865"/>
      <c r="K94" s="865"/>
      <c r="L94" s="360">
        <v>8</v>
      </c>
      <c r="M94" s="360" t="s">
        <v>254</v>
      </c>
      <c r="N94" s="433" t="s">
        <v>494</v>
      </c>
      <c r="O94" s="880"/>
      <c r="P94" s="360"/>
    </row>
    <row r="95" spans="1:17" ht="30" customHeight="1" x14ac:dyDescent="0.25">
      <c r="A95" s="856">
        <v>39</v>
      </c>
      <c r="B95" s="872" t="s">
        <v>425</v>
      </c>
      <c r="C95" s="872" t="s">
        <v>657</v>
      </c>
      <c r="D95" s="360"/>
      <c r="E95" s="360"/>
      <c r="F95" s="872" t="s">
        <v>440</v>
      </c>
      <c r="G95" s="872"/>
      <c r="H95" s="872" t="s">
        <v>15</v>
      </c>
      <c r="I95" s="872" t="s">
        <v>895</v>
      </c>
      <c r="J95" s="864">
        <v>1</v>
      </c>
      <c r="K95" s="864">
        <v>30</v>
      </c>
      <c r="L95" s="360">
        <v>12</v>
      </c>
      <c r="M95" s="360" t="s">
        <v>4</v>
      </c>
      <c r="N95" s="433" t="s">
        <v>548</v>
      </c>
      <c r="O95" s="872" t="s">
        <v>688</v>
      </c>
      <c r="P95" s="872" t="s">
        <v>658</v>
      </c>
    </row>
    <row r="96" spans="1:17" ht="30" customHeight="1" x14ac:dyDescent="0.25">
      <c r="A96" s="857"/>
      <c r="B96" s="880"/>
      <c r="C96" s="880"/>
      <c r="D96" s="360"/>
      <c r="E96" s="360"/>
      <c r="F96" s="880"/>
      <c r="G96" s="880"/>
      <c r="H96" s="880"/>
      <c r="I96" s="880"/>
      <c r="J96" s="865"/>
      <c r="K96" s="865"/>
      <c r="L96" s="360">
        <v>12</v>
      </c>
      <c r="M96" s="360" t="s">
        <v>254</v>
      </c>
      <c r="N96" s="433" t="s">
        <v>548</v>
      </c>
      <c r="O96" s="873"/>
      <c r="P96" s="873"/>
    </row>
    <row r="97" spans="1:19" s="15" customFormat="1" ht="30" customHeight="1" x14ac:dyDescent="0.25">
      <c r="A97" s="856">
        <v>40</v>
      </c>
      <c r="B97" s="858" t="s">
        <v>532</v>
      </c>
      <c r="C97" s="858" t="s">
        <v>531</v>
      </c>
      <c r="D97" s="858" t="s">
        <v>415</v>
      </c>
      <c r="E97" s="884">
        <v>30571313</v>
      </c>
      <c r="F97" s="858" t="s">
        <v>416</v>
      </c>
      <c r="G97" s="858" t="s">
        <v>784</v>
      </c>
      <c r="H97" s="858" t="s">
        <v>21</v>
      </c>
      <c r="I97" s="858" t="s">
        <v>719</v>
      </c>
      <c r="J97" s="867">
        <v>14</v>
      </c>
      <c r="K97" s="862">
        <v>13</v>
      </c>
      <c r="L97" s="361">
        <v>20</v>
      </c>
      <c r="M97" s="361" t="s">
        <v>4</v>
      </c>
      <c r="N97" s="364" t="s">
        <v>7</v>
      </c>
      <c r="O97" s="858" t="s">
        <v>967</v>
      </c>
      <c r="P97" s="393"/>
      <c r="Q97" s="21"/>
      <c r="R97" s="871"/>
      <c r="S97" s="16"/>
    </row>
    <row r="98" spans="1:19" s="15" customFormat="1" ht="30" customHeight="1" x14ac:dyDescent="0.25">
      <c r="A98" s="883"/>
      <c r="B98" s="866"/>
      <c r="C98" s="866"/>
      <c r="D98" s="866"/>
      <c r="E98" s="885"/>
      <c r="F98" s="866"/>
      <c r="G98" s="866"/>
      <c r="H98" s="866"/>
      <c r="I98" s="866"/>
      <c r="J98" s="868"/>
      <c r="K98" s="870"/>
      <c r="L98" s="473">
        <v>30</v>
      </c>
      <c r="M98" s="473" t="s">
        <v>6</v>
      </c>
      <c r="N98" s="364" t="s">
        <v>7</v>
      </c>
      <c r="O98" s="866"/>
      <c r="P98" s="393"/>
      <c r="Q98" s="21"/>
      <c r="R98" s="871"/>
      <c r="S98" s="16"/>
    </row>
    <row r="99" spans="1:19" s="15" customFormat="1" ht="30" customHeight="1" x14ac:dyDescent="0.25">
      <c r="A99" s="857"/>
      <c r="B99" s="859"/>
      <c r="C99" s="859"/>
      <c r="D99" s="859"/>
      <c r="E99" s="886"/>
      <c r="F99" s="859"/>
      <c r="G99" s="859"/>
      <c r="H99" s="859"/>
      <c r="I99" s="859"/>
      <c r="J99" s="869"/>
      <c r="K99" s="863"/>
      <c r="L99" s="361">
        <v>20</v>
      </c>
      <c r="M99" s="361" t="s">
        <v>9</v>
      </c>
      <c r="N99" s="364" t="s">
        <v>510</v>
      </c>
      <c r="O99" s="859"/>
      <c r="P99" s="393"/>
      <c r="Q99" s="21"/>
      <c r="R99" s="871"/>
      <c r="S99" s="16"/>
    </row>
    <row r="100" spans="1:19" ht="30" customHeight="1" x14ac:dyDescent="0.25">
      <c r="A100" s="519">
        <v>41</v>
      </c>
      <c r="B100" s="520" t="s">
        <v>908</v>
      </c>
      <c r="C100" s="520" t="s">
        <v>909</v>
      </c>
      <c r="D100" s="360" t="s">
        <v>415</v>
      </c>
      <c r="E100" s="360">
        <v>22156814</v>
      </c>
      <c r="F100" s="520" t="s">
        <v>418</v>
      </c>
      <c r="G100" s="520" t="s">
        <v>910</v>
      </c>
      <c r="H100" s="520" t="s">
        <v>570</v>
      </c>
      <c r="I100" s="520"/>
      <c r="J100" s="521">
        <v>1</v>
      </c>
      <c r="K100" s="521">
        <v>30</v>
      </c>
      <c r="L100" s="360">
        <v>12</v>
      </c>
      <c r="M100" s="360" t="s">
        <v>4</v>
      </c>
      <c r="N100" s="433" t="s">
        <v>548</v>
      </c>
      <c r="O100" s="360" t="s">
        <v>911</v>
      </c>
      <c r="P100" s="360"/>
    </row>
    <row r="101" spans="1:19" ht="30" customHeight="1" x14ac:dyDescent="0.25">
      <c r="A101" s="669"/>
      <c r="B101" s="617" t="s">
        <v>247</v>
      </c>
      <c r="C101" s="617" t="s">
        <v>1176</v>
      </c>
      <c r="D101" s="229"/>
      <c r="E101" s="229"/>
      <c r="F101" s="622" t="s">
        <v>416</v>
      </c>
      <c r="G101" s="617"/>
      <c r="H101" s="617" t="s">
        <v>15</v>
      </c>
      <c r="I101" s="617" t="s">
        <v>1177</v>
      </c>
      <c r="J101" s="854">
        <v>13</v>
      </c>
      <c r="K101" s="854">
        <v>12</v>
      </c>
      <c r="L101" s="229">
        <v>20</v>
      </c>
      <c r="M101" s="229" t="s">
        <v>4</v>
      </c>
      <c r="N101" s="511" t="s">
        <v>548</v>
      </c>
      <c r="O101" s="617" t="s">
        <v>1204</v>
      </c>
      <c r="P101" s="229"/>
    </row>
    <row r="102" spans="1:19" ht="30" customHeight="1" x14ac:dyDescent="0.25">
      <c r="A102" s="670"/>
      <c r="B102" s="618"/>
      <c r="C102" s="618"/>
      <c r="D102" s="229"/>
      <c r="E102" s="229"/>
      <c r="F102" s="623"/>
      <c r="G102" s="618"/>
      <c r="H102" s="618"/>
      <c r="I102" s="618"/>
      <c r="J102" s="855"/>
      <c r="K102" s="855"/>
      <c r="L102" s="229">
        <v>30</v>
      </c>
      <c r="M102" s="229" t="s">
        <v>6</v>
      </c>
      <c r="N102" s="511" t="s">
        <v>548</v>
      </c>
      <c r="O102" s="618"/>
      <c r="P102" s="229"/>
    </row>
    <row r="103" spans="1:19" ht="30" customHeight="1" x14ac:dyDescent="0.25">
      <c r="A103" s="413">
        <v>42</v>
      </c>
      <c r="B103" s="412" t="s">
        <v>1193</v>
      </c>
      <c r="C103" s="412" t="s">
        <v>1194</v>
      </c>
      <c r="D103" s="412" t="s">
        <v>415</v>
      </c>
      <c r="E103" s="434">
        <v>26060033</v>
      </c>
      <c r="F103" s="412" t="s">
        <v>486</v>
      </c>
      <c r="G103" s="412" t="s">
        <v>754</v>
      </c>
      <c r="H103" s="412" t="s">
        <v>274</v>
      </c>
      <c r="I103" s="436" t="s">
        <v>1195</v>
      </c>
      <c r="J103" s="446">
        <v>25</v>
      </c>
      <c r="K103" s="446">
        <v>24</v>
      </c>
      <c r="L103" s="446">
        <v>12</v>
      </c>
      <c r="M103" s="435" t="s">
        <v>254</v>
      </c>
      <c r="N103" s="514" t="s">
        <v>154</v>
      </c>
      <c r="O103" s="412" t="s">
        <v>1219</v>
      </c>
      <c r="P103" s="412"/>
    </row>
    <row r="104" spans="1:19" s="6" customFormat="1" ht="30" customHeight="1" x14ac:dyDescent="0.25">
      <c r="A104" s="856">
        <v>43</v>
      </c>
      <c r="B104" s="872" t="s">
        <v>916</v>
      </c>
      <c r="C104" s="872" t="s">
        <v>917</v>
      </c>
      <c r="D104" s="872" t="s">
        <v>415</v>
      </c>
      <c r="E104" s="899">
        <v>1070819919</v>
      </c>
      <c r="F104" s="872" t="s">
        <v>486</v>
      </c>
      <c r="G104" s="872" t="s">
        <v>750</v>
      </c>
      <c r="H104" s="872" t="s">
        <v>570</v>
      </c>
      <c r="I104" s="872">
        <v>3206131324</v>
      </c>
      <c r="J104" s="864">
        <v>10</v>
      </c>
      <c r="K104" s="864">
        <v>9</v>
      </c>
      <c r="L104" s="433">
        <v>60</v>
      </c>
      <c r="M104" s="433" t="s">
        <v>6</v>
      </c>
      <c r="N104" s="433" t="s">
        <v>548</v>
      </c>
      <c r="O104" s="433" t="s">
        <v>1318</v>
      </c>
      <c r="P104" s="373"/>
      <c r="Q104" s="523"/>
    </row>
    <row r="105" spans="1:19" s="6" customFormat="1" ht="30" customHeight="1" x14ac:dyDescent="0.25">
      <c r="A105" s="883"/>
      <c r="B105" s="873"/>
      <c r="C105" s="873"/>
      <c r="D105" s="880"/>
      <c r="E105" s="936"/>
      <c r="F105" s="873"/>
      <c r="G105" s="873"/>
      <c r="H105" s="873"/>
      <c r="I105" s="873"/>
      <c r="J105" s="877"/>
      <c r="K105" s="877"/>
      <c r="L105" s="433">
        <v>60</v>
      </c>
      <c r="M105" s="433" t="s">
        <v>4</v>
      </c>
      <c r="N105" s="433" t="s">
        <v>548</v>
      </c>
      <c r="O105" s="433" t="s">
        <v>1318</v>
      </c>
      <c r="P105" s="373"/>
      <c r="Q105" s="523"/>
    </row>
    <row r="106" spans="1:19" s="6" customFormat="1" ht="30" customHeight="1" x14ac:dyDescent="0.25">
      <c r="A106" s="883"/>
      <c r="B106" s="873"/>
      <c r="C106" s="873"/>
      <c r="D106" s="512"/>
      <c r="E106" s="513"/>
      <c r="F106" s="873"/>
      <c r="G106" s="873"/>
      <c r="H106" s="873"/>
      <c r="I106" s="873"/>
      <c r="J106" s="877"/>
      <c r="K106" s="877"/>
      <c r="L106" s="433">
        <v>4</v>
      </c>
      <c r="M106" s="433" t="s">
        <v>254</v>
      </c>
      <c r="N106" s="433" t="s">
        <v>548</v>
      </c>
      <c r="O106" s="872" t="s">
        <v>1319</v>
      </c>
      <c r="P106" s="373"/>
      <c r="Q106" s="523"/>
    </row>
    <row r="107" spans="1:19" s="6" customFormat="1" ht="30" customHeight="1" x14ac:dyDescent="0.25">
      <c r="A107" s="883"/>
      <c r="B107" s="873"/>
      <c r="C107" s="873"/>
      <c r="D107" s="512"/>
      <c r="E107" s="513"/>
      <c r="F107" s="873"/>
      <c r="G107" s="873"/>
      <c r="H107" s="873"/>
      <c r="I107" s="873"/>
      <c r="J107" s="877"/>
      <c r="K107" s="877"/>
      <c r="L107" s="433">
        <v>4</v>
      </c>
      <c r="M107" s="433" t="s">
        <v>9</v>
      </c>
      <c r="N107" s="433" t="s">
        <v>548</v>
      </c>
      <c r="O107" s="873"/>
      <c r="P107" s="373"/>
      <c r="Q107" s="523"/>
    </row>
    <row r="108" spans="1:19" s="6" customFormat="1" ht="30" customHeight="1" x14ac:dyDescent="0.25">
      <c r="A108" s="857"/>
      <c r="B108" s="880"/>
      <c r="C108" s="880"/>
      <c r="D108" s="512"/>
      <c r="E108" s="513"/>
      <c r="F108" s="880"/>
      <c r="G108" s="880"/>
      <c r="H108" s="880"/>
      <c r="I108" s="880"/>
      <c r="J108" s="865"/>
      <c r="K108" s="865"/>
      <c r="L108" s="433">
        <v>1</v>
      </c>
      <c r="M108" s="433" t="s">
        <v>253</v>
      </c>
      <c r="N108" s="433" t="s">
        <v>548</v>
      </c>
      <c r="O108" s="880"/>
      <c r="P108" s="373"/>
      <c r="Q108" s="523"/>
    </row>
    <row r="109" spans="1:19" s="6" customFormat="1" ht="30" customHeight="1" x14ac:dyDescent="0.25">
      <c r="A109" s="856">
        <v>44</v>
      </c>
      <c r="B109" s="872" t="s">
        <v>1243</v>
      </c>
      <c r="C109" s="872" t="s">
        <v>1244</v>
      </c>
      <c r="D109" s="872" t="s">
        <v>415</v>
      </c>
      <c r="E109" s="899">
        <v>6890362</v>
      </c>
      <c r="F109" s="872" t="s">
        <v>486</v>
      </c>
      <c r="G109" s="872" t="s">
        <v>997</v>
      </c>
      <c r="H109" s="872" t="s">
        <v>570</v>
      </c>
      <c r="I109" s="872">
        <v>3218441700</v>
      </c>
      <c r="J109" s="864">
        <v>22</v>
      </c>
      <c r="K109" s="864">
        <v>21</v>
      </c>
      <c r="L109" s="433">
        <v>20</v>
      </c>
      <c r="M109" s="433" t="s">
        <v>4</v>
      </c>
      <c r="N109" s="433" t="s">
        <v>548</v>
      </c>
      <c r="O109" s="433" t="s">
        <v>1320</v>
      </c>
      <c r="P109" s="373"/>
      <c r="Q109" s="523"/>
    </row>
    <row r="110" spans="1:19" s="6" customFormat="1" ht="30" customHeight="1" x14ac:dyDescent="0.25">
      <c r="A110" s="883"/>
      <c r="B110" s="873"/>
      <c r="C110" s="873"/>
      <c r="D110" s="880"/>
      <c r="E110" s="936"/>
      <c r="F110" s="873"/>
      <c r="G110" s="873"/>
      <c r="H110" s="873"/>
      <c r="I110" s="873"/>
      <c r="J110" s="877"/>
      <c r="K110" s="877"/>
      <c r="L110" s="433">
        <v>90</v>
      </c>
      <c r="M110" s="433" t="s">
        <v>6</v>
      </c>
      <c r="N110" s="433" t="s">
        <v>548</v>
      </c>
      <c r="O110" s="433" t="s">
        <v>1321</v>
      </c>
      <c r="P110" s="373"/>
      <c r="Q110" s="523"/>
    </row>
    <row r="111" spans="1:19" ht="30" customHeight="1" x14ac:dyDescent="0.25">
      <c r="A111" s="883"/>
      <c r="B111" s="873"/>
      <c r="C111" s="873"/>
      <c r="D111" s="433"/>
      <c r="E111" s="433"/>
      <c r="F111" s="873"/>
      <c r="G111" s="873"/>
      <c r="H111" s="873"/>
      <c r="I111" s="873"/>
      <c r="J111" s="877"/>
      <c r="K111" s="877"/>
      <c r="L111" s="433">
        <v>4</v>
      </c>
      <c r="M111" s="433" t="s">
        <v>254</v>
      </c>
      <c r="N111" s="433" t="s">
        <v>548</v>
      </c>
      <c r="O111" s="872" t="s">
        <v>1319</v>
      </c>
      <c r="P111" s="433"/>
    </row>
    <row r="112" spans="1:19" ht="30" customHeight="1" x14ac:dyDescent="0.25">
      <c r="A112" s="883"/>
      <c r="B112" s="873"/>
      <c r="C112" s="873"/>
      <c r="D112" s="433"/>
      <c r="E112" s="433"/>
      <c r="F112" s="873"/>
      <c r="G112" s="873"/>
      <c r="H112" s="873"/>
      <c r="I112" s="873"/>
      <c r="J112" s="877"/>
      <c r="K112" s="877"/>
      <c r="L112" s="433">
        <v>4</v>
      </c>
      <c r="M112" s="433" t="s">
        <v>9</v>
      </c>
      <c r="N112" s="433" t="s">
        <v>548</v>
      </c>
      <c r="O112" s="873"/>
      <c r="P112" s="433"/>
    </row>
    <row r="113" spans="1:16" ht="30" customHeight="1" x14ac:dyDescent="0.25">
      <c r="A113" s="857"/>
      <c r="B113" s="880"/>
      <c r="C113" s="880"/>
      <c r="D113" s="433"/>
      <c r="E113" s="433"/>
      <c r="F113" s="880"/>
      <c r="G113" s="880"/>
      <c r="H113" s="880"/>
      <c r="I113" s="880"/>
      <c r="J113" s="865"/>
      <c r="K113" s="865"/>
      <c r="L113" s="433">
        <v>1</v>
      </c>
      <c r="M113" s="433" t="s">
        <v>253</v>
      </c>
      <c r="N113" s="433" t="s">
        <v>548</v>
      </c>
      <c r="O113" s="880"/>
      <c r="P113" s="433"/>
    </row>
    <row r="114" spans="1:16" ht="30" customHeight="1" x14ac:dyDescent="0.25">
      <c r="A114" s="432"/>
      <c r="B114" s="433"/>
      <c r="C114" s="433"/>
      <c r="D114" s="433"/>
      <c r="E114" s="433"/>
      <c r="F114" s="433"/>
      <c r="G114" s="433"/>
      <c r="H114" s="433"/>
      <c r="I114" s="433"/>
      <c r="J114" s="386"/>
      <c r="K114" s="386"/>
      <c r="L114" s="433"/>
      <c r="M114" s="433"/>
      <c r="N114" s="433"/>
      <c r="O114" s="433"/>
      <c r="P114" s="433"/>
    </row>
    <row r="115" spans="1:16" ht="30" customHeight="1" x14ac:dyDescent="0.25">
      <c r="A115" s="432"/>
      <c r="B115" s="433"/>
      <c r="C115" s="433"/>
      <c r="D115" s="433"/>
      <c r="E115" s="433"/>
      <c r="F115" s="433"/>
      <c r="G115" s="433"/>
      <c r="H115" s="433"/>
      <c r="I115" s="433"/>
      <c r="J115" s="386"/>
      <c r="K115" s="386"/>
      <c r="L115" s="433">
        <f>SUBTOTAL(9,L4:L114)</f>
        <v>2826</v>
      </c>
      <c r="M115" s="433"/>
      <c r="N115" s="433"/>
      <c r="O115" s="433"/>
      <c r="P115" s="433"/>
    </row>
    <row r="116" spans="1:16" ht="30" customHeight="1" x14ac:dyDescent="0.25">
      <c r="A116" s="432"/>
      <c r="B116" s="433"/>
      <c r="C116" s="433"/>
      <c r="D116" s="433"/>
      <c r="E116" s="433"/>
      <c r="F116" s="433"/>
      <c r="G116" s="433"/>
      <c r="H116" s="433"/>
      <c r="I116" s="433"/>
      <c r="J116" s="386"/>
      <c r="K116" s="386"/>
      <c r="L116" s="433"/>
      <c r="M116" s="433"/>
      <c r="N116" s="433"/>
      <c r="O116" s="433"/>
      <c r="P116" s="433"/>
    </row>
    <row r="117" spans="1:16" ht="30" customHeight="1" x14ac:dyDescent="0.25">
      <c r="A117" s="432"/>
      <c r="B117" s="433"/>
      <c r="C117" s="433"/>
      <c r="D117" s="433"/>
      <c r="E117" s="433"/>
      <c r="F117" s="433"/>
      <c r="G117" s="433"/>
      <c r="H117" s="433"/>
      <c r="I117" s="433"/>
      <c r="J117" s="386"/>
      <c r="K117" s="386"/>
      <c r="L117" s="433"/>
      <c r="M117" s="433"/>
      <c r="N117" s="433"/>
      <c r="O117" s="433"/>
      <c r="P117" s="433"/>
    </row>
  </sheetData>
  <autoFilter ref="B1:Q113"/>
  <mergeCells count="357">
    <mergeCell ref="O106:O108"/>
    <mergeCell ref="O111:O113"/>
    <mergeCell ref="A104:A108"/>
    <mergeCell ref="B104:B108"/>
    <mergeCell ref="C104:C108"/>
    <mergeCell ref="F104:F108"/>
    <mergeCell ref="G104:G108"/>
    <mergeCell ref="H104:H108"/>
    <mergeCell ref="I104:I108"/>
    <mergeCell ref="J104:J108"/>
    <mergeCell ref="K104:K108"/>
    <mergeCell ref="D109:D110"/>
    <mergeCell ref="E109:E110"/>
    <mergeCell ref="A109:A113"/>
    <mergeCell ref="B109:B113"/>
    <mergeCell ref="C109:C113"/>
    <mergeCell ref="F109:F113"/>
    <mergeCell ref="G109:G113"/>
    <mergeCell ref="H109:H113"/>
    <mergeCell ref="I109:I113"/>
    <mergeCell ref="J109:J113"/>
    <mergeCell ref="K109:K113"/>
    <mergeCell ref="D104:D105"/>
    <mergeCell ref="E104:E105"/>
    <mergeCell ref="O101:O102"/>
    <mergeCell ref="O20:O21"/>
    <mergeCell ref="I2:I3"/>
    <mergeCell ref="J2:J3"/>
    <mergeCell ref="K2:K3"/>
    <mergeCell ref="A4:A6"/>
    <mergeCell ref="B4:B6"/>
    <mergeCell ref="C4:C6"/>
    <mergeCell ref="F4:F6"/>
    <mergeCell ref="H4:H6"/>
    <mergeCell ref="I4:I6"/>
    <mergeCell ref="J4:J6"/>
    <mergeCell ref="A2:A3"/>
    <mergeCell ref="B2:B3"/>
    <mergeCell ref="C2:C3"/>
    <mergeCell ref="F2:F3"/>
    <mergeCell ref="G2:G3"/>
    <mergeCell ref="H2:H3"/>
    <mergeCell ref="K4:K6"/>
    <mergeCell ref="G4:G6"/>
    <mergeCell ref="B7:B9"/>
    <mergeCell ref="I7:I9"/>
    <mergeCell ref="J7:J9"/>
    <mergeCell ref="K7:K9"/>
    <mergeCell ref="I16:I19"/>
    <mergeCell ref="P86:P89"/>
    <mergeCell ref="G80:G82"/>
    <mergeCell ref="G97:G99"/>
    <mergeCell ref="G54:G56"/>
    <mergeCell ref="J14:J15"/>
    <mergeCell ref="K14:K15"/>
    <mergeCell ref="J20:J21"/>
    <mergeCell ref="K20:K21"/>
    <mergeCell ref="I22:I23"/>
    <mergeCell ref="J22:J23"/>
    <mergeCell ref="K22:K23"/>
    <mergeCell ref="J24:J28"/>
    <mergeCell ref="K24:K28"/>
    <mergeCell ref="N24:N28"/>
    <mergeCell ref="O24:O28"/>
    <mergeCell ref="N29:N33"/>
    <mergeCell ref="O31:O33"/>
    <mergeCell ref="K60:K63"/>
    <mergeCell ref="J16:J19"/>
    <mergeCell ref="K16:K19"/>
    <mergeCell ref="I20:I21"/>
    <mergeCell ref="O43:O44"/>
    <mergeCell ref="I24:I28"/>
    <mergeCell ref="J12:J13"/>
    <mergeCell ref="K12:K13"/>
    <mergeCell ref="A14:A15"/>
    <mergeCell ref="B14:B15"/>
    <mergeCell ref="C14:C15"/>
    <mergeCell ref="F14:F15"/>
    <mergeCell ref="G14:G15"/>
    <mergeCell ref="H14:H15"/>
    <mergeCell ref="I14:I15"/>
    <mergeCell ref="A12:A13"/>
    <mergeCell ref="B12:B13"/>
    <mergeCell ref="C12:C13"/>
    <mergeCell ref="F12:F13"/>
    <mergeCell ref="G12:G13"/>
    <mergeCell ref="H12:H13"/>
    <mergeCell ref="I12:I13"/>
    <mergeCell ref="C7:C9"/>
    <mergeCell ref="F7:F9"/>
    <mergeCell ref="G7:G9"/>
    <mergeCell ref="H7:H9"/>
    <mergeCell ref="A7:A9"/>
    <mergeCell ref="A20:A21"/>
    <mergeCell ref="B20:B21"/>
    <mergeCell ref="C20:C21"/>
    <mergeCell ref="F20:F21"/>
    <mergeCell ref="G20:G21"/>
    <mergeCell ref="H20:H21"/>
    <mergeCell ref="A16:A19"/>
    <mergeCell ref="B16:B19"/>
    <mergeCell ref="C16:C19"/>
    <mergeCell ref="F16:F19"/>
    <mergeCell ref="G16:G19"/>
    <mergeCell ref="H16:H19"/>
    <mergeCell ref="B22:B23"/>
    <mergeCell ref="C22:C23"/>
    <mergeCell ref="F22:F23"/>
    <mergeCell ref="G22:G23"/>
    <mergeCell ref="H22:H23"/>
    <mergeCell ref="A29:A33"/>
    <mergeCell ref="B29:B33"/>
    <mergeCell ref="C29:C33"/>
    <mergeCell ref="F29:F33"/>
    <mergeCell ref="G29:G33"/>
    <mergeCell ref="H29:H33"/>
    <mergeCell ref="A24:A28"/>
    <mergeCell ref="B24:B28"/>
    <mergeCell ref="C24:C28"/>
    <mergeCell ref="F24:F28"/>
    <mergeCell ref="G24:G28"/>
    <mergeCell ref="H24:H28"/>
    <mergeCell ref="A22:A23"/>
    <mergeCell ref="I29:I33"/>
    <mergeCell ref="J29:J33"/>
    <mergeCell ref="K29:K33"/>
    <mergeCell ref="A35:A36"/>
    <mergeCell ref="B35:B36"/>
    <mergeCell ref="C35:C36"/>
    <mergeCell ref="F35:F36"/>
    <mergeCell ref="G35:G36"/>
    <mergeCell ref="H35:H36"/>
    <mergeCell ref="I35:I36"/>
    <mergeCell ref="J35:J36"/>
    <mergeCell ref="K35:K36"/>
    <mergeCell ref="A39:A41"/>
    <mergeCell ref="B39:B41"/>
    <mergeCell ref="C39:C41"/>
    <mergeCell ref="F39:F41"/>
    <mergeCell ref="G39:G41"/>
    <mergeCell ref="H39:H41"/>
    <mergeCell ref="I39:I41"/>
    <mergeCell ref="J39:J41"/>
    <mergeCell ref="K39:K41"/>
    <mergeCell ref="I42:I44"/>
    <mergeCell ref="J42:J44"/>
    <mergeCell ref="K42:K44"/>
    <mergeCell ref="A45:A47"/>
    <mergeCell ref="B45:B47"/>
    <mergeCell ref="C45:C47"/>
    <mergeCell ref="F45:F47"/>
    <mergeCell ref="H45:H47"/>
    <mergeCell ref="I45:I47"/>
    <mergeCell ref="J45:J47"/>
    <mergeCell ref="K45:K47"/>
    <mergeCell ref="G45:G47"/>
    <mergeCell ref="A42:A44"/>
    <mergeCell ref="B42:B44"/>
    <mergeCell ref="C42:C44"/>
    <mergeCell ref="F42:F44"/>
    <mergeCell ref="H42:H44"/>
    <mergeCell ref="G42:G44"/>
    <mergeCell ref="A48:A50"/>
    <mergeCell ref="B48:B50"/>
    <mergeCell ref="C48:C50"/>
    <mergeCell ref="F48:F50"/>
    <mergeCell ref="G48:G50"/>
    <mergeCell ref="H48:H50"/>
    <mergeCell ref="J51:J52"/>
    <mergeCell ref="K51:K52"/>
    <mergeCell ref="O51:O52"/>
    <mergeCell ref="A51:A52"/>
    <mergeCell ref="B51:B52"/>
    <mergeCell ref="C51:C52"/>
    <mergeCell ref="F51:F52"/>
    <mergeCell ref="G51:G52"/>
    <mergeCell ref="H51:H52"/>
    <mergeCell ref="I51:I52"/>
    <mergeCell ref="I48:I50"/>
    <mergeCell ref="J48:J50"/>
    <mergeCell ref="K48:K50"/>
    <mergeCell ref="A54:A56"/>
    <mergeCell ref="B54:B56"/>
    <mergeCell ref="C54:C56"/>
    <mergeCell ref="F54:F56"/>
    <mergeCell ref="H54:H56"/>
    <mergeCell ref="I54:I56"/>
    <mergeCell ref="J54:J56"/>
    <mergeCell ref="K54:K56"/>
    <mergeCell ref="O54:O56"/>
    <mergeCell ref="I57:I59"/>
    <mergeCell ref="J57:J59"/>
    <mergeCell ref="K57:K59"/>
    <mergeCell ref="O57:O59"/>
    <mergeCell ref="A60:A63"/>
    <mergeCell ref="B60:B63"/>
    <mergeCell ref="C60:C63"/>
    <mergeCell ref="F60:F63"/>
    <mergeCell ref="G60:G63"/>
    <mergeCell ref="H60:H63"/>
    <mergeCell ref="I60:I63"/>
    <mergeCell ref="J60:J63"/>
    <mergeCell ref="A57:A59"/>
    <mergeCell ref="B57:B59"/>
    <mergeCell ref="C57:C59"/>
    <mergeCell ref="D57:D59"/>
    <mergeCell ref="E57:E59"/>
    <mergeCell ref="F57:F59"/>
    <mergeCell ref="H57:H59"/>
    <mergeCell ref="O60:O62"/>
    <mergeCell ref="N60:N62"/>
    <mergeCell ref="P67:P68"/>
    <mergeCell ref="H64:H66"/>
    <mergeCell ref="I64:I66"/>
    <mergeCell ref="J64:J66"/>
    <mergeCell ref="K64:K66"/>
    <mergeCell ref="N64:N66"/>
    <mergeCell ref="I71:I75"/>
    <mergeCell ref="J71:J75"/>
    <mergeCell ref="K71:K75"/>
    <mergeCell ref="N71:N75"/>
    <mergeCell ref="O71:O75"/>
    <mergeCell ref="H67:H68"/>
    <mergeCell ref="I67:I68"/>
    <mergeCell ref="J67:J68"/>
    <mergeCell ref="K67:K68"/>
    <mergeCell ref="O67:O68"/>
    <mergeCell ref="A76:A77"/>
    <mergeCell ref="B76:B77"/>
    <mergeCell ref="C76:C77"/>
    <mergeCell ref="F76:F77"/>
    <mergeCell ref="G76:G77"/>
    <mergeCell ref="H76:H77"/>
    <mergeCell ref="A71:A75"/>
    <mergeCell ref="B71:B75"/>
    <mergeCell ref="C71:C75"/>
    <mergeCell ref="F71:F75"/>
    <mergeCell ref="G71:G75"/>
    <mergeCell ref="H71:H75"/>
    <mergeCell ref="A67:A68"/>
    <mergeCell ref="B67:B68"/>
    <mergeCell ref="C67:C68"/>
    <mergeCell ref="F67:F68"/>
    <mergeCell ref="G67:G68"/>
    <mergeCell ref="A64:A66"/>
    <mergeCell ref="B64:B66"/>
    <mergeCell ref="C64:C66"/>
    <mergeCell ref="F64:F66"/>
    <mergeCell ref="G64:G66"/>
    <mergeCell ref="J78:J79"/>
    <mergeCell ref="K78:K79"/>
    <mergeCell ref="A78:A79"/>
    <mergeCell ref="B78:B79"/>
    <mergeCell ref="C78:C79"/>
    <mergeCell ref="F78:F79"/>
    <mergeCell ref="G78:G79"/>
    <mergeCell ref="H78:H79"/>
    <mergeCell ref="I78:I79"/>
    <mergeCell ref="I84:I85"/>
    <mergeCell ref="J84:J85"/>
    <mergeCell ref="H80:H82"/>
    <mergeCell ref="I80:I82"/>
    <mergeCell ref="J80:J82"/>
    <mergeCell ref="K80:K82"/>
    <mergeCell ref="A90:A91"/>
    <mergeCell ref="B90:B91"/>
    <mergeCell ref="C90:C91"/>
    <mergeCell ref="F90:F91"/>
    <mergeCell ref="G90:G91"/>
    <mergeCell ref="H90:H91"/>
    <mergeCell ref="A80:A82"/>
    <mergeCell ref="B80:B82"/>
    <mergeCell ref="C80:C82"/>
    <mergeCell ref="D80:D82"/>
    <mergeCell ref="E80:E82"/>
    <mergeCell ref="F80:F82"/>
    <mergeCell ref="A86:A89"/>
    <mergeCell ref="B86:B89"/>
    <mergeCell ref="C86:C89"/>
    <mergeCell ref="D86:D89"/>
    <mergeCell ref="E86:E89"/>
    <mergeCell ref="F86:F89"/>
    <mergeCell ref="G84:G85"/>
    <mergeCell ref="H84:H85"/>
    <mergeCell ref="A97:A99"/>
    <mergeCell ref="B97:B99"/>
    <mergeCell ref="C97:C99"/>
    <mergeCell ref="D97:D99"/>
    <mergeCell ref="E97:E99"/>
    <mergeCell ref="F97:F99"/>
    <mergeCell ref="H97:H99"/>
    <mergeCell ref="O84:O85"/>
    <mergeCell ref="J92:J94"/>
    <mergeCell ref="K92:K94"/>
    <mergeCell ref="O92:O94"/>
    <mergeCell ref="A95:A96"/>
    <mergeCell ref="B95:B96"/>
    <mergeCell ref="C95:C96"/>
    <mergeCell ref="F95:F96"/>
    <mergeCell ref="G95:G96"/>
    <mergeCell ref="H95:H96"/>
    <mergeCell ref="I95:I96"/>
    <mergeCell ref="A92:A94"/>
    <mergeCell ref="B92:B94"/>
    <mergeCell ref="C92:C94"/>
    <mergeCell ref="F92:F94"/>
    <mergeCell ref="G92:G94"/>
    <mergeCell ref="H92:H94"/>
    <mergeCell ref="I92:I94"/>
    <mergeCell ref="G86:G88"/>
    <mergeCell ref="H86:H89"/>
    <mergeCell ref="A84:A85"/>
    <mergeCell ref="B84:B85"/>
    <mergeCell ref="C84:C85"/>
    <mergeCell ref="F84:F85"/>
    <mergeCell ref="O97:O99"/>
    <mergeCell ref="O35:O36"/>
    <mergeCell ref="I97:I99"/>
    <mergeCell ref="J97:J99"/>
    <mergeCell ref="K97:K99"/>
    <mergeCell ref="R97:R99"/>
    <mergeCell ref="G57:G59"/>
    <mergeCell ref="J95:J96"/>
    <mergeCell ref="K95:K96"/>
    <mergeCell ref="O95:O96"/>
    <mergeCell ref="P95:P96"/>
    <mergeCell ref="I90:I91"/>
    <mergeCell ref="J90:J91"/>
    <mergeCell ref="K90:K91"/>
    <mergeCell ref="I86:I89"/>
    <mergeCell ref="J86:J89"/>
    <mergeCell ref="K86:K89"/>
    <mergeCell ref="O86:O88"/>
    <mergeCell ref="O80:O82"/>
    <mergeCell ref="K84:K85"/>
    <mergeCell ref="I76:I77"/>
    <mergeCell ref="J76:J77"/>
    <mergeCell ref="K76:K77"/>
    <mergeCell ref="N84:N85"/>
    <mergeCell ref="A37:A38"/>
    <mergeCell ref="B37:B38"/>
    <mergeCell ref="C37:C38"/>
    <mergeCell ref="F37:F38"/>
    <mergeCell ref="G37:G38"/>
    <mergeCell ref="H37:H38"/>
    <mergeCell ref="I37:I38"/>
    <mergeCell ref="J37:J38"/>
    <mergeCell ref="K37:K38"/>
    <mergeCell ref="A101:A102"/>
    <mergeCell ref="B101:B102"/>
    <mergeCell ref="C101:C102"/>
    <mergeCell ref="F101:F102"/>
    <mergeCell ref="G101:G102"/>
    <mergeCell ref="H101:H102"/>
    <mergeCell ref="I101:I102"/>
    <mergeCell ref="J101:J102"/>
    <mergeCell ref="K101:K102"/>
  </mergeCells>
  <pageMargins left="0.25" right="0.25" top="0.75" bottom="0.75" header="0.3" footer="0.3"/>
  <pageSetup scale="4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zoomScaleNormal="100" workbookViewId="0">
      <selection activeCell="D14" sqref="D14"/>
    </sheetView>
  </sheetViews>
  <sheetFormatPr baseColWidth="10" defaultRowHeight="15" x14ac:dyDescent="0.25"/>
  <cols>
    <col min="1" max="1" width="0.28515625" customWidth="1"/>
    <col min="2" max="2" width="17.85546875" customWidth="1"/>
    <col min="3" max="3" width="25.5703125" customWidth="1"/>
    <col min="4" max="4" width="24.7109375" customWidth="1"/>
    <col min="5" max="5" width="26.85546875" customWidth="1"/>
    <col min="6" max="6" width="27.28515625" customWidth="1"/>
  </cols>
  <sheetData>
    <row r="1" spans="1:7" x14ac:dyDescent="0.25">
      <c r="B1" s="938" t="s">
        <v>894</v>
      </c>
      <c r="C1" s="938"/>
      <c r="D1" s="938"/>
      <c r="E1" s="938"/>
      <c r="F1" s="938"/>
    </row>
    <row r="2" spans="1:7" ht="25.5" customHeight="1" x14ac:dyDescent="0.25">
      <c r="A2" s="24"/>
      <c r="B2" s="937" t="s">
        <v>659</v>
      </c>
      <c r="C2" s="183" t="s">
        <v>1060</v>
      </c>
      <c r="D2" s="183" t="s">
        <v>1247</v>
      </c>
      <c r="E2" s="183" t="s">
        <v>1059</v>
      </c>
      <c r="F2" s="183" t="s">
        <v>1060</v>
      </c>
      <c r="G2" s="13"/>
    </row>
    <row r="3" spans="1:7" ht="18.75" customHeight="1" x14ac:dyDescent="0.25">
      <c r="A3" s="24"/>
      <c r="B3" s="937"/>
      <c r="C3" s="183">
        <v>29</v>
      </c>
      <c r="D3" s="183">
        <v>30</v>
      </c>
      <c r="E3" s="183">
        <v>31</v>
      </c>
      <c r="F3" s="183">
        <v>1</v>
      </c>
      <c r="G3" s="13"/>
    </row>
    <row r="4" spans="1:7" ht="25.5" customHeight="1" x14ac:dyDescent="0.25">
      <c r="A4" s="24"/>
      <c r="B4" s="184">
        <v>0.33333333333333331</v>
      </c>
      <c r="C4" s="185"/>
      <c r="D4" s="185"/>
      <c r="E4" s="185"/>
      <c r="F4" s="185"/>
    </row>
    <row r="5" spans="1:7" ht="25.5" customHeight="1" x14ac:dyDescent="0.25">
      <c r="A5" s="24"/>
      <c r="B5" s="184">
        <v>0.375</v>
      </c>
      <c r="C5" s="185"/>
      <c r="D5" s="185"/>
      <c r="E5" s="186"/>
      <c r="F5" s="185"/>
    </row>
    <row r="6" spans="1:7" ht="25.5" customHeight="1" x14ac:dyDescent="0.25">
      <c r="A6" s="24"/>
      <c r="B6" s="184">
        <v>0.41666666666666669</v>
      </c>
      <c r="C6" s="186"/>
      <c r="D6" s="186"/>
      <c r="E6" s="185"/>
      <c r="F6" s="186"/>
    </row>
    <row r="7" spans="1:7" ht="25.5" customHeight="1" x14ac:dyDescent="0.25">
      <c r="A7" s="24"/>
      <c r="B7" s="184">
        <v>0.45833333333333331</v>
      </c>
      <c r="C7" s="185"/>
      <c r="D7" s="185"/>
      <c r="E7" s="185"/>
      <c r="F7" s="185"/>
    </row>
    <row r="8" spans="1:7" ht="25.5" customHeight="1" x14ac:dyDescent="0.25">
      <c r="A8" s="24"/>
      <c r="B8" s="184">
        <v>8.3333333333333329E-2</v>
      </c>
      <c r="C8" s="185"/>
      <c r="D8" s="192"/>
      <c r="E8" s="194"/>
      <c r="F8" s="185"/>
    </row>
    <row r="9" spans="1:7" ht="25.5" customHeight="1" x14ac:dyDescent="0.25">
      <c r="A9" s="24"/>
      <c r="B9" s="184">
        <v>0.125</v>
      </c>
      <c r="C9" s="185"/>
      <c r="D9" s="186"/>
      <c r="E9" s="185"/>
      <c r="F9" s="185"/>
    </row>
    <row r="10" spans="1:7" ht="25.5" customHeight="1" x14ac:dyDescent="0.25">
      <c r="A10" s="24"/>
      <c r="B10" s="184">
        <v>0.16666666666666666</v>
      </c>
      <c r="C10" s="185"/>
      <c r="D10" s="185"/>
      <c r="E10" s="185"/>
      <c r="F10" s="185"/>
    </row>
    <row r="11" spans="1:7" ht="25.5" customHeight="1" x14ac:dyDescent="0.25">
      <c r="A11" s="24"/>
      <c r="B11" s="184">
        <v>0.20833333333333334</v>
      </c>
      <c r="C11" s="185"/>
      <c r="D11" s="185"/>
      <c r="E11" s="185"/>
      <c r="F11" s="185"/>
    </row>
    <row r="12" spans="1:7" x14ac:dyDescent="0.25">
      <c r="B12" s="187"/>
      <c r="C12" s="188"/>
      <c r="D12" s="188"/>
      <c r="E12" s="188"/>
      <c r="F12" s="188"/>
    </row>
    <row r="13" spans="1:7" ht="17.25" customHeight="1" x14ac:dyDescent="0.25">
      <c r="B13" s="190"/>
      <c r="C13" s="189" t="s">
        <v>1249</v>
      </c>
      <c r="D13" s="188" t="s">
        <v>1248</v>
      </c>
      <c r="E13" s="190"/>
      <c r="F13" s="190"/>
    </row>
    <row r="14" spans="1:7" ht="16.5" customHeight="1" x14ac:dyDescent="0.25">
      <c r="B14" s="188"/>
      <c r="C14" s="188"/>
      <c r="D14" s="188" t="s">
        <v>1333</v>
      </c>
      <c r="E14" s="190"/>
      <c r="F14" s="190"/>
    </row>
    <row r="15" spans="1:7" ht="17.25" customHeight="1" x14ac:dyDescent="0.25">
      <c r="B15" s="189"/>
      <c r="C15" s="190"/>
      <c r="D15" s="188"/>
      <c r="E15" s="188"/>
      <c r="F15" s="190"/>
    </row>
    <row r="16" spans="1:7" x14ac:dyDescent="0.25">
      <c r="B16" s="189"/>
      <c r="C16" s="188"/>
      <c r="D16" s="188"/>
      <c r="E16" s="188"/>
      <c r="F16" s="188"/>
    </row>
    <row r="17" spans="2:6" x14ac:dyDescent="0.25">
      <c r="B17" s="189"/>
      <c r="C17" s="188"/>
      <c r="D17" s="188"/>
      <c r="E17" s="188"/>
      <c r="F17" s="188"/>
    </row>
    <row r="18" spans="2:6" x14ac:dyDescent="0.25">
      <c r="B18" s="189"/>
      <c r="C18" s="190"/>
      <c r="D18" s="188"/>
      <c r="E18" s="188"/>
      <c r="F18" s="188"/>
    </row>
    <row r="19" spans="2:6" x14ac:dyDescent="0.25">
      <c r="B19" s="189"/>
      <c r="C19" s="188"/>
      <c r="D19" s="188"/>
      <c r="E19" s="188"/>
      <c r="F19" s="188"/>
    </row>
    <row r="20" spans="2:6" x14ac:dyDescent="0.25">
      <c r="C20" s="25"/>
      <c r="D20" s="25"/>
      <c r="E20" s="25"/>
      <c r="F20" s="140"/>
    </row>
    <row r="21" spans="2:6" x14ac:dyDescent="0.25">
      <c r="D21" s="22"/>
    </row>
    <row r="22" spans="2:6" x14ac:dyDescent="0.25">
      <c r="D22" s="22"/>
    </row>
    <row r="23" spans="2:6" x14ac:dyDescent="0.25">
      <c r="D23" s="22"/>
    </row>
    <row r="24" spans="2:6" x14ac:dyDescent="0.25">
      <c r="D24" s="22"/>
    </row>
    <row r="25" spans="2:6" x14ac:dyDescent="0.25">
      <c r="D25" s="22"/>
    </row>
  </sheetData>
  <mergeCells count="2">
    <mergeCell ref="B2:B3"/>
    <mergeCell ref="B1:F1"/>
  </mergeCells>
  <pageMargins left="0.7" right="0.7" top="0.75" bottom="0.75" header="0.3" footer="0.3"/>
  <pageSetup orientation="landscape" r:id="rId1"/>
  <headerFooter>
    <oddHeader>&amp;C&amp;"Kristen ITC,Negrita"&amp;USEPTIEMBRE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12"/>
  <sheetViews>
    <sheetView zoomScale="130" zoomScaleNormal="130" workbookViewId="0">
      <selection activeCell="D11" sqref="D11"/>
    </sheetView>
  </sheetViews>
  <sheetFormatPr baseColWidth="10" defaultRowHeight="15" x14ac:dyDescent="0.25"/>
  <cols>
    <col min="1" max="1" width="13.28515625" customWidth="1"/>
    <col min="2" max="2" width="4.5703125" customWidth="1"/>
    <col min="3" max="3" width="21.140625" customWidth="1"/>
    <col min="4" max="4" width="15.85546875" customWidth="1"/>
    <col min="5" max="5" width="12.7109375" customWidth="1"/>
    <col min="6" max="6" width="20.5703125" customWidth="1"/>
    <col min="7" max="7" width="16.7109375" customWidth="1"/>
  </cols>
  <sheetData>
    <row r="4" spans="2:7" x14ac:dyDescent="0.25">
      <c r="B4" s="939" t="s">
        <v>1187</v>
      </c>
      <c r="C4" s="939"/>
      <c r="D4" s="939"/>
      <c r="E4" s="939"/>
      <c r="F4" s="939"/>
      <c r="G4" s="939"/>
    </row>
    <row r="5" spans="2:7" x14ac:dyDescent="0.25">
      <c r="B5" s="939" t="s">
        <v>1190</v>
      </c>
      <c r="C5" s="939"/>
      <c r="D5" s="452" t="s">
        <v>1181</v>
      </c>
      <c r="E5" s="452" t="s">
        <v>1182</v>
      </c>
      <c r="F5" s="452" t="s">
        <v>1183</v>
      </c>
      <c r="G5" s="452" t="s">
        <v>1184</v>
      </c>
    </row>
    <row r="6" spans="2:7" x14ac:dyDescent="0.25">
      <c r="B6" s="454">
        <v>1</v>
      </c>
      <c r="C6" s="453" t="s">
        <v>1180</v>
      </c>
      <c r="D6" s="504"/>
      <c r="E6" s="504"/>
      <c r="F6" s="504"/>
      <c r="G6" s="504"/>
    </row>
    <row r="7" spans="2:7" x14ac:dyDescent="0.25">
      <c r="B7" s="454">
        <v>2</v>
      </c>
      <c r="C7" s="453" t="s">
        <v>1185</v>
      </c>
      <c r="D7" s="504"/>
      <c r="E7" s="504"/>
      <c r="F7" s="504"/>
      <c r="G7" s="504"/>
    </row>
    <row r="8" spans="2:7" x14ac:dyDescent="0.25">
      <c r="B8" s="454">
        <v>3</v>
      </c>
      <c r="C8" s="453" t="s">
        <v>1186</v>
      </c>
      <c r="D8" s="504"/>
      <c r="E8" s="504"/>
      <c r="F8" s="504"/>
      <c r="G8" s="504"/>
    </row>
    <row r="9" spans="2:7" x14ac:dyDescent="0.25">
      <c r="B9" s="454">
        <v>4</v>
      </c>
      <c r="C9" s="453" t="s">
        <v>1188</v>
      </c>
      <c r="D9" s="504"/>
      <c r="E9" s="504"/>
      <c r="F9" s="504"/>
      <c r="G9" s="504"/>
    </row>
    <row r="10" spans="2:7" x14ac:dyDescent="0.25">
      <c r="B10" s="454">
        <v>5</v>
      </c>
      <c r="C10" s="453" t="s">
        <v>1191</v>
      </c>
      <c r="D10" s="504"/>
      <c r="E10" s="504"/>
      <c r="F10" s="504"/>
      <c r="G10" s="504"/>
    </row>
    <row r="11" spans="2:7" x14ac:dyDescent="0.25">
      <c r="B11" s="940" t="s">
        <v>1189</v>
      </c>
      <c r="C11" s="941"/>
      <c r="D11" s="504"/>
      <c r="E11" s="504"/>
      <c r="F11" s="504"/>
      <c r="G11" s="504"/>
    </row>
    <row r="12" spans="2:7" x14ac:dyDescent="0.25">
      <c r="D12" s="505">
        <v>90</v>
      </c>
      <c r="E12" s="505">
        <v>90</v>
      </c>
      <c r="F12" s="505">
        <v>90</v>
      </c>
      <c r="G12" s="505">
        <v>90</v>
      </c>
    </row>
  </sheetData>
  <mergeCells count="3">
    <mergeCell ref="B5:C5"/>
    <mergeCell ref="B4:G4"/>
    <mergeCell ref="B11:C1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G11" sqref="G11"/>
    </sheetView>
  </sheetViews>
  <sheetFormatPr baseColWidth="10" defaultRowHeight="15" x14ac:dyDescent="0.25"/>
  <sheetData>
    <row r="1" spans="1:7" x14ac:dyDescent="0.25">
      <c r="A1" s="942" t="s">
        <v>1343</v>
      </c>
      <c r="B1" s="942"/>
      <c r="F1" s="942" t="s">
        <v>1352</v>
      </c>
      <c r="G1" s="942"/>
    </row>
    <row r="2" spans="1:7" x14ac:dyDescent="0.25">
      <c r="A2" t="s">
        <v>1342</v>
      </c>
      <c r="B2">
        <v>12</v>
      </c>
    </row>
    <row r="3" spans="1:7" x14ac:dyDescent="0.25">
      <c r="A3" t="s">
        <v>1344</v>
      </c>
      <c r="B3">
        <v>8</v>
      </c>
    </row>
    <row r="4" spans="1:7" x14ac:dyDescent="0.25">
      <c r="A4" t="s">
        <v>1345</v>
      </c>
      <c r="B4">
        <v>12</v>
      </c>
    </row>
    <row r="5" spans="1:7" x14ac:dyDescent="0.25">
      <c r="A5" t="s">
        <v>1346</v>
      </c>
      <c r="B5">
        <v>5</v>
      </c>
    </row>
    <row r="6" spans="1:7" x14ac:dyDescent="0.25">
      <c r="A6" t="s">
        <v>1347</v>
      </c>
      <c r="B6">
        <v>6</v>
      </c>
    </row>
    <row r="7" spans="1:7" x14ac:dyDescent="0.25">
      <c r="A7" t="s">
        <v>1348</v>
      </c>
      <c r="B7">
        <v>20</v>
      </c>
    </row>
    <row r="8" spans="1:7" x14ac:dyDescent="0.25">
      <c r="A8" t="s">
        <v>1349</v>
      </c>
      <c r="B8">
        <v>12</v>
      </c>
    </row>
    <row r="9" spans="1:7" x14ac:dyDescent="0.25">
      <c r="A9" t="s">
        <v>1350</v>
      </c>
      <c r="B9">
        <v>20</v>
      </c>
    </row>
    <row r="10" spans="1:7" x14ac:dyDescent="0.25">
      <c r="A10" t="s">
        <v>1351</v>
      </c>
      <c r="B10">
        <v>12</v>
      </c>
    </row>
  </sheetData>
  <mergeCells count="2">
    <mergeCell ref="A1:B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MONTERIA</vt:lpstr>
      <vt:lpstr>MPIOS</vt:lpstr>
      <vt:lpstr>NEP MPIOS</vt:lpstr>
      <vt:lpstr>NEP MTR</vt:lpstr>
      <vt:lpstr>PERMANENTES</vt:lpstr>
      <vt:lpstr>HORARIO</vt:lpstr>
      <vt:lpstr>ANGELY</vt:lpstr>
      <vt:lpstr>Hoja1</vt:lpstr>
      <vt:lpstr>MPIOS!x_x__MailAutoSig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2018-11-30T19:58:09Z</cp:lastPrinted>
  <dcterms:created xsi:type="dcterms:W3CDTF">2018-06-28T17:29:48Z</dcterms:created>
  <dcterms:modified xsi:type="dcterms:W3CDTF">2019-01-14T21:24:10Z</dcterms:modified>
</cp:coreProperties>
</file>