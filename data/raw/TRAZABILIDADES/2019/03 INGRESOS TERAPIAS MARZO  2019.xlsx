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INGRESOS\2019\"/>
    </mc:Choice>
  </mc:AlternateContent>
  <bookViews>
    <workbookView xWindow="0" yWindow="0" windowWidth="21600" windowHeight="9333"/>
  </bookViews>
  <sheets>
    <sheet name="MONTERIA" sheetId="9" r:id="rId1"/>
    <sheet name="MPIOS" sheetId="10" r:id="rId2"/>
    <sheet name="NEP MPIOS" sheetId="4" r:id="rId3"/>
    <sheet name="NEP MTR" sheetId="3" r:id="rId4"/>
    <sheet name="PERMANENTES" sheetId="11" r:id="rId5"/>
    <sheet name="ANGELY" sheetId="12" r:id="rId6"/>
    <sheet name="HORARIO" sheetId="8" r:id="rId7"/>
    <sheet name="SANITAS MONTERIA" sheetId="14" r:id="rId8"/>
  </sheets>
  <definedNames>
    <definedName name="_xlnm._FilterDatabase" localSheetId="0" hidden="1">MONTERIA!$B$1:$R$68</definedName>
    <definedName name="_xlnm._FilterDatabase" localSheetId="1" hidden="1">MPIOS!$B$1:$T$54</definedName>
    <definedName name="_xlnm._FilterDatabase" localSheetId="2" hidden="1">'NEP MPIOS'!$A$1:$O$167</definedName>
    <definedName name="_xlnm._FilterDatabase" localSheetId="3" hidden="1">'NEP MTR'!$A$1:$N$166</definedName>
    <definedName name="_xlnm._FilterDatabase" localSheetId="4" hidden="1">PERMANENTES!$B$1:$P$127</definedName>
    <definedName name="x_x__MailAutoSig" localSheetId="1">MPIOS!$B$8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" i="12" l="1"/>
  <c r="F13" i="12"/>
  <c r="G13" i="12"/>
  <c r="D13" i="12"/>
  <c r="E11" i="12" l="1"/>
  <c r="F11" i="12"/>
  <c r="G11" i="12"/>
  <c r="D11" i="12"/>
</calcChain>
</file>

<file path=xl/comments1.xml><?xml version="1.0" encoding="utf-8"?>
<comments xmlns="http://schemas.openxmlformats.org/spreadsheetml/2006/main">
  <authors>
    <author>Windows User</author>
  </authors>
  <commentList>
    <comment ref="B136" authorId="0" shapeId="0">
      <text>
        <r>
          <rPr>
            <b/>
            <sz val="9"/>
            <color indexed="10"/>
            <rFont val="Tahoma"/>
            <family val="2"/>
          </rPr>
          <t>Windows User:</t>
        </r>
        <r>
          <rPr>
            <sz val="9"/>
            <color indexed="10"/>
            <rFont val="Tahoma"/>
            <family val="2"/>
          </rPr>
          <t xml:space="preserve">
PDTE REVISAR CARPETA PARA SOLICITAR LA JEFE KELLY TF-TO-TL ANTES DEL 25/11/2018</t>
        </r>
      </text>
    </comment>
  </commentList>
</comments>
</file>

<file path=xl/sharedStrings.xml><?xml version="1.0" encoding="utf-8"?>
<sst xmlns="http://schemas.openxmlformats.org/spreadsheetml/2006/main" count="3649" uniqueCount="1658">
  <si>
    <t>TELEFONO</t>
  </si>
  <si>
    <t>FECHA DE INICIO</t>
  </si>
  <si>
    <t>FECHA DE EGRESO</t>
  </si>
  <si>
    <t>OBSERVACIONES</t>
  </si>
  <si>
    <t>TF</t>
  </si>
  <si>
    <t>TR</t>
  </si>
  <si>
    <t>CLAUDIA ROMAN</t>
  </si>
  <si>
    <t>AURA DE LA ESPRIELLA</t>
  </si>
  <si>
    <t>TO</t>
  </si>
  <si>
    <t>CERETE</t>
  </si>
  <si>
    <t>BRINY JALAL</t>
  </si>
  <si>
    <t>APELLIDOS</t>
  </si>
  <si>
    <t>MUNICIPIO</t>
  </si>
  <si>
    <t>SESIONES</t>
  </si>
  <si>
    <t>MONTERIA</t>
  </si>
  <si>
    <t>MONTELIBANO</t>
  </si>
  <si>
    <t>MONICA DE LA OSSA</t>
  </si>
  <si>
    <t>MANUEL VICENTE</t>
  </si>
  <si>
    <t>DANIELA GARCES</t>
  </si>
  <si>
    <t>MOMIL</t>
  </si>
  <si>
    <t>PLANETA RICA</t>
  </si>
  <si>
    <t>LORICA</t>
  </si>
  <si>
    <t>CIENAGA DE ORO</t>
  </si>
  <si>
    <t>BIAVELSIS VIDAL</t>
  </si>
  <si>
    <t>CHINU</t>
  </si>
  <si>
    <t>TIERRALTA</t>
  </si>
  <si>
    <t>KAREN CORDERO</t>
  </si>
  <si>
    <t xml:space="preserve">NOMBRE </t>
  </si>
  <si>
    <t>PAQUETE</t>
  </si>
  <si>
    <t xml:space="preserve">TERAPEUTA </t>
  </si>
  <si>
    <t>OBSERVACION</t>
  </si>
  <si>
    <t>VICTORIA ELENA</t>
  </si>
  <si>
    <t>DIAZ DE HOYOS</t>
  </si>
  <si>
    <t>CRONICO</t>
  </si>
  <si>
    <t>JOSE JOAQUIN</t>
  </si>
  <si>
    <t>GARCES DELGADO</t>
  </si>
  <si>
    <t>ELVIRA ROMERO</t>
  </si>
  <si>
    <t>ANA TERESA</t>
  </si>
  <si>
    <t>GARCIA DE GRANDETT</t>
  </si>
  <si>
    <t>WILLIAN ENRIQUE</t>
  </si>
  <si>
    <t>LOPEZ VARGAS</t>
  </si>
  <si>
    <t xml:space="preserve">JOSE ANGEL </t>
  </si>
  <si>
    <t>PUCHE DIAZ</t>
  </si>
  <si>
    <t>YESICA MARIA</t>
  </si>
  <si>
    <t>PUCHE MEDRANO</t>
  </si>
  <si>
    <t>MARIA MERY BERTHEL</t>
  </si>
  <si>
    <t xml:space="preserve">JAIME ANTONIO </t>
  </si>
  <si>
    <t>AURA MONTALVO</t>
  </si>
  <si>
    <t>BULA HOYOS</t>
  </si>
  <si>
    <t xml:space="preserve">SUSANA BUELVAS </t>
  </si>
  <si>
    <t>JOSE DANIEL</t>
  </si>
  <si>
    <t>SOTO MARTINEZ</t>
  </si>
  <si>
    <t>ELVIA MANUELA</t>
  </si>
  <si>
    <t>NARANJO DE AVILEZ</t>
  </si>
  <si>
    <t>ELENA JOSEFINA</t>
  </si>
  <si>
    <t>LOPEZ DE MUSKUS</t>
  </si>
  <si>
    <t>ROSALMINA HELENA</t>
  </si>
  <si>
    <t>HOYOS DE ANGULO</t>
  </si>
  <si>
    <t>DELIA ESTHER</t>
  </si>
  <si>
    <t>MEDRANO DE MARTINEZ</t>
  </si>
  <si>
    <t>MANUELA DE LOS REYES</t>
  </si>
  <si>
    <t>BULA DE REINO</t>
  </si>
  <si>
    <t>JOSE HERIBERTO</t>
  </si>
  <si>
    <t>OTERO SOTO</t>
  </si>
  <si>
    <t>BEDA MARGARITA</t>
  </si>
  <si>
    <t>ORTIZ SUAREZ</t>
  </si>
  <si>
    <t>NEUROLOGICO</t>
  </si>
  <si>
    <t>MARTHA MILENA</t>
  </si>
  <si>
    <t>ESPINOSA QUIÑONEZ</t>
  </si>
  <si>
    <t>MONICA MENDOZA</t>
  </si>
  <si>
    <t xml:space="preserve">ALFREDO </t>
  </si>
  <si>
    <t>HERNANDO ANTONIO</t>
  </si>
  <si>
    <t>OTERO GRACIA</t>
  </si>
  <si>
    <t>CORRALES CARRILLO</t>
  </si>
  <si>
    <t xml:space="preserve">NESTOR SEGUNDO </t>
  </si>
  <si>
    <t>DIKSON TAMARA</t>
  </si>
  <si>
    <t>ESAU ALEJANDRO</t>
  </si>
  <si>
    <t>MARTINEZ NEGRETE</t>
  </si>
  <si>
    <t>JUANA EVANGELISTA</t>
  </si>
  <si>
    <t>CORREA DE REYES</t>
  </si>
  <si>
    <t xml:space="preserve">LILIA ESTHER </t>
  </si>
  <si>
    <t>SAAVEDRA SARMIENTO</t>
  </si>
  <si>
    <t xml:space="preserve">RUGERO MANUEL </t>
  </si>
  <si>
    <t>HERNANDEZ SIBAJA</t>
  </si>
  <si>
    <t>MANUEL TOMAS</t>
  </si>
  <si>
    <t>POLO RAMOS</t>
  </si>
  <si>
    <t>ADELA</t>
  </si>
  <si>
    <t>GONZALEZ DE AGUIRRE</t>
  </si>
  <si>
    <t xml:space="preserve">FRANCE ELENA </t>
  </si>
  <si>
    <t>ARROYO ARGEL</t>
  </si>
  <si>
    <t>ELIDA MARIA</t>
  </si>
  <si>
    <t>MARTINEZ MORELO</t>
  </si>
  <si>
    <t xml:space="preserve">ONELIA </t>
  </si>
  <si>
    <t>YEPES DE SOTO</t>
  </si>
  <si>
    <t>JOSE ANTONIO</t>
  </si>
  <si>
    <t>GOMEZ PEREZ</t>
  </si>
  <si>
    <t xml:space="preserve">RODRIGO JOSE </t>
  </si>
  <si>
    <t xml:space="preserve">ALFREDO FRANCISCO </t>
  </si>
  <si>
    <t>GARI YANES</t>
  </si>
  <si>
    <t>SAN PELAYO</t>
  </si>
  <si>
    <t>NELSON ENRIQUE</t>
  </si>
  <si>
    <t>MARTINEZ HERNANDEZ</t>
  </si>
  <si>
    <t>REMBERTO RENE</t>
  </si>
  <si>
    <t>RAMOS ORTEGA</t>
  </si>
  <si>
    <t>NURYS MARIA</t>
  </si>
  <si>
    <t>MORELO COGOLLO</t>
  </si>
  <si>
    <t xml:space="preserve">DANIEL ESTEBAN </t>
  </si>
  <si>
    <t>ARGEL YANEZ</t>
  </si>
  <si>
    <t>VALENCIA</t>
  </si>
  <si>
    <t>YOLANDA MARIA</t>
  </si>
  <si>
    <t>CASTELLANOS OLIVEROS</t>
  </si>
  <si>
    <t>LINA LARA</t>
  </si>
  <si>
    <t>DIOSELINA ROSA</t>
  </si>
  <si>
    <t>ORTEGA BARRIOS</t>
  </si>
  <si>
    <t>PUEBLO NUEVO</t>
  </si>
  <si>
    <t>LUISA ARGUMEDO</t>
  </si>
  <si>
    <t xml:space="preserve">PEDRO </t>
  </si>
  <si>
    <t>MARTINEZ ORTEGA</t>
  </si>
  <si>
    <t>DORA ESTHER</t>
  </si>
  <si>
    <t>NUÑEZ DIAZ</t>
  </si>
  <si>
    <t>VERONICA CECILIA</t>
  </si>
  <si>
    <t xml:space="preserve">ALMENTERO ALMENTERO </t>
  </si>
  <si>
    <t>SAN ANTERO</t>
  </si>
  <si>
    <t xml:space="preserve">FANNY </t>
  </si>
  <si>
    <t>ALVAREZ DE MARTINEZ</t>
  </si>
  <si>
    <t xml:space="preserve">VANESA </t>
  </si>
  <si>
    <t>REYES RODRIGUEZ</t>
  </si>
  <si>
    <t xml:space="preserve">MANUEL DEL CRISTO </t>
  </si>
  <si>
    <t xml:space="preserve">DAZA VILLADIEGO </t>
  </si>
  <si>
    <t>MARIA MATILDE</t>
  </si>
  <si>
    <t>ROJAS DE GERMAN</t>
  </si>
  <si>
    <t>NARA ABUABARA</t>
  </si>
  <si>
    <t>EDINSON DEL CRISTO</t>
  </si>
  <si>
    <t>PORTACIO RAMIREZ</t>
  </si>
  <si>
    <t>LEIDY ALVAREZ</t>
  </si>
  <si>
    <t>MARIA ELENA</t>
  </si>
  <si>
    <t>TAMARA DE PITALUA</t>
  </si>
  <si>
    <t>MANUEL DE LOS SANTOS</t>
  </si>
  <si>
    <t>SOLA GENES</t>
  </si>
  <si>
    <t>PAYARES PACHECO</t>
  </si>
  <si>
    <t>ELIZABETH DELS.</t>
  </si>
  <si>
    <t>PAYAREZ DE VILLADIEGO</t>
  </si>
  <si>
    <t>JESUS ELIAS</t>
  </si>
  <si>
    <t>PAVA MARTINEZ</t>
  </si>
  <si>
    <t>ALMA RUTH</t>
  </si>
  <si>
    <t>ECHEVERRI DE PEÑA</t>
  </si>
  <si>
    <t>MARTIN JOSE</t>
  </si>
  <si>
    <t>CAVADIA ESPITIA</t>
  </si>
  <si>
    <t xml:space="preserve">JESUS DAVID </t>
  </si>
  <si>
    <t>SERPA MARTINEZ</t>
  </si>
  <si>
    <t>JUANA MARIA</t>
  </si>
  <si>
    <t>PITALUA DE MELENDRES</t>
  </si>
  <si>
    <t>CARMELA DE JESUS</t>
  </si>
  <si>
    <t>JIMENEZ RIOS</t>
  </si>
  <si>
    <t xml:space="preserve">OLGA </t>
  </si>
  <si>
    <t>LOZANO DE AZOATEGUI</t>
  </si>
  <si>
    <t>OSCAR DAVID</t>
  </si>
  <si>
    <t>GARCIA CRUZ</t>
  </si>
  <si>
    <t>BALBOA PEDRO</t>
  </si>
  <si>
    <t>FLOREZ GOMEZ</t>
  </si>
  <si>
    <t>IGNACIO ANTONIO</t>
  </si>
  <si>
    <t>VILLADIEGO SOTO</t>
  </si>
  <si>
    <t xml:space="preserve">ROGELIO </t>
  </si>
  <si>
    <t>RHENALS TORDECILLA</t>
  </si>
  <si>
    <t>CESAR AUGUSTO</t>
  </si>
  <si>
    <t>FERNANDEZ PADILLA</t>
  </si>
  <si>
    <t>JOSE CARLOS</t>
  </si>
  <si>
    <t>VILARO RAMOS</t>
  </si>
  <si>
    <t xml:space="preserve">PEDRO PABLO </t>
  </si>
  <si>
    <t>RIOS CORDERO</t>
  </si>
  <si>
    <t xml:space="preserve">ZAMIRA ELENA </t>
  </si>
  <si>
    <t xml:space="preserve">MACHADO CUADRO </t>
  </si>
  <si>
    <t>RAFAEL IGNACIO</t>
  </si>
  <si>
    <t>MENDOZA BERROCAL</t>
  </si>
  <si>
    <t>MARIBEL</t>
  </si>
  <si>
    <t>MADERA MADERA</t>
  </si>
  <si>
    <t>FERMINA SUSANA</t>
  </si>
  <si>
    <t>DURANGO DE MENDOZA</t>
  </si>
  <si>
    <t>DORA VICTORIA</t>
  </si>
  <si>
    <t>MERCADO DE BUELVAS</t>
  </si>
  <si>
    <t>MANUEL DE JESUS</t>
  </si>
  <si>
    <t>ALVAREZ RODRIGUEZ</t>
  </si>
  <si>
    <t xml:space="preserve">MARIA JOSEFA </t>
  </si>
  <si>
    <t>LUPO JOSE</t>
  </si>
  <si>
    <t>PETRONA  MARIA</t>
  </si>
  <si>
    <t xml:space="preserve">CUITIVA PICO </t>
  </si>
  <si>
    <t>ADELFA DEL SOCORRO</t>
  </si>
  <si>
    <t>SALAZAR ALVAREZ</t>
  </si>
  <si>
    <t xml:space="preserve">HERMINA </t>
  </si>
  <si>
    <t>LOZANO DE GOMEZ</t>
  </si>
  <si>
    <t>BERTA ELENA</t>
  </si>
  <si>
    <t>NARANJO OCHOA</t>
  </si>
  <si>
    <t xml:space="preserve">ESTEFANIA </t>
  </si>
  <si>
    <t>GUERRERO GOMEZ</t>
  </si>
  <si>
    <t>LIGIA RAQUEL</t>
  </si>
  <si>
    <t>SALGADO OQUENDO</t>
  </si>
  <si>
    <t xml:space="preserve">DARIO </t>
  </si>
  <si>
    <t>FERNANDEZ AVILA</t>
  </si>
  <si>
    <t xml:space="preserve">NERIS ISABEL </t>
  </si>
  <si>
    <t>MORALES MENDOZA</t>
  </si>
  <si>
    <t xml:space="preserve">NORMA CECILIA </t>
  </si>
  <si>
    <t>ARELLANO GARZON</t>
  </si>
  <si>
    <t xml:space="preserve">MARIA </t>
  </si>
  <si>
    <t>ACOSTA DE MORELO</t>
  </si>
  <si>
    <t>ELISA MATILDE</t>
  </si>
  <si>
    <t>FERNANDEZ GONZALEZ</t>
  </si>
  <si>
    <t>MAHOL ANTONIO</t>
  </si>
  <si>
    <t>MUÑOZ MUÑOZ</t>
  </si>
  <si>
    <t>OLGA DEL CARMEN</t>
  </si>
  <si>
    <t>MONTALVO NARVAEZ</t>
  </si>
  <si>
    <t>LESLE ANTONIO</t>
  </si>
  <si>
    <t>MERCADO SUAREZ</t>
  </si>
  <si>
    <t>ALFREDO RAMON</t>
  </si>
  <si>
    <t>SIERRA RIVERA</t>
  </si>
  <si>
    <t>JAIFA</t>
  </si>
  <si>
    <t>NADER DE CHEJNE</t>
  </si>
  <si>
    <t>TIBY AMIGO</t>
  </si>
  <si>
    <t xml:space="preserve">PENDIENTE, REALIZAR SEGUIMIENTO A LA TF </t>
  </si>
  <si>
    <t xml:space="preserve">RUBY DEL CARMEN </t>
  </si>
  <si>
    <t>IVONNE MERCADO</t>
  </si>
  <si>
    <t>SOL ANYELA</t>
  </si>
  <si>
    <t>OLGA TOMASA</t>
  </si>
  <si>
    <t>ARRIETA DE LLORENTE</t>
  </si>
  <si>
    <t>MOÑITOS</t>
  </si>
  <si>
    <t>NOEL  ALARCON</t>
  </si>
  <si>
    <t>TS</t>
  </si>
  <si>
    <t>TL</t>
  </si>
  <si>
    <t>BERASTEGUI</t>
  </si>
  <si>
    <t>YANETH DEL CARMEN</t>
  </si>
  <si>
    <t>ROMERO GUERRERO</t>
  </si>
  <si>
    <t xml:space="preserve">JAMER </t>
  </si>
  <si>
    <t>LUGO PAEZ</t>
  </si>
  <si>
    <t>JENNIFER MARTINEZ</t>
  </si>
  <si>
    <t>DIRECCIÓN</t>
  </si>
  <si>
    <t>CALLE 15  #26-20 B/SAN PEDRO</t>
  </si>
  <si>
    <t>TIPO DE TERAPIA</t>
  </si>
  <si>
    <t>CLL 62 A #8-41</t>
  </si>
  <si>
    <t>calle  17 #8-51</t>
  </si>
  <si>
    <t>B/PUENTE 1 MZ 130 LT 8</t>
  </si>
  <si>
    <t>B/SANTANDER DG 13 TRNASV 1</t>
  </si>
  <si>
    <t xml:space="preserve">MANUEL SILVESTRE </t>
  </si>
  <si>
    <t>MIRANDA GUERRA</t>
  </si>
  <si>
    <t>B/NUEVA CLL 17  03</t>
  </si>
  <si>
    <t>PARQUE CENTENARIO CLL 18 # 6B-32</t>
  </si>
  <si>
    <t>SAHAGUN</t>
  </si>
  <si>
    <t>CLLE 14 #13-01</t>
  </si>
  <si>
    <t>CLL 24 # 5A-18 B/SAN MARTIN</t>
  </si>
  <si>
    <t>CRA 5B#14-60</t>
  </si>
  <si>
    <t>CLL 20 #1J-03</t>
  </si>
  <si>
    <t>CRA 5 #6-70 PABLO VI</t>
  </si>
  <si>
    <t>CALLE 15-11 B/CENTRO</t>
  </si>
  <si>
    <t>B/SANTA TERESA</t>
  </si>
  <si>
    <t>LICETH ACOSTA</t>
  </si>
  <si>
    <t>MA 124 LT 7 ETAPA 13 B/LA PRADERA</t>
  </si>
  <si>
    <t>CRA 19 #9-19  B/6MARZO</t>
  </si>
  <si>
    <t>CLL 2 # 16-51 B/CENTRO</t>
  </si>
  <si>
    <t>CLL 3 #89-103 B/SANTO DOMINGO</t>
  </si>
  <si>
    <t>CLL 21 # 11-79 B/CENTRO</t>
  </si>
  <si>
    <t>CRA 16 #12 B - 32B/FATIMA</t>
  </si>
  <si>
    <t>CLL 2 B # 26-38 B/CANDELARIA</t>
  </si>
  <si>
    <t>CALLE 16 3-64</t>
  </si>
  <si>
    <t>ANA VALENTINA</t>
  </si>
  <si>
    <t>HOYOS DE MERCADO</t>
  </si>
  <si>
    <t>CRA 12 #16-3 B/CENTRO</t>
  </si>
  <si>
    <t>CRA 10 #59-18B/CASTELLANA</t>
  </si>
  <si>
    <t>7747784-3013550244</t>
  </si>
  <si>
    <t>CALLE 25 #10C-42</t>
  </si>
  <si>
    <t xml:space="preserve">CALLE 9 #7-81 </t>
  </si>
  <si>
    <t>CRA 11 #20-22 B/CORINTO</t>
  </si>
  <si>
    <t>CRA 17 CALLE 16 ETAPA 3</t>
  </si>
  <si>
    <t>CRA 20 #8A-40B/SANTA TERESA</t>
  </si>
  <si>
    <t>CRA 25 #17-46</t>
  </si>
  <si>
    <t>LAS MARCELITAS RABO LARGO</t>
  </si>
  <si>
    <t>CORREGIMIENTO SAN ISIDRO</t>
  </si>
  <si>
    <t>VEREDA CARRILLO</t>
  </si>
  <si>
    <t>VDA EL TAPON CERETE</t>
  </si>
  <si>
    <t>3145240242 NEDYS-3157604475</t>
  </si>
  <si>
    <t>CALLE 14 #13-1</t>
  </si>
  <si>
    <t>CRA 1 #1-8B/SAN JOSE</t>
  </si>
  <si>
    <t>CRA 8 #14-24</t>
  </si>
  <si>
    <t xml:space="preserve">TF </t>
  </si>
  <si>
    <t>CALLE 14 #9-2 CENTRO</t>
  </si>
  <si>
    <t>CALLE 20 #1J-3</t>
  </si>
  <si>
    <t>CRA 5 B #14-60</t>
  </si>
  <si>
    <t>B/SAN ROQUE</t>
  </si>
  <si>
    <t>CRA 12 # 7B -0 B/BOSQUE</t>
  </si>
  <si>
    <t>CALLE 14 # 4-18</t>
  </si>
  <si>
    <t>CRA 25 # 7 A-149</t>
  </si>
  <si>
    <t>ISLA MARGARITA</t>
  </si>
  <si>
    <t>CORREGIMIENTO LA DOCTRINA</t>
  </si>
  <si>
    <t>CORREGIMIENTO TIERRALTICA</t>
  </si>
  <si>
    <t>MARIELA ESTHER</t>
  </si>
  <si>
    <t>ARIAS DE FRANCO</t>
  </si>
  <si>
    <t>CRA 9 #7-71 B/LA CRUZ</t>
  </si>
  <si>
    <t>VDA NUEVA ESPERANZA</t>
  </si>
  <si>
    <t>DG 4 #8-33B/SANTA LUCIA</t>
  </si>
  <si>
    <t>CALLE 14 F # 138-78</t>
  </si>
  <si>
    <t>B/SANTA LUCIA</t>
  </si>
  <si>
    <t>B/VENEZUELA</t>
  </si>
  <si>
    <t>CRA 4 #7C-4 B/SANTO DOMINGO</t>
  </si>
  <si>
    <t>DUVELINA</t>
  </si>
  <si>
    <t>CRA 11 #21-68 B/POLO</t>
  </si>
  <si>
    <t>B/ROSARIO</t>
  </si>
  <si>
    <t>CALLE ABAJO 6-17</t>
  </si>
  <si>
    <t>TREBOL CALLE 13 D #12A-69</t>
  </si>
  <si>
    <t>VDA LA APARTADA</t>
  </si>
  <si>
    <t>SAN CARLOS</t>
  </si>
  <si>
    <t>VDA LA COROZA ABAJO</t>
  </si>
  <si>
    <t>VDA EL HATO</t>
  </si>
  <si>
    <t>DG 8 TV 4 B/POLICARPA</t>
  </si>
  <si>
    <t>B/URBINA CRA 16 # 15-02</t>
  </si>
  <si>
    <t>CRA 7 #10-58 B/BUENAVISTA</t>
  </si>
  <si>
    <t>URB. SAMARIA CRA 13 #10B-62</t>
  </si>
  <si>
    <t>MZ 78 LT 6 B/LA PRADERA</t>
  </si>
  <si>
    <t xml:space="preserve">B/LA GRANJA DG 15 TV 5 </t>
  </si>
  <si>
    <t>CRA 15 #38-52 B/LA FLORESTA</t>
  </si>
  <si>
    <t>3008023402-3157336698</t>
  </si>
  <si>
    <t xml:space="preserve">CRA 71 # 94-124 TORRE 1 </t>
  </si>
  <si>
    <t>B/CENTRO</t>
  </si>
  <si>
    <t>CALLE 14 S #7-50 B/LOS RECUERDOS</t>
  </si>
  <si>
    <t>3205410403-3145789258</t>
  </si>
  <si>
    <t>CRA 9 #14-3B/LACHARME</t>
  </si>
  <si>
    <t>CALLE 42 #1C-30</t>
  </si>
  <si>
    <t>3132694065-7842507</t>
  </si>
  <si>
    <t>CRA 15 #29-36 B/EL EDEN</t>
  </si>
  <si>
    <t>CRA 3 #22-23B/CHUCHURUBI</t>
  </si>
  <si>
    <t>B/MOCARI EL BOSQUE</t>
  </si>
  <si>
    <t>3145469438-3117664701</t>
  </si>
  <si>
    <t>CALLE 12 #3-28 B/CAMILO TORRES</t>
  </si>
  <si>
    <t>VDA LAS BABILLAS</t>
  </si>
  <si>
    <t>CALLE 37 #1W-90 B/JUAN XXIII</t>
  </si>
  <si>
    <t>3016323003-3002805978</t>
  </si>
  <si>
    <t>B/EDMUNDO LOPEZ TV 16 B # 18-32</t>
  </si>
  <si>
    <t>3205728380-3114099369</t>
  </si>
  <si>
    <t>CRA 2 W #35-28 B/ JUAN XXIII</t>
  </si>
  <si>
    <t>MA 7 LT 3 B/VILLA ANA</t>
  </si>
  <si>
    <t>3217398203-3006083323</t>
  </si>
  <si>
    <t>CALLE 40M #7-53 B/NARIÑO</t>
  </si>
  <si>
    <t>B/MOGAMBITO</t>
  </si>
  <si>
    <t>CRA 7 #124-39 B/ LOS CEDROS</t>
  </si>
  <si>
    <t>DG 18 #04-78 B/LA GRANJA</t>
  </si>
  <si>
    <t>MZ 88 LT 5 ETPA 3 B/LA P´RADERA</t>
  </si>
  <si>
    <t>DG 24 #4-68 B/LA GRANJA</t>
  </si>
  <si>
    <t>LUCIA HERNANDEZ</t>
  </si>
  <si>
    <t xml:space="preserve">ANA JOSEFA </t>
  </si>
  <si>
    <t>ALVARADO DEL TORO</t>
  </si>
  <si>
    <t>CRA 8 # 7-81 B/  LOS ANGELES</t>
  </si>
  <si>
    <t>OSPINA ROMERO</t>
  </si>
  <si>
    <t>SANDRA ACEVEDO</t>
  </si>
  <si>
    <t>EDITH GAMARRA</t>
  </si>
  <si>
    <t>#</t>
  </si>
  <si>
    <t>NOMBRE</t>
  </si>
  <si>
    <t>APELLIDO</t>
  </si>
  <si>
    <t>TIPO ID</t>
  </si>
  <si>
    <t>NUMERO ID</t>
  </si>
  <si>
    <t>EPS</t>
  </si>
  <si>
    <t>DIRECCION</t>
  </si>
  <si>
    <t>FECHA DE ENTREGA</t>
  </si>
  <si>
    <t xml:space="preserve">SESIONES </t>
  </si>
  <si>
    <t>TERAPIAS AUTORIZADAS</t>
  </si>
  <si>
    <t>FRECUENCIA TTO</t>
  </si>
  <si>
    <t>CC</t>
  </si>
  <si>
    <t>SALUDVIDA</t>
  </si>
  <si>
    <t>HECTOR FABIO</t>
  </si>
  <si>
    <t>JALLER SUAREZ</t>
  </si>
  <si>
    <t>CARMEN MARIA</t>
  </si>
  <si>
    <t>20 SS X MES X 3 MESES</t>
  </si>
  <si>
    <t>SANITAS</t>
  </si>
  <si>
    <t>CRA 13 W #27-45 B/EL DORADO</t>
  </si>
  <si>
    <t>LUIS FERNANDO</t>
  </si>
  <si>
    <t>TI</t>
  </si>
  <si>
    <t>RC</t>
  </si>
  <si>
    <t>COLSANITAS</t>
  </si>
  <si>
    <t>ILCIA MARIA</t>
  </si>
  <si>
    <t>CUADRADO GOMEZ</t>
  </si>
  <si>
    <t>CALLE 10 # 20-80 B/SANTA FE</t>
  </si>
  <si>
    <t>MARIA PRIMERA</t>
  </si>
  <si>
    <t>REYES VARGAS</t>
  </si>
  <si>
    <t>MUTUALSER</t>
  </si>
  <si>
    <t>SAN BERNARDO</t>
  </si>
  <si>
    <t>JULISA ORTEGA</t>
  </si>
  <si>
    <t>MARIA BERTHEL</t>
  </si>
  <si>
    <t>PTE QUE CADA 2 SS DEBE PAGAR UN BONO DE 33.300</t>
  </si>
  <si>
    <t xml:space="preserve">SIN CORTE HASTA TERMINAR </t>
  </si>
  <si>
    <t>CAROLINA BARCO</t>
  </si>
  <si>
    <t xml:space="preserve">B/LAURELES  CLL 23 CRA 24 </t>
  </si>
  <si>
    <t>BRAVO BANDA</t>
  </si>
  <si>
    <t>LUCIANA</t>
  </si>
  <si>
    <t>GARCIA YANEZ</t>
  </si>
  <si>
    <t xml:space="preserve">DIEGO RAUL </t>
  </si>
  <si>
    <t>JESSICA RIVERA</t>
  </si>
  <si>
    <t>ARBOLEDA LOPEZ</t>
  </si>
  <si>
    <t>LORGIA DEL CARMEN</t>
  </si>
  <si>
    <t xml:space="preserve">JOSE DAVID </t>
  </si>
  <si>
    <t>INGRID VIOLETH</t>
  </si>
  <si>
    <t>GUZMAN GARCIA</t>
  </si>
  <si>
    <t xml:space="preserve">AMERICA ROSA </t>
  </si>
  <si>
    <t>TIBISAY AMIGO</t>
  </si>
  <si>
    <t>NOEL ALARCON</t>
  </si>
  <si>
    <t>KELLY DURANGO</t>
  </si>
  <si>
    <t>PUERTO LIBERTADOR</t>
  </si>
  <si>
    <t>BUENAVISTA</t>
  </si>
  <si>
    <t xml:space="preserve">CORREGIMIENTO BERASTEGUI </t>
  </si>
  <si>
    <t>ARGEL TORRES</t>
  </si>
  <si>
    <t xml:space="preserve">ANGELY DEL CARMEN </t>
  </si>
  <si>
    <t>ENTREGA DE EVIDENCIAS</t>
  </si>
  <si>
    <t>TERAPEUTA ENCARGADO</t>
  </si>
  <si>
    <t xml:space="preserve">MANUEL FELIPE </t>
  </si>
  <si>
    <t>OLMOS GONZALES</t>
  </si>
  <si>
    <t>JAIME PETRO</t>
  </si>
  <si>
    <t>DIGNA ISABEL</t>
  </si>
  <si>
    <t>DIAZ REYES</t>
  </si>
  <si>
    <t>3116691187 (NANCY HRNA) 7641600-3114017147</t>
  </si>
  <si>
    <t>JIMMY IGNACIO</t>
  </si>
  <si>
    <t>HOYOS MONTESINOS</t>
  </si>
  <si>
    <t>RAQUEL</t>
  </si>
  <si>
    <t>3107075188 (amparo ramirez)</t>
  </si>
  <si>
    <t xml:space="preserve">WALBERTO </t>
  </si>
  <si>
    <t>VELEZ TRESPALACIOS</t>
  </si>
  <si>
    <t xml:space="preserve">SANITAS </t>
  </si>
  <si>
    <t>3016099592-3012168910</t>
  </si>
  <si>
    <t xml:space="preserve">HERENIA ROSA </t>
  </si>
  <si>
    <t>SEGURA  DE HERNANDEZ</t>
  </si>
  <si>
    <t xml:space="preserve">DEIMER JOSE </t>
  </si>
  <si>
    <t xml:space="preserve">CAUSIL POLO </t>
  </si>
  <si>
    <t>HOGAR DE PASO</t>
  </si>
  <si>
    <t>SOL ANYEL</t>
  </si>
  <si>
    <t>DARLY ISABEL</t>
  </si>
  <si>
    <t>ROSARIO ROSARIO</t>
  </si>
  <si>
    <t>TUCHIN</t>
  </si>
  <si>
    <t>MANUEL GREGORIO</t>
  </si>
  <si>
    <t xml:space="preserve">BARBOZA MENDOZA </t>
  </si>
  <si>
    <t>DANYS MAILER</t>
  </si>
  <si>
    <t>SUAREZ RUBIO</t>
  </si>
  <si>
    <t xml:space="preserve">OSVALDO ENRIQUE </t>
  </si>
  <si>
    <t>PACHECO PULGARIN</t>
  </si>
  <si>
    <t xml:space="preserve">JORGE ELIAS </t>
  </si>
  <si>
    <t>SAEZ RUIZ</t>
  </si>
  <si>
    <t xml:space="preserve">JOSE FERNANDO </t>
  </si>
  <si>
    <t>CASTILLO MARTINEZ</t>
  </si>
  <si>
    <t>NAFER ENRIQUE</t>
  </si>
  <si>
    <t>ZUÑIGA RAMIREZ</t>
  </si>
  <si>
    <t xml:space="preserve"> </t>
  </si>
  <si>
    <t xml:space="preserve">ANSELMO JOSE </t>
  </si>
  <si>
    <t>PERALTA LOPEZ</t>
  </si>
  <si>
    <t>3105116392                 (elina lopez)-3508909991</t>
  </si>
  <si>
    <t>RUTH MARINA</t>
  </si>
  <si>
    <t>BOLAÑOS DE GARCES</t>
  </si>
  <si>
    <t>3104648678 (HIJA AMANDA)</t>
  </si>
  <si>
    <t>LISVELLY</t>
  </si>
  <si>
    <t xml:space="preserve">SENAIRA </t>
  </si>
  <si>
    <t>DOMICO BAILARIN</t>
  </si>
  <si>
    <t>SUSANA DEL PILAR</t>
  </si>
  <si>
    <t>BURGOS DE GARCIA</t>
  </si>
  <si>
    <t xml:space="preserve">ALICIA </t>
  </si>
  <si>
    <t>ARGEL LOPEZ</t>
  </si>
  <si>
    <t>LORICA/SITIO NUEVO</t>
  </si>
  <si>
    <t>3145729298-3218195872</t>
  </si>
  <si>
    <t xml:space="preserve">SALOME </t>
  </si>
  <si>
    <t>SALGADO</t>
  </si>
  <si>
    <t>TF-TR</t>
  </si>
  <si>
    <t>DEFINIR CONTINUIDAD</t>
  </si>
  <si>
    <t>ALVARO ENRIQUE</t>
  </si>
  <si>
    <t xml:space="preserve"> SALGADO RUBIO</t>
  </si>
  <si>
    <t xml:space="preserve">EMILIO JOSE </t>
  </si>
  <si>
    <t xml:space="preserve">CHAVEZ MEJIA </t>
  </si>
  <si>
    <t>3207970830 ANA CAMILA HERMANA</t>
  </si>
  <si>
    <t>LINA MARCELA</t>
  </si>
  <si>
    <t>TAMARA ORTIZ</t>
  </si>
  <si>
    <t xml:space="preserve">PAOLA </t>
  </si>
  <si>
    <t>HERNANDEZ</t>
  </si>
  <si>
    <t xml:space="preserve">MIRIAM LUCIA </t>
  </si>
  <si>
    <t>GOMEZ DE FLOREZ</t>
  </si>
  <si>
    <t>LORIZ</t>
  </si>
  <si>
    <t>KARDUZ KANDALAFT</t>
  </si>
  <si>
    <t>COOMEVA</t>
  </si>
  <si>
    <t>3003225812-3135030967</t>
  </si>
  <si>
    <t>OTERO DE IBETT</t>
  </si>
  <si>
    <t>HORA</t>
  </si>
  <si>
    <t>DE ORO REGINO</t>
  </si>
  <si>
    <t>AYAPEL</t>
  </si>
  <si>
    <t xml:space="preserve">B/7 DE AGOSTO CALLE 8 # 11-75 </t>
  </si>
  <si>
    <t>3176770188-3126401307</t>
  </si>
  <si>
    <t>STEFANY LOZANO</t>
  </si>
  <si>
    <t>LUCIA RAQUEL</t>
  </si>
  <si>
    <t>ANAYA DE QUINTERO</t>
  </si>
  <si>
    <t>CALLE 12 #11-59 CENTRO</t>
  </si>
  <si>
    <t xml:space="preserve">SUSANA MARIA </t>
  </si>
  <si>
    <t>RODRIGUEZ BANDA</t>
  </si>
  <si>
    <t>CALLE 5 #17 B/SAN RAFAEL</t>
  </si>
  <si>
    <t xml:space="preserve">BLANCA LILIA </t>
  </si>
  <si>
    <t>COGOLLO HERRERA</t>
  </si>
  <si>
    <t>B/SANTA FE MZ 21 LT 4</t>
  </si>
  <si>
    <t>NOBLE GUARDIOLA</t>
  </si>
  <si>
    <t>YESSICA RIVERA</t>
  </si>
  <si>
    <t>MARIA MARCEGOBIA</t>
  </si>
  <si>
    <t>PEREZ NISPERUZA</t>
  </si>
  <si>
    <t>TV 3 # 22-21 B/LA GRANJA</t>
  </si>
  <si>
    <t>B/SAN MARTIN</t>
  </si>
  <si>
    <t xml:space="preserve">JOSEFA MARIA </t>
  </si>
  <si>
    <t>JULIAO ARTEAGA</t>
  </si>
  <si>
    <t>CL 3 NRO 9 32</t>
  </si>
  <si>
    <t>ERLINDA ACOSTA</t>
  </si>
  <si>
    <t>LUIS MIGUEL</t>
  </si>
  <si>
    <t>MESTRA RAMOS</t>
  </si>
  <si>
    <t>DIAGNOSTICO</t>
  </si>
  <si>
    <t>3053954181 (NELLY HIJA)-3127560678 BETTI</t>
  </si>
  <si>
    <t>JAIRO EMIRO</t>
  </si>
  <si>
    <t>CARE HERRERA</t>
  </si>
  <si>
    <t>CL 13 CR 3 Y 4 NRO 4 14 B</t>
  </si>
  <si>
    <t>BERTHA SUSANA</t>
  </si>
  <si>
    <t>DORIA GUERRA</t>
  </si>
  <si>
    <t xml:space="preserve">CRA 18 # 8-14 B/6 DE MARZO </t>
  </si>
  <si>
    <t>3107094691-7811468</t>
  </si>
  <si>
    <t>EPOC</t>
  </si>
  <si>
    <t>SECUELAS ACV</t>
  </si>
  <si>
    <t>TRANSV 27 A #31-3 MZ 59 LT 20 B/CANTACLARO</t>
  </si>
  <si>
    <t>3135916872-3107385599</t>
  </si>
  <si>
    <t>PCI</t>
  </si>
  <si>
    <t>POLINEUROPATIA</t>
  </si>
  <si>
    <t>ACV</t>
  </si>
  <si>
    <t>VARGAS TOVAR</t>
  </si>
  <si>
    <t>EPILEPSIA</t>
  </si>
  <si>
    <t>MZ 45 LT 14 B/ VILLA MELISA</t>
  </si>
  <si>
    <t>TF 12 SS X 6 MESES</t>
  </si>
  <si>
    <t>DENNIS MARIA</t>
  </si>
  <si>
    <t>ANAYA ORTEGA</t>
  </si>
  <si>
    <t>HEMIPARESIA ESPASTICA IZQUIERDA</t>
  </si>
  <si>
    <t>TEC SEVERO</t>
  </si>
  <si>
    <t>PARKINSON</t>
  </si>
  <si>
    <t>FX CADERA</t>
  </si>
  <si>
    <t>ANEURISMA</t>
  </si>
  <si>
    <t>ALZHEIMER</t>
  </si>
  <si>
    <t>SECUELAS DE ACV</t>
  </si>
  <si>
    <t xml:space="preserve">DIAGNOSTICO </t>
  </si>
  <si>
    <t>ESCLEROSIS MULTIPLE</t>
  </si>
  <si>
    <t>TEC</t>
  </si>
  <si>
    <t>FX CADERA DERECHA</t>
  </si>
  <si>
    <t>DEMENCIA SENIL</t>
  </si>
  <si>
    <t>HEMORRAGIA SUBARACNOIDEA</t>
  </si>
  <si>
    <t>LESION RAQUIMEDULAR C5-C6</t>
  </si>
  <si>
    <t>TEC - POLITRUMATISMO</t>
  </si>
  <si>
    <t>GONARTROSIS</t>
  </si>
  <si>
    <t>FX FEMUR</t>
  </si>
  <si>
    <t>HEMIPLEJIA</t>
  </si>
  <si>
    <t>HERIDA POR PROYECTIL ARMA DE FUEGO</t>
  </si>
  <si>
    <t>HIPOXIA CEREBRAL</t>
  </si>
  <si>
    <t>SECUELAS DE HIPOXIA CEREBRAL</t>
  </si>
  <si>
    <t>PARAPLEJIA</t>
  </si>
  <si>
    <t>ENCEFALOPATIA</t>
  </si>
  <si>
    <t>PARALISIS FACIAL</t>
  </si>
  <si>
    <t xml:space="preserve">CUADRIPARESIA </t>
  </si>
  <si>
    <t>CUADRIPLEJIA</t>
  </si>
  <si>
    <t>ARTROSIS</t>
  </si>
  <si>
    <t>ACV - ALZHEIMER</t>
  </si>
  <si>
    <t xml:space="preserve">DB MELLITUS </t>
  </si>
  <si>
    <t>SECUELAS ACV - CEGUERA CRONICA</t>
  </si>
  <si>
    <t>MIELOPATIA NO ESPECIFICADA</t>
  </si>
  <si>
    <t xml:space="preserve">ACV </t>
  </si>
  <si>
    <t>ACV - OSTEOPENIA CRONICA</t>
  </si>
  <si>
    <t>MIELITIS</t>
  </si>
  <si>
    <t>SX GASTON</t>
  </si>
  <si>
    <t>POLIARTROSIS</t>
  </si>
  <si>
    <t>CUADRIPARESIA</t>
  </si>
  <si>
    <t>ACV + ALZHEIMER</t>
  </si>
  <si>
    <t>CA EPITALIAL</t>
  </si>
  <si>
    <t>DISTROFIA MUSCUALR</t>
  </si>
  <si>
    <t>LX MEDULAR</t>
  </si>
  <si>
    <t>PROBLEMAS PARA LA MOVILIDAD</t>
  </si>
  <si>
    <t>SECUELAS ACV- AMPUTACION INFRAPATELAR</t>
  </si>
  <si>
    <t>SECUELAS HIDROCEFALIA</t>
  </si>
  <si>
    <t>ECV</t>
  </si>
  <si>
    <t>POP FX CADERA - EPOC- ACV</t>
  </si>
  <si>
    <t>RECIBIDO</t>
  </si>
  <si>
    <t>VICTOR MANUEL</t>
  </si>
  <si>
    <t>MIRANDA DE TOSCANO</t>
  </si>
  <si>
    <t>3004902910-3177736938</t>
  </si>
  <si>
    <t>B/6 DE MARZO CALLE 14 # 19-25</t>
  </si>
  <si>
    <t>la prof. Solicita TS porq sospecha de maltratocon la paciente</t>
  </si>
  <si>
    <t>EMPERATRIZ</t>
  </si>
  <si>
    <t>GARCIA DE RAMOS</t>
  </si>
  <si>
    <t>CRISTINA ISABEL</t>
  </si>
  <si>
    <t>VALETA DE TORRES</t>
  </si>
  <si>
    <t>B/20 DE ENERO</t>
  </si>
  <si>
    <t>3125110722 - 3126002123</t>
  </si>
  <si>
    <t>20 X MES X 3 MESES</t>
  </si>
  <si>
    <t>FADY VERGARA</t>
  </si>
  <si>
    <t>TEOLINDA MARIA</t>
  </si>
  <si>
    <t>PEÑA NARVAEZ</t>
  </si>
  <si>
    <t>SECUELAS DE INFARTO CEREBRAL</t>
  </si>
  <si>
    <t>B/SANTA MARIA CRA 15 # 6A-41</t>
  </si>
  <si>
    <t>20 SS MES C/U X 6 MESES</t>
  </si>
  <si>
    <t>DISTROFIA MUSCULAR</t>
  </si>
  <si>
    <t>YEIVIS HOYOS</t>
  </si>
  <si>
    <t>NO CONTAMOS CON TO EN EL MUNICIPIO</t>
  </si>
  <si>
    <t>JESUS SIERRA</t>
  </si>
  <si>
    <t>EL PUEBLITO</t>
  </si>
  <si>
    <t xml:space="preserve"> FIGUEROA MARTINEZ</t>
  </si>
  <si>
    <t>ZUÑIGA DE ZAMBRANO</t>
  </si>
  <si>
    <t>ARLIS ADRIANA</t>
  </si>
  <si>
    <t>AGAMEZ DICKSON</t>
  </si>
  <si>
    <t>HORARIO RECEPCIÓN NEPS</t>
  </si>
  <si>
    <t>SESIONES TOTAL</t>
  </si>
  <si>
    <t>SESIONES MENSUAL</t>
  </si>
  <si>
    <t>SESIONES MENSUALES</t>
  </si>
  <si>
    <t>SESIONES  TOTAL</t>
  </si>
  <si>
    <t>MARIA MODESTA</t>
  </si>
  <si>
    <t>ESPITIA NORIEGA</t>
  </si>
  <si>
    <t>CA + ACV</t>
  </si>
  <si>
    <t>3107209159-3006806943</t>
  </si>
  <si>
    <t>ELMER ANTONIO</t>
  </si>
  <si>
    <t>ANDRADES BERONA</t>
  </si>
  <si>
    <t>SECUELAS DE TRAUMA MEDULAR</t>
  </si>
  <si>
    <t>3145141404-3225690770</t>
  </si>
  <si>
    <t>20 SS X MES X 6 MESES</t>
  </si>
  <si>
    <t>LOPEZ RAMOS</t>
  </si>
  <si>
    <t>WILLIAN CESAR</t>
  </si>
  <si>
    <t>JALAL AGAMEZ</t>
  </si>
  <si>
    <t>DIABETES</t>
  </si>
  <si>
    <t>B/LA CANDELARIA CLL 15 #8-56</t>
  </si>
  <si>
    <t>SE ENVIA UN ASPIRADOR EL 12/10/2018</t>
  </si>
  <si>
    <t>HILDA MARIA</t>
  </si>
  <si>
    <t xml:space="preserve"> MORELOS MONTERROSA</t>
  </si>
  <si>
    <t>ISQUEMIA TRAUMATICA</t>
  </si>
  <si>
    <t xml:space="preserve">CORREGIMIENTO SANTA LUCIA </t>
  </si>
  <si>
    <t xml:space="preserve">ELIA ROSA </t>
  </si>
  <si>
    <t>MATHIEU DE MADERA</t>
  </si>
  <si>
    <t>CRA 6 # 21-63 B/LA LUCHA</t>
  </si>
  <si>
    <t>TULIA ESTER</t>
  </si>
  <si>
    <t>VERGARA</t>
  </si>
  <si>
    <t>B/CALLE  LARGA CRA 13 #10-03</t>
  </si>
  <si>
    <t xml:space="preserve">EDIHT MARIA </t>
  </si>
  <si>
    <t>ARGEL LUNAS</t>
  </si>
  <si>
    <t>HIDROCEFALO COMUNICANTE</t>
  </si>
  <si>
    <t>RAMIRO ROBERTO</t>
  </si>
  <si>
    <t>RAMOS HERNANDEZ</t>
  </si>
  <si>
    <t>CALLE 21 #11-88 B/JERUSALEN</t>
  </si>
  <si>
    <t>REGINA DEL ROSARIO</t>
  </si>
  <si>
    <t>NILMA ROSA</t>
  </si>
  <si>
    <t>CARRASCO CARMONA</t>
  </si>
  <si>
    <t>CR 15 9 A 58 BARRIO AV SANTANDER</t>
  </si>
  <si>
    <t>FELIPA BENICIA</t>
  </si>
  <si>
    <t>ARRIETA DE BERASTEGUI</t>
  </si>
  <si>
    <t>CALLE 16 #9C-22 B/SANTA PAULA</t>
  </si>
  <si>
    <t>INFARTO CEREBRAL</t>
  </si>
  <si>
    <t xml:space="preserve">FLOR MARIA </t>
  </si>
  <si>
    <t>GARCIA DE BULA</t>
  </si>
  <si>
    <t>HTA</t>
  </si>
  <si>
    <t>B/PAYARICA  CALLE 17 #12-5</t>
  </si>
  <si>
    <t>OCTAVIO LUIS</t>
  </si>
  <si>
    <t>MONTIEL MENDEZ</t>
  </si>
  <si>
    <t>DEMENCIA+ACV</t>
  </si>
  <si>
    <t>MZ 39 LT 12 B/SANTA FE</t>
  </si>
  <si>
    <t>RAFAEL EMIRO</t>
  </si>
  <si>
    <t>HOYOS QUINTANA</t>
  </si>
  <si>
    <t>HUMBERTO MANUEL</t>
  </si>
  <si>
    <t>SALGADO GUERRA</t>
  </si>
  <si>
    <t>PARALISIS DE BELL</t>
  </si>
  <si>
    <t>CALLE 70 BIS # 77J-65 SUR</t>
  </si>
  <si>
    <t>DUEÑAS PADRON</t>
  </si>
  <si>
    <t>B/VENUS CRA 19 #12-43</t>
  </si>
  <si>
    <t>3145264711-7857386</t>
  </si>
  <si>
    <t>LOPEZ LUGO</t>
  </si>
  <si>
    <t>DARIS VICTORIA</t>
  </si>
  <si>
    <t>BULA COGOLLO</t>
  </si>
  <si>
    <t>MIERCOLES</t>
  </si>
  <si>
    <t>JUEVES</t>
  </si>
  <si>
    <t>EDUARDO DE JESUS</t>
  </si>
  <si>
    <t>CARRASCAL DIAZ</t>
  </si>
  <si>
    <t>A PARTIR DEL 01 DE NOV Y HASTA EL 30 DE ABRIL 2019 SE AUMENTARAN LAS SS DE 20 SS A 40 SS MES ORDEN POR 6 MESES</t>
  </si>
  <si>
    <t>YERLIS YULIETH</t>
  </si>
  <si>
    <t>MARTINEZ MONTALVO</t>
  </si>
  <si>
    <t>PCI + NEUMONIA</t>
  </si>
  <si>
    <t>ELIZABETH SHIRLEY</t>
  </si>
  <si>
    <t>BARRETO VEGA</t>
  </si>
  <si>
    <t>calle  42 # 10a -36 b/laureles</t>
  </si>
  <si>
    <t>LUIS ALFONSO</t>
  </si>
  <si>
    <t>NEGRETTE MATTOS</t>
  </si>
  <si>
    <t>B/EL POBLADO CALLE 20 #25B-120</t>
  </si>
  <si>
    <t>MARIA JOSE GUZMAN</t>
  </si>
  <si>
    <t>ENF. DESMIELINIZANTE</t>
  </si>
  <si>
    <t>CA COLON</t>
  </si>
  <si>
    <t>ARTRITIS REUMATOIDE</t>
  </si>
  <si>
    <t>MENINGITIS</t>
  </si>
  <si>
    <t>SAN ANDRES DE SOTAVENTO</t>
  </si>
  <si>
    <t>ZULEIMA GOMEZ</t>
  </si>
  <si>
    <t>CALLE CHIMA</t>
  </si>
  <si>
    <t>ANILLO VIAL</t>
  </si>
  <si>
    <t>T. PSICOLOGICA</t>
  </si>
  <si>
    <t>T. FISICA</t>
  </si>
  <si>
    <t>T. FONOAUDIOLOGICA</t>
  </si>
  <si>
    <t xml:space="preserve">T. OCUPACIONAL </t>
  </si>
  <si>
    <t>ANGELY ARGEL</t>
  </si>
  <si>
    <t>TOTAL</t>
  </si>
  <si>
    <t>MES</t>
  </si>
  <si>
    <t xml:space="preserve">MARIA EFIGENIA </t>
  </si>
  <si>
    <t>HERAZO DE OTERO</t>
  </si>
  <si>
    <t>CALLE 15 # 3 21 BARRIO EL CARMEN 3014842627</t>
  </si>
  <si>
    <t>JOSEFA MARIA</t>
  </si>
  <si>
    <t>PEREZ CERPA</t>
  </si>
  <si>
    <t>LAS VILLAS CALLE 25 # 3W-52</t>
  </si>
  <si>
    <t>B/LAURELES</t>
  </si>
  <si>
    <t>VRIANA LILEY</t>
  </si>
  <si>
    <t>LOZANO ARGUMEDO</t>
  </si>
  <si>
    <t>PARALISIS CEREBRAL ESPASTICA</t>
  </si>
  <si>
    <t>JOSE MANUEL</t>
  </si>
  <si>
    <t>BERRIO THERAN</t>
  </si>
  <si>
    <t>Calle 18 Cra 4B- B/ La Inmaculada</t>
  </si>
  <si>
    <t>JOSE ADAN</t>
  </si>
  <si>
    <t>REDONDO MORALES</t>
  </si>
  <si>
    <t>3135119068---3016843462</t>
  </si>
  <si>
    <t>MANUEL MARIA</t>
  </si>
  <si>
    <t>MACHADO CASTRO</t>
  </si>
  <si>
    <t>CALLE 21 #8A-83 B/BALBOA</t>
  </si>
  <si>
    <t xml:space="preserve">TF 60 SS X MES X 4 MESES, </t>
  </si>
  <si>
    <t>BRIANA INFORMA QUE SE PUEDE INCIAR LAS SS CON EL CORREO ENVIADO POR MAIRA ALEJANDRA RICARDO PROMOTORA SALUD VIDA</t>
  </si>
  <si>
    <t>VIERNES</t>
  </si>
  <si>
    <t>EUNICE MARIA</t>
  </si>
  <si>
    <t>RESTAN DE GARCIA</t>
  </si>
  <si>
    <t>ENF. CONVULSIVA</t>
  </si>
  <si>
    <t>7839577- 3173627651</t>
  </si>
  <si>
    <t xml:space="preserve"> CALLE 29 N 16-124 B/PASATIEMPO</t>
  </si>
  <si>
    <t>MARIA AURORA</t>
  </si>
  <si>
    <t>BRISAS DEL SINU MZ 5 LOTE 6</t>
  </si>
  <si>
    <t>20 ss al mes x 3 meses</t>
  </si>
  <si>
    <t>HINCAPIE DE VELAZQUEZ</t>
  </si>
  <si>
    <t>CINDY DE LA OSSA</t>
  </si>
  <si>
    <t>NAIRA ERAZO</t>
  </si>
  <si>
    <t>NO TENEMOS PROF.</t>
  </si>
  <si>
    <t xml:space="preserve"> ID</t>
  </si>
  <si>
    <t>ENEYDA JOAQUINA</t>
  </si>
  <si>
    <t>HUMANEZ DE MUÑOZ</t>
  </si>
  <si>
    <t>LINFEDEMA</t>
  </si>
  <si>
    <t>CLLE 35 14 B 44 BARRIO FLORESTA</t>
  </si>
  <si>
    <t>MIRTA SUSANA</t>
  </si>
  <si>
    <t>CASTAÑO DE BERROCAL</t>
  </si>
  <si>
    <t>ENF. RENAL CRONICA</t>
  </si>
  <si>
    <t xml:space="preserve">LEONOR MARIA </t>
  </si>
  <si>
    <t>PEREZ DE ESPITIA</t>
  </si>
  <si>
    <t>CA CEREBELO</t>
  </si>
  <si>
    <t>3135938281-7826207</t>
  </si>
  <si>
    <t>CALLE 26 N 9-76</t>
  </si>
  <si>
    <t>MORELO VILORIA</t>
  </si>
  <si>
    <t>JOSE LUIS</t>
  </si>
  <si>
    <t>HEMORRAGIA INTRACRANEAL</t>
  </si>
  <si>
    <t>CLL 2 BARRIO HIQUERON</t>
  </si>
  <si>
    <t>LUIS EDUARDO</t>
  </si>
  <si>
    <t>MURILLO MARIMON</t>
  </si>
  <si>
    <t>SEC. DE DEFICIENCIAS NUTRICIONALES</t>
  </si>
  <si>
    <t>APARICIO DE RAMIREZ</t>
  </si>
  <si>
    <t>DOLOR CRONICO</t>
  </si>
  <si>
    <t>BARIO PASATIEMPO</t>
  </si>
  <si>
    <t>BERTA REGINA</t>
  </si>
  <si>
    <t xml:space="preserve">YANERIS DEL CARMEN </t>
  </si>
  <si>
    <t>OLIVERO VARGAS</t>
  </si>
  <si>
    <t>PC ESPASTICA</t>
  </si>
  <si>
    <t>3107021259-3213122218</t>
  </si>
  <si>
    <t>BRR LA PAZ CL 14 16</t>
  </si>
  <si>
    <t>RUBEN</t>
  </si>
  <si>
    <t>AGUAS ZABALETA</t>
  </si>
  <si>
    <t>KR 17 A 3 88 BRR EL CARMEN</t>
  </si>
  <si>
    <t>RODRIGO MIGUEL</t>
  </si>
  <si>
    <t>ARROYO CORREA</t>
  </si>
  <si>
    <t>RH MARCHA</t>
  </si>
  <si>
    <t>BRR SANTANDER TRAS 2 SUR NO 11</t>
  </si>
  <si>
    <t>EVENTO</t>
  </si>
  <si>
    <t>SX RETT</t>
  </si>
  <si>
    <t>20 SS DE C/U X 3 MESES</t>
  </si>
  <si>
    <t>CRISTINA MARGARITA</t>
  </si>
  <si>
    <t>OLASCOAGA TORRES</t>
  </si>
  <si>
    <t>B/EL DORADO CALLE 25 # 12 W -25</t>
  </si>
  <si>
    <t>12 SSMES  X 3 MESES</t>
  </si>
  <si>
    <t>EUNICE ISABEL</t>
  </si>
  <si>
    <t>MARTELO DE VELEZ</t>
  </si>
  <si>
    <t>7825087 NORIS MAMA</t>
  </si>
  <si>
    <t>No.</t>
  </si>
  <si>
    <t>FECHA</t>
  </si>
  <si>
    <t>PROFESIONAL</t>
  </si>
  <si>
    <t>08:30am</t>
  </si>
  <si>
    <t>Yennis Yohana Hidalgo</t>
  </si>
  <si>
    <t>REG. 233552-13</t>
  </si>
  <si>
    <t>CRONOGRAMA DE ATENCIÓN TERAPIA RESPIRATORIA Y FISICA DOMICILIARIA</t>
  </si>
  <si>
    <t>FISICA</t>
  </si>
  <si>
    <t>RESPIRATORIA</t>
  </si>
  <si>
    <t>El cronograma puede estar sujeto a modificaciones, dependiendo de los requerimientos de la paciente y previo acuerdo con el familiar de la usuaria.</t>
  </si>
  <si>
    <t>Jaime Javier Petro</t>
  </si>
  <si>
    <t>REG. 1074000180</t>
  </si>
  <si>
    <t>EMA MONTERROSA</t>
  </si>
  <si>
    <t>RAMON ROBERTO</t>
  </si>
  <si>
    <t>MARTINEZ  PADILLA</t>
  </si>
  <si>
    <t xml:space="preserve">CRA 12 #8-29 B/LA CRUZ </t>
  </si>
  <si>
    <t xml:space="preserve"> 3115878280-3114276090</t>
  </si>
  <si>
    <t>EL PASO DE LAS FLORES VEREDA</t>
  </si>
  <si>
    <t>3184015878-3007413232</t>
  </si>
  <si>
    <t>GALEANO ALEMAN</t>
  </si>
  <si>
    <t>14/11/2018 AL 17/12/2018</t>
  </si>
  <si>
    <t>EDINSON JOSE</t>
  </si>
  <si>
    <t>PETRO HERNANDEZ</t>
  </si>
  <si>
    <t>B/LA CAMPIÑA MZ A LT 20</t>
  </si>
  <si>
    <t>3103613799-3126404397</t>
  </si>
  <si>
    <t>20SS MES X 3 MESES</t>
  </si>
  <si>
    <t>calle 38 # 10-70 centro</t>
  </si>
  <si>
    <t xml:space="preserve">MIRIAM </t>
  </si>
  <si>
    <t>SALCEDO MUÑOZ</t>
  </si>
  <si>
    <t>TRANSV 13 B # 63-14</t>
  </si>
  <si>
    <t xml:space="preserve">LILIA </t>
  </si>
  <si>
    <t>GONZALEZ COGOLLO</t>
  </si>
  <si>
    <t>VILLA CIELO SECTOR EL ANHELO MZ 16 LT 4</t>
  </si>
  <si>
    <t>3126589904-3229320779</t>
  </si>
  <si>
    <t>16 SS POR MES X 3 MESES</t>
  </si>
  <si>
    <t>CESAR</t>
  </si>
  <si>
    <t>YANES GARCIA</t>
  </si>
  <si>
    <t>B/LA GLORIA TORRE 31 APTO 102</t>
  </si>
  <si>
    <t>BERNARDA ISABEL</t>
  </si>
  <si>
    <t>PEREZ AVILA</t>
  </si>
  <si>
    <t>FX EPIFISIS HUMERO</t>
  </si>
  <si>
    <t>3124150797-3208281951</t>
  </si>
  <si>
    <t>CALLE 1 EL CEDRO</t>
  </si>
  <si>
    <t>LORENIS GUZMAN</t>
  </si>
  <si>
    <t>3128106569- 3114375210</t>
  </si>
  <si>
    <t>INFORMA : JUAN CARLOS PADILLA informa via telefonica que la paciente va de vacaciones desde el 28/12/2018 hasta el 08/01/2019</t>
  </si>
  <si>
    <t>ARBOLETES</t>
  </si>
  <si>
    <t>DIEGO TOSCANO</t>
  </si>
  <si>
    <t>ANGELICA MARTINEZ</t>
  </si>
  <si>
    <t>DIGNA ROSA</t>
  </si>
  <si>
    <t>PEÑATA DE RHENALS</t>
  </si>
  <si>
    <t>CA</t>
  </si>
  <si>
    <t>LUIS ALBERTO</t>
  </si>
  <si>
    <t>RUIZ PAYARES</t>
  </si>
  <si>
    <t>SECUELAS INFARTO CEREBRAL</t>
  </si>
  <si>
    <t>CRA 18 N 6 21 BARRIO SAN RAFAEL</t>
  </si>
  <si>
    <t>ESQUIZOFRENIA PARANOIDE</t>
  </si>
  <si>
    <t>FX TIBIAL</t>
  </si>
  <si>
    <t xml:space="preserve">B/CENTRO  # 6-48  </t>
  </si>
  <si>
    <t>LOPEZ ARTEAGA</t>
  </si>
  <si>
    <t>12 X MES X 3 MESES</t>
  </si>
  <si>
    <t>FELIPE MANUEL</t>
  </si>
  <si>
    <t>PINTO MARTELO</t>
  </si>
  <si>
    <t>CRA 12 #2-5 B/NUEVA GRANADA</t>
  </si>
  <si>
    <t>12 SS DE C/U X 3 MESES</t>
  </si>
  <si>
    <t>TROMBOSIS VENOSA PROFUNDA</t>
  </si>
  <si>
    <t>ALVARO DE JESUS</t>
  </si>
  <si>
    <t>CALAD AGUDELO</t>
  </si>
  <si>
    <t>VIA TRONCAL CLL 7 N 12 101</t>
  </si>
  <si>
    <t>ANDRES DE LOS REYES</t>
  </si>
  <si>
    <t>DERRAME PLEURAL</t>
  </si>
  <si>
    <t>B/EL CAÑITO CALLE 6B #11B-19</t>
  </si>
  <si>
    <t>REGINA SOFIA</t>
  </si>
  <si>
    <t>ARUACHAN DE VARGAS</t>
  </si>
  <si>
    <t>CALLE 64 #5-17B/EL RECREO</t>
  </si>
  <si>
    <t>MARIA CRISTINA</t>
  </si>
  <si>
    <t>MEZA GUZMAN</t>
  </si>
  <si>
    <t>GD 4 #13-106 B/P5</t>
  </si>
  <si>
    <t>MANUEL RAMON</t>
  </si>
  <si>
    <t>GONZALES BURGOS</t>
  </si>
  <si>
    <t>IVU</t>
  </si>
  <si>
    <t>MZ 33 LT 19 B/FURATENA</t>
  </si>
  <si>
    <t>MIRIAM DEL CARMEN</t>
  </si>
  <si>
    <t>ANA CARMELA</t>
  </si>
  <si>
    <t>NAAR DE MARTINEZ</t>
  </si>
  <si>
    <t>CRA 2 CAALLE 2 # 21-05 LA PALMA</t>
  </si>
  <si>
    <t>NELLY DEL CARMEN</t>
  </si>
  <si>
    <t>SIBAJA JIMENEZ</t>
  </si>
  <si>
    <t>SECUELAS QUEMADURA 29%</t>
  </si>
  <si>
    <t>CRA 7 #24-14 B/COLON</t>
  </si>
  <si>
    <t>JUAN CLIMACO</t>
  </si>
  <si>
    <t>PATERNINA GUZMAN</t>
  </si>
  <si>
    <t>ENDER DAVIER</t>
  </si>
  <si>
    <t>HERNANDEZ ROJAS</t>
  </si>
  <si>
    <t>CALLE 10 #32-06 B/VILLA NAZARE</t>
  </si>
  <si>
    <t>VIVIANA PAOLA</t>
  </si>
  <si>
    <t>ROMERO REYES</t>
  </si>
  <si>
    <t>BRONQUITIS</t>
  </si>
  <si>
    <t>B/9 ENERO</t>
  </si>
  <si>
    <t>BERTHA</t>
  </si>
  <si>
    <t>TEJADA DE RAMOS</t>
  </si>
  <si>
    <t>CALLE 11 #19-21 B/VENECIA</t>
  </si>
  <si>
    <t xml:space="preserve">TULIA ESTHER </t>
  </si>
  <si>
    <t>COGOLLO DE RUIZ</t>
  </si>
  <si>
    <t>DG 18 #5-4</t>
  </si>
  <si>
    <t>OSTEOARTROSIS</t>
  </si>
  <si>
    <t>FELICIA JACINTA</t>
  </si>
  <si>
    <t>UPARELA DE CORTES</t>
  </si>
  <si>
    <t>CALLE 18 # 14-08 B/VILLA LIBIA</t>
  </si>
  <si>
    <t>CAUCASIA</t>
  </si>
  <si>
    <t>CARMEN PEINADO</t>
  </si>
  <si>
    <t>CRA  7 # 23-12 B/CHUCHURUBI</t>
  </si>
  <si>
    <t xml:space="preserve">CALLE 19 KRA 13 ESQUINA BARRIO SAN JUAN </t>
  </si>
  <si>
    <t>MARIA CONSUELO</t>
  </si>
  <si>
    <t>ANGULO LOPEZ</t>
  </si>
  <si>
    <t>CALLE 18 #13-51</t>
  </si>
  <si>
    <t>3157962661-3217061636</t>
  </si>
  <si>
    <t xml:space="preserve">Paciente con corte mesual  TF 20- TO 20 Y FONO 12    X 4 MESES </t>
  </si>
  <si>
    <t>LUZ MARINA</t>
  </si>
  <si>
    <t>CASTELLAR MEZA</t>
  </si>
  <si>
    <t>FX DE FEMUR DERECHO</t>
  </si>
  <si>
    <t>3015332180-3103611645</t>
  </si>
  <si>
    <t>CRA 4 #95-85 B/MOCARI LAS PARCELAS</t>
  </si>
  <si>
    <t>8 SS AL MES X 3 MESES</t>
  </si>
  <si>
    <t>se retomo la atención dela usuaria, el familiar manifiesta no estar de acuerdo con el Terapeuta Ocupacional NOEL ALARCON, quien es el que a venido realizandole el manejo durante todo el periodo de atención con nuestra entidad,  y solicita cambio del profesional, o manifiesta desistir  de las terapias ocupacionales. SE INFORMA A MUTUAL SER</t>
  </si>
  <si>
    <t>LLORENTE DE COGOLLO</t>
  </si>
  <si>
    <t>CARMEN</t>
  </si>
  <si>
    <t xml:space="preserve">7824792-3145520161 </t>
  </si>
  <si>
    <t>CALLE 43 N°1B-73 B/SUCRE</t>
  </si>
  <si>
    <t xml:space="preserve"> REINA ALDANA</t>
  </si>
  <si>
    <t>LINDA MILENA</t>
  </si>
  <si>
    <t>B/ LAS ACASIAS
TRANSVERSAL 22 #19-25</t>
  </si>
  <si>
    <t xml:space="preserve"> MARIA DEL SOCORRO</t>
  </si>
  <si>
    <t>PEREZ DE HOYOS</t>
  </si>
  <si>
    <t>3008145832-3008145932</t>
  </si>
  <si>
    <t>CALLE 12 NRO 11-74 BARR CENTRO</t>
  </si>
  <si>
    <t>FIDEL ENRIQUE</t>
  </si>
  <si>
    <t>PEREZ MARTINEZ</t>
  </si>
  <si>
    <t xml:space="preserve">MARIA DE LA CONCEPCIÓN </t>
  </si>
  <si>
    <t>GUERRA GALVAN</t>
  </si>
  <si>
    <t>7837243-3205946501</t>
  </si>
  <si>
    <t xml:space="preserve"> BARRIO SANTA TERESITA CLL 2</t>
  </si>
  <si>
    <t>ETILVIA</t>
  </si>
  <si>
    <t>QUINTERO DE CADENA</t>
  </si>
  <si>
    <t>CALLE 64 A # 7-04 urb. Mirefugio</t>
  </si>
  <si>
    <t>MARIA LOURDES</t>
  </si>
  <si>
    <t>ARCIA SIERRA</t>
  </si>
  <si>
    <t>CRA 13 # 16-24 B/SAN LUIS</t>
  </si>
  <si>
    <t xml:space="preserve">7722706-3206452328
</t>
  </si>
  <si>
    <t>JACKELINE</t>
  </si>
  <si>
    <t>SIERRA PERNA</t>
  </si>
  <si>
    <t>3106649786-3012109861</t>
  </si>
  <si>
    <t>DILAN JAVIER</t>
  </si>
  <si>
    <t>VARGARA DIAZ</t>
  </si>
  <si>
    <t>CUADRIPLEJIA ESPASTICA</t>
  </si>
  <si>
    <t>3 PALMAS VIA TIERRALTA</t>
  </si>
  <si>
    <t>8 SS AL MES DE C/U  X 3 MESES</t>
  </si>
  <si>
    <t>17/12/2018 AL 18/01/2019</t>
  </si>
  <si>
    <t>ELA</t>
  </si>
  <si>
    <t>EVER LUIS</t>
  </si>
  <si>
    <t>RODRIGUEZ ANGULO</t>
  </si>
  <si>
    <t>TRAUMATISMO RAQUIMEDULAR</t>
  </si>
  <si>
    <t>B/BOSQUE CRA 10 #9-23</t>
  </si>
  <si>
    <t>3226987190-3107425906</t>
  </si>
  <si>
    <t>SUSANA BUELVAS</t>
  </si>
  <si>
    <t>POLITRAUMATISMO</t>
  </si>
  <si>
    <t>HERIDA POR ARMA DE FUEGO</t>
  </si>
  <si>
    <t>ACV ISQUEMICO</t>
  </si>
  <si>
    <t>ARACHE</t>
  </si>
  <si>
    <t>JORGE EFRAIN</t>
  </si>
  <si>
    <t>GONZALEZ REGINO</t>
  </si>
  <si>
    <t>PARKINSON-ALZHEIMER</t>
  </si>
  <si>
    <t>MARTHA DIAZ</t>
  </si>
  <si>
    <t>hospitalizado infomra tL leidy 09/01/2019 al 22/01/2019, y vuelve a urgencias el 23/01/2019</t>
  </si>
  <si>
    <t>NEDY DEL ROSARIO</t>
  </si>
  <si>
    <t>MONTECINO MADERA</t>
  </si>
  <si>
    <t>ANEURISMA + HEMORRAGIA SUBARACNOIDEA</t>
  </si>
  <si>
    <t>3205536944-3216505439</t>
  </si>
  <si>
    <t>CALLE 26 F #25-43 B/NUEVA COLOMBIA</t>
  </si>
  <si>
    <t>SECUELAS DE TEC</t>
  </si>
  <si>
    <t>MARIA GREGORIA</t>
  </si>
  <si>
    <t>BARRIOS PUELLO</t>
  </si>
  <si>
    <t>MZ 41 LT 21 B/CANTACLARO</t>
  </si>
  <si>
    <t>3014785198-3145865317</t>
  </si>
  <si>
    <t>FX CUELLO DE FEMUR</t>
  </si>
  <si>
    <t>DESIDERIO DORIA</t>
  </si>
  <si>
    <t>RAQUEL DE LOS SANTOS</t>
  </si>
  <si>
    <t>GOMEZ SUAREZ</t>
  </si>
  <si>
    <t>CALLE 59 #9-60 B/LA CASTELLANA</t>
  </si>
  <si>
    <t>3116880200-3106210534</t>
  </si>
  <si>
    <t>NEILA ROSA</t>
  </si>
  <si>
    <t>RAMOS DORIA</t>
  </si>
  <si>
    <t>LESION DE SITIOS CONTIGUOS DE LA VEJIGA</t>
  </si>
  <si>
    <t>CRA 15 26-23 -BARRIO : NUEVO CAMPO ALEGRE</t>
  </si>
  <si>
    <t>PLINIO RAMON</t>
  </si>
  <si>
    <t>PEREZ</t>
  </si>
  <si>
    <t>CARDIOMIOPATIA</t>
  </si>
  <si>
    <t>BARRIO EL CARMEN CALLE
17C NRO 2-51</t>
  </si>
  <si>
    <t>CL 70 BIS NRO 77J 65</t>
  </si>
  <si>
    <t>PDTE EVENTO 06/02/2019 CON TO 20, TL 20, TF 8 QUE VENCEN EL 28/02/2019 +PAQ CRONICO</t>
  </si>
  <si>
    <t>CENOVIA ALMANZA</t>
  </si>
  <si>
    <t>160000, la terapueta maniniesta que el paciente no desea hacerse mas terapais06/02/2019</t>
  </si>
  <si>
    <t>PDTE VALORACIÓN POR ESPECIALISTA</t>
  </si>
  <si>
    <t>VALORACIONES</t>
  </si>
  <si>
    <t>UNICOR</t>
  </si>
  <si>
    <t>ELVIA CRISTINA</t>
  </si>
  <si>
    <t>VERGARA DE PORTACIO</t>
  </si>
  <si>
    <t>3215473774 - 3103629338</t>
  </si>
  <si>
    <t>CRRA 8 # 40- 34 BARRIO NARIÑO</t>
  </si>
  <si>
    <t>GLECIA ELENA</t>
  </si>
  <si>
    <t>YEPES DE SEPULVEDA</t>
  </si>
  <si>
    <t xml:space="preserve">calle 6 # 17-33 Barrio Alto Prado </t>
  </si>
  <si>
    <t>$16000 POR SESION</t>
  </si>
  <si>
    <t>BEATRIZ MARIA</t>
  </si>
  <si>
    <t>QUIÑONEZ DIAZ</t>
  </si>
  <si>
    <t>CLL 37 N°6W-18 JUAN 23</t>
  </si>
  <si>
    <t>MARIA CAROLINA BARCO</t>
  </si>
  <si>
    <t>ORDEN VIGENTE DESDE EL 01/02/2019 AL 31/05/2019, CON TO 20, TL 20,  X 4 MESES</t>
  </si>
  <si>
    <t>ANA GABRIELA</t>
  </si>
  <si>
    <t>BUELVAS DORIA</t>
  </si>
  <si>
    <t>B/MI RANCHITO MZ 53 LT 26</t>
  </si>
  <si>
    <t>3153372901- 310488750</t>
  </si>
  <si>
    <t>hospitalizada informa la FT biavelsi 12/02/2019, desde el 09/02/2019</t>
  </si>
  <si>
    <t>cALLE PRINCIPAL CIENAGA DE ORO</t>
  </si>
  <si>
    <t>SABAS DE LOS SANTOS</t>
  </si>
  <si>
    <t>TUIRAN VARGAS</t>
  </si>
  <si>
    <t>ANA ISABEL</t>
  </si>
  <si>
    <t>ARGUMEDO DE SIBAJA</t>
  </si>
  <si>
    <t>B/JUAN XXIII CALLE 6W-28</t>
  </si>
  <si>
    <t>3003423507-7951599</t>
  </si>
  <si>
    <t xml:space="preserve">DELMIRO </t>
  </si>
  <si>
    <t>VARGAS VARGAS</t>
  </si>
  <si>
    <t>MIELITIS+VIH</t>
  </si>
  <si>
    <t>MZ C LT48 B/EL ALIVIO</t>
  </si>
  <si>
    <t>3007360240-3116594036</t>
  </si>
  <si>
    <t>TOVAR DE RAMIREZ</t>
  </si>
  <si>
    <t>B/SANTA TERESITA CALLE 1 # 9-67   3215201988-3054346181</t>
  </si>
  <si>
    <t>B/JERUSALEN CLLE 23 CRA 10     3145141596</t>
  </si>
  <si>
    <t>B/SANTA TERESA CALLE 21 #8A-13     3187664648</t>
  </si>
  <si>
    <t>B/SAN ROQUE CALLE 12 #16-22    3005024497</t>
  </si>
  <si>
    <t>CORREGIMIENTO TIERRALTA 3045275457 - 3116746879</t>
  </si>
  <si>
    <t>CASERIO MORALITO 3214007401-3135272095-3235167595</t>
  </si>
  <si>
    <t xml:space="preserve">B/LOS RECUERDOS MZ A TORRE 2 3007984914 </t>
  </si>
  <si>
    <t>ORDEN POR 3 MESES  DEL 1/01/2019 AL 30/03/2019</t>
  </si>
  <si>
    <t>ORDEN POR 4 MESES  DEL 1/02/2019 AL 31/05/2019</t>
  </si>
  <si>
    <t>SE FUE PARA MEDELLIN</t>
  </si>
  <si>
    <t>B/la inmaculada cRa 4 g # 15 - 42      3135985452-3145959770</t>
  </si>
  <si>
    <t>B/EL MOGAMBO MZ. 11 LOTE 04     3225970377</t>
  </si>
  <si>
    <t>16 SS AL MES X 6 MESES                                               FECHA DE INICIO 12/02/2019 Y FINALIZA EL 11/08/2019</t>
  </si>
  <si>
    <t>se realiza TF c/12h  por orden medica</t>
  </si>
  <si>
    <t>IDALIDES</t>
  </si>
  <si>
    <t>PACHECO LOPEZ</t>
  </si>
  <si>
    <t>BRONCONEUMONIA</t>
  </si>
  <si>
    <t>3135261421-3124533790</t>
  </si>
  <si>
    <t>MZ 5 LT 4 BR REPUBLICA DE PANAMA</t>
  </si>
  <si>
    <t>LUIS GUILLERMO</t>
  </si>
  <si>
    <t>FABRA NEGRETE</t>
  </si>
  <si>
    <t>MZ I BLOQUE5 APTO 108 B/LOS RECUERDOS</t>
  </si>
  <si>
    <t>3135165579-3135328837</t>
  </si>
  <si>
    <t>MARIA GUILLERMINA</t>
  </si>
  <si>
    <t>VARGAS GONZALEZ</t>
  </si>
  <si>
    <t xml:space="preserve">barrio los Robles 2 mz p lote 24 </t>
  </si>
  <si>
    <t>3145880355- 3103537488</t>
  </si>
  <si>
    <t>MAIRA ALEJANDRA</t>
  </si>
  <si>
    <t>PADILLA ROMERO</t>
  </si>
  <si>
    <t>CALLE 23 CRA 13 APTO 26 B/EL DORADO</t>
  </si>
  <si>
    <t>3145961484-3206708010</t>
  </si>
  <si>
    <t>12 SS X MES X 3 MESES</t>
  </si>
  <si>
    <t>B/CHUCHURIBI</t>
  </si>
  <si>
    <t>NO SE A PODIDO INICIAR DEBIDO A Q SE ENCUENTRA EN SINCELEJO Y UNA VEZ LLEGA SE HOPITALIZA</t>
  </si>
  <si>
    <t>CARMELO JESUS</t>
  </si>
  <si>
    <t>ARGEL DAZA</t>
  </si>
  <si>
    <t>QUEMADURA</t>
  </si>
  <si>
    <t>FERNANDO DIONISIO</t>
  </si>
  <si>
    <t>AVILEZ HUMANEZ</t>
  </si>
  <si>
    <t>CEDULA</t>
  </si>
  <si>
    <t>COMPRESION RADICULAR</t>
  </si>
  <si>
    <t>21/01/2019 AL 19/02/2019</t>
  </si>
  <si>
    <t>KRA 7 N. 7-95 B/ EL PORVERNIR</t>
  </si>
  <si>
    <t>FRANCISCO JAVIER</t>
  </si>
  <si>
    <t>FLOREZ CAMACHO</t>
  </si>
  <si>
    <t>7822830-3044755435</t>
  </si>
  <si>
    <t>CALLE 32 # 10-65 B/ CENTRO</t>
  </si>
  <si>
    <t>QUINTINA MARIA</t>
  </si>
  <si>
    <t>HERNANDEZ LEON</t>
  </si>
  <si>
    <t xml:space="preserve"> MZ 3 LOTE 14 BARRIO LA VID</t>
  </si>
  <si>
    <t>MYRIAM CECILIA</t>
  </si>
  <si>
    <t>BUELVAS DE CORRALES</t>
  </si>
  <si>
    <t>CA PIEL</t>
  </si>
  <si>
    <t>3013217742 3014660845</t>
  </si>
  <si>
    <t xml:space="preserve">CALLE 51 # 14 D -16 MONTE VERDE </t>
  </si>
  <si>
    <t>PDTE ORDEN DEL 20/02/2019 EN CARPETA CON TF12 Y TO12 X 3 MESES PARA INICIAR UNA VEZ TERMINE LA ANTERIOR 08/04/2019</t>
  </si>
  <si>
    <t>fallece informa daniel el 23022019</t>
  </si>
  <si>
    <t>JOSEFA ISABEL</t>
  </si>
  <si>
    <t>CADRAZCO BLANQUICETH</t>
  </si>
  <si>
    <t>HEMANGIOMA</t>
  </si>
  <si>
    <t>3006552937-3157392681</t>
  </si>
  <si>
    <t>CALLE 37 #10-04</t>
  </si>
  <si>
    <t xml:space="preserve">NAYIBES DEL CARMEN </t>
  </si>
  <si>
    <t xml:space="preserve">MONTES FAJARDO </t>
  </si>
  <si>
    <t>EL CAÑITO</t>
  </si>
  <si>
    <t>320 391 4693</t>
  </si>
  <si>
    <t>FALLECIO INFORMA FT JAIME 25/02/2019</t>
  </si>
  <si>
    <t>MARIA VALENTINA</t>
  </si>
  <si>
    <t>GARCIA GOMEZ</t>
  </si>
  <si>
    <t>MZ 22 LT 31 B/RANCHO GRANDE</t>
  </si>
  <si>
    <t>VoBo para el mes de marzo 27/02/2019</t>
  </si>
  <si>
    <t xml:space="preserve">ORFELINA </t>
  </si>
  <si>
    <t>ALVAREZ MORENO</t>
  </si>
  <si>
    <t>PROMOSALUD</t>
  </si>
  <si>
    <t xml:space="preserve">3184374454 HIJO ERIBERTO </t>
  </si>
  <si>
    <t xml:space="preserve">FANNY ESTER </t>
  </si>
  <si>
    <t xml:space="preserve">SUAREZ VERTEL </t>
  </si>
  <si>
    <t>MIOSITIS - FIBROSIS QUISTICA</t>
  </si>
  <si>
    <t xml:space="preserve">3045741119 HERMANA MARY </t>
  </si>
  <si>
    <t>HIDALGO ELIAS</t>
  </si>
  <si>
    <t>VELEZ SIMONDS</t>
  </si>
  <si>
    <t>LESION RAQUIMEDULAR C4-C5</t>
  </si>
  <si>
    <t>PAQ 01/02/2019 VALIDO HASTA EL 31/07/2019 X 6 MESES 30 SS MENSUALES, 180 TOTAL</t>
  </si>
  <si>
    <t>JOSEFA NOLIS</t>
  </si>
  <si>
    <t>CANTERO MARTINEZ</t>
  </si>
  <si>
    <t>3106026392-3128649046</t>
  </si>
  <si>
    <t xml:space="preserve">GABRIEL </t>
  </si>
  <si>
    <t>SPATH ASAB</t>
  </si>
  <si>
    <t>RESECCIÓN TUMORAL  CEREBRO</t>
  </si>
  <si>
    <t>ORTEGA PACHECO</t>
  </si>
  <si>
    <t xml:space="preserve">PROMOSALUD </t>
  </si>
  <si>
    <t>POP TUMOR CEREBRAL</t>
  </si>
  <si>
    <t xml:space="preserve">ORDEN VIGENTE POR 6 MESES DESDE FEBRERO A JULIO DE 2019. RECIBIDA EL 20/02/2019 CON TF 20, TL20, TR 60 POR MES </t>
  </si>
  <si>
    <t>LISETH ACOSTA</t>
  </si>
  <si>
    <t xml:space="preserve">ROBERT DE JESUS </t>
  </si>
  <si>
    <t>GALVAN PETRO</t>
  </si>
  <si>
    <t xml:space="preserve"> ORDEN EN CARPERA POR 6 MESES FI 01/12/2018 AL 30/05/2019, CON TF 20, TO 20, TL 20, TR 20</t>
  </si>
  <si>
    <t xml:space="preserve">EULOGIA VICTORIA </t>
  </si>
  <si>
    <t xml:space="preserve">SANCHEZ BUELVAS </t>
  </si>
  <si>
    <t>ATAXIA CEREBELOSA</t>
  </si>
  <si>
    <t>CALLE 20 CRA 15 B/BRISALIA PLANETA RICA 3003157807</t>
  </si>
  <si>
    <t>HELDA ROSA</t>
  </si>
  <si>
    <t>ROMERO DE OTERO</t>
  </si>
  <si>
    <t>PARKINSON + ALZHEIMER</t>
  </si>
  <si>
    <t>EDELMIRA ROSA</t>
  </si>
  <si>
    <t>ECHEVARRIA</t>
  </si>
  <si>
    <t>MZ 8 LT 13 B/SANTA FE    3215326011</t>
  </si>
  <si>
    <t xml:space="preserve">PAQUETE X 4 MESES INICIA EL 01/01/2019 Y FINALIZA 30/04/2019 CON TF Y TL 20SS DE C/U MENSUALES </t>
  </si>
  <si>
    <t xml:space="preserve">GLORIA STELLA </t>
  </si>
  <si>
    <t>MARTINEZ MEDRANO</t>
  </si>
  <si>
    <t>PAQUETE X 6 MESES: INICIA  15/02/2019 AL 31/07/2019</t>
  </si>
  <si>
    <t>JUAN GUILLERMO</t>
  </si>
  <si>
    <t>ROMERO CORENA</t>
  </si>
  <si>
    <t>B/SAN JOSE CALLE 9 # 10-09    3218279582</t>
  </si>
  <si>
    <t>TATIANA QUIÑONEZ</t>
  </si>
  <si>
    <t xml:space="preserve">Del 28/01/2019 al 05/02/2019:   8 ss 
Del 06/02/2019 al 05/03/2019:  24 ss 
Del 06/03/2019 al 05/04/2019:  24 ss 
Del 06/04/2019 al 05/05/2019:  16 ss </t>
  </si>
  <si>
    <t>BLANCA ROSA</t>
  </si>
  <si>
    <t>MARTINEZ DE PEREZ</t>
  </si>
  <si>
    <t>CRA 11 # 16-116 B/EL EDEN 3224515743-7644176</t>
  </si>
  <si>
    <t xml:space="preserve">ANGELICA MARTINEZ </t>
  </si>
  <si>
    <t>Orden vigente de forma permanente</t>
  </si>
  <si>
    <t xml:space="preserve">1 Valoración por TS durate el mes de febrero 2019. </t>
  </si>
  <si>
    <t>ROBERTO MANUEL</t>
  </si>
  <si>
    <t>FUENTES</t>
  </si>
  <si>
    <t xml:space="preserve">CALLE 7 #7A-59 B/SAN JOSE3016063945-3145171025 </t>
  </si>
  <si>
    <t>PEDIR PCTE MES A MES     AUTORIZADO FEBRERO</t>
  </si>
  <si>
    <t xml:space="preserve">LUIS ALBERTO </t>
  </si>
  <si>
    <t>BULA SALAZAR</t>
  </si>
  <si>
    <t>B/LA GRANJA DGNAL 22 4-45       3013110979</t>
  </si>
  <si>
    <t>ORDEN QUE INICIA EL 01/02/2019 Y FINALIZA EL 30/04/2019  60 ss de c/u</t>
  </si>
  <si>
    <t>CARLOS JOSE</t>
  </si>
  <si>
    <t>MERCADO BORJA</t>
  </si>
  <si>
    <t>CRA 7 # 4-51 B/20 JULIO MOCARI</t>
  </si>
  <si>
    <t>PREVIA AUTORIZACION MENSUAL</t>
  </si>
  <si>
    <t>DANIEL DARIO</t>
  </si>
  <si>
    <t>PEREZ DE LA ROSA</t>
  </si>
  <si>
    <t>INFARTO MEDULAR</t>
  </si>
  <si>
    <t>B/SANTA LUCIA TV 2 A #26-65</t>
  </si>
  <si>
    <t>MYRYAM ODILI</t>
  </si>
  <si>
    <t>PINEDA DORIA</t>
  </si>
  <si>
    <t>B/LA PRADERA MZ 109 Lt 9 etapa 2</t>
  </si>
  <si>
    <t>JUAN DIEGO</t>
  </si>
  <si>
    <t>HERNANDEZ ESPITIA</t>
  </si>
  <si>
    <t>DISTROFIA MUSCULAR DE DUCHENNE</t>
  </si>
  <si>
    <t>KM 7 VIA CERETE</t>
  </si>
  <si>
    <t>10 SS AL MES X DOS MESES</t>
  </si>
  <si>
    <t>MARTHA LUCIA</t>
  </si>
  <si>
    <t>GOMEZ CHAPARRO</t>
  </si>
  <si>
    <t>GLIOBLASTOMA MULTIFORME</t>
  </si>
  <si>
    <t>B/VILLA CAMPESTRE CALLE 47 # 15 B- 06</t>
  </si>
  <si>
    <t>3154905263-3158322322</t>
  </si>
  <si>
    <t>ELEODORO ENRIQUE</t>
  </si>
  <si>
    <t>BERRIO CUELLO</t>
  </si>
  <si>
    <t>B/NUEVA ESPERANZA MZ 24 LT 34</t>
  </si>
  <si>
    <t>3137765506-3233178895</t>
  </si>
  <si>
    <t>GOMEZ ALMANZA</t>
  </si>
  <si>
    <t>DG 4 # 6-84 B/LA GRANJA</t>
  </si>
  <si>
    <t>EDITH DEL CARMEN</t>
  </si>
  <si>
    <t>BALLESTERO DE HOYOS</t>
  </si>
  <si>
    <t>DORSALGIA</t>
  </si>
  <si>
    <t>CALLE 6 # 18-46 B/6 MARZO</t>
  </si>
  <si>
    <t>3116558216-3126717584</t>
  </si>
  <si>
    <t>ARSOBIA SOFIA</t>
  </si>
  <si>
    <t>ECHEVERRIA HERNANDEZ</t>
  </si>
  <si>
    <t>CALLE 23 #6-41 B/SAN MARTIN</t>
  </si>
  <si>
    <t>3205156245-3014817953</t>
  </si>
  <si>
    <t xml:space="preserve">Paciente con corte mesual  TF 20- TO 20 Y FONO 20    X 6 MESES </t>
  </si>
  <si>
    <t xml:space="preserve"> HH</t>
  </si>
  <si>
    <t>RUTH DEL CARMEN</t>
  </si>
  <si>
    <t>BALETA NULE</t>
  </si>
  <si>
    <t>BRONQUITIS CRONICA</t>
  </si>
  <si>
    <t>B/EL EDEN DG 19 #15A-27</t>
  </si>
  <si>
    <t>3215432604-3225472898 LILIBETH</t>
  </si>
  <si>
    <t xml:space="preserve">IRENE MARIA </t>
  </si>
  <si>
    <t>ABDALA MARTINEZ</t>
  </si>
  <si>
    <t>MATEO GOMEZ</t>
  </si>
  <si>
    <t>3226006856-8985826</t>
  </si>
  <si>
    <t xml:space="preserve">GUILLERMO </t>
  </si>
  <si>
    <t>CORREA</t>
  </si>
  <si>
    <t>B/COMFACOR Cra 12c #126-28</t>
  </si>
  <si>
    <t>POLINEUROPATIA DIABETICA</t>
  </si>
  <si>
    <t>ELIAS</t>
  </si>
  <si>
    <t xml:space="preserve">NASSIF HAMATY </t>
  </si>
  <si>
    <t>3126944646-3128935234</t>
  </si>
  <si>
    <t>CALLE 21 #11-26 B/JERUSALEM</t>
  </si>
  <si>
    <t>MACEA PEREZ</t>
  </si>
  <si>
    <t>B/SANTA FE MZ35 LT 2</t>
  </si>
  <si>
    <t>PDTE CON LA NUEA ORDEN ELSITA ME INFORMA EL 28/02/2019</t>
  </si>
  <si>
    <t>SE REALIZA 20 SS DE C/U X 6 MESES</t>
  </si>
  <si>
    <t>JAIRO DARIO</t>
  </si>
  <si>
    <t>LAMBERTINEZ NAVARRO</t>
  </si>
  <si>
    <t>NEUMONIA+ANEURISMA</t>
  </si>
  <si>
    <t>CALLE 28 # 11W-24 B/EL DORADO</t>
  </si>
  <si>
    <t>ORDEN VIGENTE POR 3 MESES DESDE MARZO 20 SS C/U  HASTA MAYO</t>
  </si>
  <si>
    <t>B/SANTA ELENA 1 MZ. Q LT 6  3204598419-3146182306 -3116805172</t>
  </si>
  <si>
    <t>DANNAGREY MARTINEZ</t>
  </si>
  <si>
    <t>TR C/12H</t>
  </si>
  <si>
    <t>AURA LORENZA</t>
  </si>
  <si>
    <t>LOBELO CARMENO</t>
  </si>
  <si>
    <t>NEUMONIA</t>
  </si>
  <si>
    <t>B/CASTILLAMCALLE 101 #13-91</t>
  </si>
  <si>
    <t>TR C/8 H</t>
  </si>
  <si>
    <t>MIGUEL ANTONIO</t>
  </si>
  <si>
    <t>MARQUEZ HERNANDEZ</t>
  </si>
  <si>
    <t>DEBORA JUDITH</t>
  </si>
  <si>
    <t>CONTRERAS LOPEZ</t>
  </si>
  <si>
    <t>CRA11N 31 34 BARRIO CENTRO</t>
  </si>
  <si>
    <t>HECTOR ANDRES</t>
  </si>
  <si>
    <t>CANTILLO OTERO</t>
  </si>
  <si>
    <t>CA CEREBRAL</t>
  </si>
  <si>
    <t>MARGARITA MARIA</t>
  </si>
  <si>
    <t>LAGARES RAMOS</t>
  </si>
  <si>
    <t>IRA</t>
  </si>
  <si>
    <t>ELVIRA LUCIA</t>
  </si>
  <si>
    <t>BANDA HUMANES</t>
  </si>
  <si>
    <t>CORREGIMIENTO ARACHE</t>
  </si>
  <si>
    <t>FRANCIA HELENA</t>
  </si>
  <si>
    <t>AVILA DE JULIO</t>
  </si>
  <si>
    <t>CORREGIMIENTO BAJO LIMON</t>
  </si>
  <si>
    <t>EUGENIA</t>
  </si>
  <si>
    <t>NAVAJA DE MESQUIDA</t>
  </si>
  <si>
    <t>SANTANDER MOMIL</t>
  </si>
  <si>
    <t>TRAQUEOSTOMIA</t>
  </si>
  <si>
    <t>3205932473-3116532298</t>
  </si>
  <si>
    <t xml:space="preserve">MANUEL </t>
  </si>
  <si>
    <t>MORELO TUIRAN</t>
  </si>
  <si>
    <t>HIC</t>
  </si>
  <si>
    <t>B/LAS MARIAS</t>
  </si>
  <si>
    <t>FX PERTROCANTERICA</t>
  </si>
  <si>
    <t>JORGE LUIS</t>
  </si>
  <si>
    <t>MZ 6 LT 10 B/SANTA ELENA</t>
  </si>
  <si>
    <t>TF 20 SS AL MES X 3 MESES</t>
  </si>
  <si>
    <t>EDUARDO DEMETRIO</t>
  </si>
  <si>
    <t>SOFAN ASIAS</t>
  </si>
  <si>
    <t>MZ 65 LT 4 ETP 7 B/LA PRADERA</t>
  </si>
  <si>
    <t>3135744345-3145782263</t>
  </si>
  <si>
    <t>TF 12 SS X 2 MESES</t>
  </si>
  <si>
    <t>PDTE ORDEN 20 SS TF X 6 MESES, MARZO, ABRIL, MAYO , JUNIO, JULIO Y AGOSTO.</t>
  </si>
  <si>
    <t>ALBERTO MANUEL</t>
  </si>
  <si>
    <t>NEGRETE VEGA</t>
  </si>
  <si>
    <t>3146375942-3175904860</t>
  </si>
  <si>
    <t>B/EL EDEN CRA 15 C # 34A-76</t>
  </si>
  <si>
    <t>FALLECIO INFORMA FT SUSANA  04/03/2019</t>
  </si>
  <si>
    <t>ORDEN VIGENTE POR 3 MESES ENERO, FEBRERO Y MARZO 20 SS TO</t>
  </si>
  <si>
    <t>NEUROPATIA</t>
  </si>
  <si>
    <t xml:space="preserve">CALLE 76 NUMERO 2-85 BARRIO SAN FRANCISCO </t>
  </si>
  <si>
    <t xml:space="preserve">B/BOSTON DIAGONAL 3N 16A-59 </t>
  </si>
  <si>
    <t>3006585730-3003746226-3188886377</t>
  </si>
  <si>
    <t xml:space="preserve">B/EDMUNDO LOPEZ ETAPA 9 #19-39 </t>
  </si>
  <si>
    <t>SAEZ GERMAN</t>
  </si>
  <si>
    <t>DOMINGO JOSE</t>
  </si>
  <si>
    <t>JORGE ENRIQUE</t>
  </si>
  <si>
    <t xml:space="preserve">ANDRADE </t>
  </si>
  <si>
    <t>3205767718-3216630629-7817960</t>
  </si>
  <si>
    <t>3205482161-3145385070</t>
  </si>
  <si>
    <t>B/EDMUNDO LOPEZ TRANS 22 # 14-100</t>
  </si>
  <si>
    <t>B/CHUCHURUBI CALLE 22 # 4-19</t>
  </si>
  <si>
    <t>FUENTES GARCES</t>
  </si>
  <si>
    <t>PASATIEMPO CALLE 22 #18A-512</t>
  </si>
  <si>
    <t>MANUEL ESTEBAN</t>
  </si>
  <si>
    <t>MERCADO LEON</t>
  </si>
  <si>
    <t>CENTRO CRA 11 # 31-34</t>
  </si>
  <si>
    <t>FLOREZ FERNANDEZ</t>
  </si>
  <si>
    <t>MARCO ANTONIO</t>
  </si>
  <si>
    <t>B/EDMUNDO LOPEZ ETAPA 4 DG 11 # 30-82</t>
  </si>
  <si>
    <t>TABOADA GUTIERREZ</t>
  </si>
  <si>
    <t>ALVARO ANTONIO</t>
  </si>
  <si>
    <t>B/FLORESTA CRA 15 B #36-41</t>
  </si>
  <si>
    <t>PEREZ DIAZ</t>
  </si>
  <si>
    <t>LAUREANO</t>
  </si>
  <si>
    <t>POP ANEURISMA</t>
  </si>
  <si>
    <t>B/EL PRADO DG 2A #9-44</t>
  </si>
  <si>
    <t>MONTES PACHECO</t>
  </si>
  <si>
    <t>GERMAN EMIRO</t>
  </si>
  <si>
    <t>7957761-3016796634</t>
  </si>
  <si>
    <t>CENTRO CALLE 25 # 6-57</t>
  </si>
  <si>
    <t>JARAMILLO PICO</t>
  </si>
  <si>
    <t>ERASMO</t>
  </si>
  <si>
    <t>B/PRIMERO DE MAYO MZ 3 LT 15</t>
  </si>
  <si>
    <t>ARISTIZABAL RAMIREZ</t>
  </si>
  <si>
    <t>JESUS</t>
  </si>
  <si>
    <t>ALBA MARINA</t>
  </si>
  <si>
    <t>HERNANDEZ PERNETH</t>
  </si>
  <si>
    <t>RETIRO DE LOS INDIOS</t>
  </si>
  <si>
    <t>FRENTE AL BANCO AGRARIO</t>
  </si>
  <si>
    <t>B/PASATIEMPO CALLE 27 #17-44</t>
  </si>
  <si>
    <t>WALBERTO ANTONIO</t>
  </si>
  <si>
    <t>VILLADIEGO RAMIREZ</t>
  </si>
  <si>
    <t>B/BOSTON DG 3 # 16-17</t>
  </si>
  <si>
    <t>BARRIO POLICARPA DIAGONAL 8</t>
  </si>
  <si>
    <t>LUIS CARMELO</t>
  </si>
  <si>
    <t>SOTO PICO</t>
  </si>
  <si>
    <t>B/COSTA DE ORO CALLE 28 # 15-18</t>
  </si>
  <si>
    <t>MARQUEZ GONZALEZ</t>
  </si>
  <si>
    <t>B/PRIMERO D MAYO MZ 11 LT8</t>
  </si>
  <si>
    <t>ARJONA HINCAPIE</t>
  </si>
  <si>
    <t>CENTRO 25 #10-26</t>
  </si>
  <si>
    <t>RODRIGUEZ MONTES</t>
  </si>
  <si>
    <t>RAUL RICARDO</t>
  </si>
  <si>
    <t>3107094649-3107094649</t>
  </si>
  <si>
    <t>B/SUCRE CRA 1 A # 43-30</t>
  </si>
  <si>
    <t>LOZANO MESTRA</t>
  </si>
  <si>
    <t>ANA MELISA</t>
  </si>
  <si>
    <t>INCONTINENCIA URINARIA</t>
  </si>
  <si>
    <t>K10W 23 15</t>
  </si>
  <si>
    <t>3136095545 -3126166796</t>
  </si>
  <si>
    <t>ARRIETA RICARDO</t>
  </si>
  <si>
    <t>JUAN FELIPE</t>
  </si>
  <si>
    <t>3013563685 - 3105949709</t>
  </si>
  <si>
    <t>CRA 2 88 21 BARRIO 7 DE MAYO</t>
  </si>
  <si>
    <t>ARTROSIS SECUNDARIAS</t>
  </si>
  <si>
    <t>PEREZ PADILLA</t>
  </si>
  <si>
    <t>ROSA ELENA</t>
  </si>
  <si>
    <t>LA CAMPIÑA MZ 13 LT 6</t>
  </si>
  <si>
    <t>BELTRAN DE MENDOZA</t>
  </si>
  <si>
    <t>CARLOTA CRISTINA</t>
  </si>
  <si>
    <t>CRA14B N38 48</t>
  </si>
  <si>
    <t>3106939680 - 7898333</t>
  </si>
  <si>
    <t>NUÑEZ GUERRA</t>
  </si>
  <si>
    <t>GLACIA ELVIRA</t>
  </si>
  <si>
    <t>7810632-3135415020</t>
  </si>
  <si>
    <t>B/SUCRE CRA 1 A # 43 A - 90</t>
  </si>
  <si>
    <t>PDTE EVENTO 06/03/2019 CON TO20, TL20, TF8 A REALIZAR EN MARZO 2019</t>
  </si>
  <si>
    <t>MOLINA DE ESTRADA</t>
  </si>
  <si>
    <t>ANA LUCIA</t>
  </si>
  <si>
    <t>CERMEÑO DE CARRASCAL</t>
  </si>
  <si>
    <t>HIPOTIROIDISMO</t>
  </si>
  <si>
    <t>7825049-3008174887</t>
  </si>
  <si>
    <t>B/VILLA CLARA CRA 9 A #22-55</t>
  </si>
  <si>
    <t>EDIFICIO FERBEL RECREO</t>
  </si>
  <si>
    <t>3145099493- 7956297</t>
  </si>
  <si>
    <t>BULA DE NEGRETE</t>
  </si>
  <si>
    <t>B/LA FLORESTA CALLE 36 3 14C-50</t>
  </si>
  <si>
    <t>MARTINEZ DE RAMOS</t>
  </si>
  <si>
    <t>RAFAELA</t>
  </si>
  <si>
    <t>B/LA GRANJA DG 12 #7-74</t>
  </si>
  <si>
    <t>ELIZABET TEODORA</t>
  </si>
  <si>
    <t>VEGA DE FIGUEROA</t>
  </si>
  <si>
    <t>B/SUCRE CALLE 42 A # 1B-84</t>
  </si>
  <si>
    <t>BRIANA INFORMA 30 TF, 30 PS, 30 TL, Y 40TO</t>
  </si>
  <si>
    <t>JUANA GUALBERTA</t>
  </si>
  <si>
    <t>TAPIA DE MARTINEZ</t>
  </si>
  <si>
    <t>3116982336-3015057135</t>
  </si>
  <si>
    <t>AGUDELO DIAZ</t>
  </si>
  <si>
    <t>MARIELA</t>
  </si>
  <si>
    <t>7945762-3146585460</t>
  </si>
  <si>
    <t>B/LA RIVERA MZ 5 LT 3</t>
  </si>
  <si>
    <t>QUINTERO DE URAN</t>
  </si>
  <si>
    <t>FANNY REBECA</t>
  </si>
  <si>
    <t>CENTRO CALLE 35 # 12-11B</t>
  </si>
  <si>
    <t>MARIA FILOMENA</t>
  </si>
  <si>
    <t>CORDERO AVILES</t>
  </si>
  <si>
    <t>CENTRO CRA 10 A # 40-32</t>
  </si>
  <si>
    <t>FRENYS CANDELARIA</t>
  </si>
  <si>
    <t>LOPEZ CASTELLANOS</t>
  </si>
  <si>
    <t>POLIMIOSITIS</t>
  </si>
  <si>
    <t>CENTRO CALLE 35 CRA 7 ESQUINA</t>
  </si>
  <si>
    <t>COGOLLO COGOLLO</t>
  </si>
  <si>
    <t>ELIZABETH</t>
  </si>
  <si>
    <t>3205182332-3215477345</t>
  </si>
  <si>
    <t>B/SANTA FE</t>
  </si>
  <si>
    <t>FERNANDEZ RODRIGUEZ</t>
  </si>
  <si>
    <t>JAIME</t>
  </si>
  <si>
    <t>TX MEDULA ESPINAL</t>
  </si>
  <si>
    <t>CENTRO CALLE 21 # 8-57</t>
  </si>
  <si>
    <t>WELINGTON JOSE</t>
  </si>
  <si>
    <t>GUERRA MARQUEZ</t>
  </si>
  <si>
    <t>B/P 5  DG 6 # 10B-46</t>
  </si>
  <si>
    <t>PDTE PAQUETE DE FEBRERO PARA FACTURAR EN MARZO</t>
  </si>
  <si>
    <t>TF12ss y TL12ss marzo VoBo el 07/03/2019 Dr Villalobos</t>
  </si>
  <si>
    <t>20 ss marzo VoBo el 07/03/2019 Dr Villalobos</t>
  </si>
  <si>
    <t>fallece informa ft jaime 07/03/2019</t>
  </si>
  <si>
    <t>PDTE PAQ CRONICO 06/03/2019 + EVENTO 07/03/2019 TL 20,  TF 8, TO 20. A REALIZAR EN MARZO 2019</t>
  </si>
  <si>
    <t>1+15</t>
  </si>
  <si>
    <t>MANUEL DIONISIO</t>
  </si>
  <si>
    <t>TORREGLOSA CAUSIL</t>
  </si>
  <si>
    <t>3206321852-3205080201</t>
  </si>
  <si>
    <t>B/LA VICTORIA MZ 8 LT 5</t>
  </si>
  <si>
    <t>ORDEN VIGENTE POR 6 MESES DESDE MARZO A  AGOSTO 2019 CON TF 20 SS</t>
  </si>
  <si>
    <t>ORDEN VIGENTE X 6 MESES DE ENERO A JULIO 2019, PEDIR POR CORREO EN ABRIL</t>
  </si>
  <si>
    <r>
      <t>VoBo para el mes de</t>
    </r>
    <r>
      <rPr>
        <sz val="11"/>
        <color rgb="FFFF0000"/>
        <rFont val="Calibri"/>
        <family val="2"/>
        <scheme val="minor"/>
      </rPr>
      <t xml:space="preserve"> marzo</t>
    </r>
    <r>
      <rPr>
        <sz val="11"/>
        <color theme="1"/>
        <rFont val="Calibri"/>
        <family val="2"/>
        <scheme val="minor"/>
      </rPr>
      <t xml:space="preserve"> 27/02/2019</t>
    </r>
  </si>
  <si>
    <t>VOBO para el mes de marzo 07/03/2019</t>
  </si>
  <si>
    <t xml:space="preserve">PDTE ORDEN PARA PSCOLOGIA DRA ANYEL </t>
  </si>
  <si>
    <t>VOBO MARZO 2019 01/03/2019</t>
  </si>
  <si>
    <r>
      <t xml:space="preserve">VoBo para el mes de </t>
    </r>
    <r>
      <rPr>
        <sz val="11"/>
        <color rgb="FFFF0000"/>
        <rFont val="Calibri"/>
        <family val="2"/>
        <scheme val="minor"/>
      </rPr>
      <t>marzo</t>
    </r>
    <r>
      <rPr>
        <sz val="11"/>
        <color theme="1"/>
        <rFont val="Calibri"/>
        <family val="2"/>
        <scheme val="minor"/>
      </rPr>
      <t xml:space="preserve"> 27/02/2019</t>
    </r>
  </si>
  <si>
    <r>
      <t>VoBo para el mes de</t>
    </r>
    <r>
      <rPr>
        <sz val="11"/>
        <color rgb="FFFF0000"/>
        <rFont val="Calibri"/>
        <family val="2"/>
        <scheme val="minor"/>
      </rPr>
      <t xml:space="preserve"> marzo </t>
    </r>
    <r>
      <rPr>
        <sz val="11"/>
        <color theme="1"/>
        <rFont val="Calibri"/>
        <family val="2"/>
        <scheme val="minor"/>
      </rPr>
      <t>27/02/2019</t>
    </r>
  </si>
  <si>
    <r>
      <t xml:space="preserve">28/02/2019 </t>
    </r>
    <r>
      <rPr>
        <b/>
        <sz val="11"/>
        <color theme="1"/>
        <rFont val="Calibri"/>
        <family val="2"/>
        <scheme val="minor"/>
      </rPr>
      <t>pdte orden por 1 mes con 12 tl y 20 tf fecha de inicio 07/03/2019</t>
    </r>
  </si>
  <si>
    <t>VIURLIS</t>
  </si>
  <si>
    <t>BRAVO</t>
  </si>
  <si>
    <t>REMPLAZO DE CADERA</t>
  </si>
  <si>
    <t>JUNIN</t>
  </si>
  <si>
    <t xml:space="preserve">MIGUEL VICENTE </t>
  </si>
  <si>
    <t>UPARELA PEREZ</t>
  </si>
  <si>
    <t xml:space="preserve">B/SAN ANTONIO </t>
  </si>
  <si>
    <t>B/BUENA VISTA CALLE 11 A # 8E-45</t>
  </si>
  <si>
    <t>MARGARITA DEL CARMEN</t>
  </si>
  <si>
    <t>DIAZ LUNA</t>
  </si>
  <si>
    <t>FX DE CADERA DERECHA</t>
  </si>
  <si>
    <t>URB EL LIMONAR  CLL 33 NR 36 A - 20</t>
  </si>
  <si>
    <t>3104703490 - 3175270881</t>
  </si>
  <si>
    <t>ROSA AMELIA</t>
  </si>
  <si>
    <t>ORTEGA VERGARA</t>
  </si>
  <si>
    <t>B/RANCHO GRANDE MZ 18 LT8</t>
  </si>
  <si>
    <t>3002122954-7862808</t>
  </si>
  <si>
    <t>MARIA CONCEPCIÓN</t>
  </si>
  <si>
    <t>GONZALEZ HOYOS</t>
  </si>
  <si>
    <t>CA ENDOCERVIX</t>
  </si>
  <si>
    <t>3103867212-3114209734</t>
  </si>
  <si>
    <t>B/FLORESTA CALLE 18 #33</t>
  </si>
  <si>
    <t> 6639381</t>
  </si>
  <si>
    <t>DOMINGA</t>
  </si>
  <si>
    <t>NARVAEZ CORREA</t>
  </si>
  <si>
    <t>B/SAN SEBASTIAN</t>
  </si>
  <si>
    <t>CECILIA ESTHER</t>
  </si>
  <si>
    <t>PEREIRA TORRES</t>
  </si>
  <si>
    <t>CALLE 68 #5-51 APTO 102A UNIDAD RESIDENCIAL EL RECREO</t>
  </si>
  <si>
    <t>3017603826-3007225507</t>
  </si>
  <si>
    <t>TR C/12 H X 10 DIAS</t>
  </si>
  <si>
    <t>ORDEN 03/03/2019 VIGENTE POR 6 MESES DESDE MARZO A  AGOSTO 2019 CON TF Y TO 20 SS</t>
  </si>
  <si>
    <t>ODEN VIGENTE POR  6 MESES HASTA MAYO</t>
  </si>
  <si>
    <t xml:space="preserve">ODEN09/03/2019 VIGENTE POR 4 MESES, MARZO A 30 JUNIO 2019 </t>
  </si>
  <si>
    <t xml:space="preserve">CARMEN </t>
  </si>
  <si>
    <t>ARGEL MESTRA</t>
  </si>
  <si>
    <t>vereda el tapao via sabanal</t>
  </si>
  <si>
    <t>HOSPITALIZADO INFORMA FT JAIME EL 11/03/2019</t>
  </si>
  <si>
    <t>B. El Recreo  Cra 5ta No. 66-58.</t>
  </si>
  <si>
    <t>3126229942-3134255984</t>
  </si>
  <si>
    <t xml:space="preserve">B/PASATIEMPO CALLE 24 #19-30 CASA 2         </t>
  </si>
  <si>
    <t>TERAPIAS PENDIENTES</t>
  </si>
  <si>
    <t>TIPO DE TERAPIAS</t>
  </si>
  <si>
    <t>PERMANENTE</t>
  </si>
  <si>
    <t>EVENTO 20 SS MARZO - 15 SS ABRIL</t>
  </si>
  <si>
    <t xml:space="preserve">B/RECREO CALLE 72 # 2-27 </t>
  </si>
  <si>
    <t>3505160916-3106048504-3136073858</t>
  </si>
  <si>
    <t>CLL 23 # 15-21 B/PASATIEMPO</t>
  </si>
  <si>
    <t>B/CASTELLANA EDF PALERMO  TORRE 1 APTO 302 CLL 59#7-28</t>
  </si>
  <si>
    <t>B/VILLA FATIMA MZ G LT 6</t>
  </si>
  <si>
    <t>7834512-3146665740</t>
  </si>
  <si>
    <t>orden VIGENTE DEL el 01/03/2019 al 31/05/2019, vigente por 3 meses con TF 20 y TL 20</t>
  </si>
  <si>
    <t>ARICINDA ROSA</t>
  </si>
  <si>
    <t>PICO DE GONZALEZ</t>
  </si>
  <si>
    <t>CONTUSION DE LA REGION LUMBOSACRA Y PELVIS</t>
  </si>
  <si>
    <t>CALLE 31 #1 A W -49 B/CAMPOALEGRE</t>
  </si>
  <si>
    <t>3114069818-3143150513</t>
  </si>
  <si>
    <t>GLADYS</t>
  </si>
  <si>
    <t>ARTEAGA</t>
  </si>
  <si>
    <t>VDA MANGELITO FINCA EL LEON</t>
  </si>
  <si>
    <t>TR C/4H X 5 DIAS</t>
  </si>
  <si>
    <t>LETTY ISABEL</t>
  </si>
  <si>
    <t>MARTINEZ DEL TORO</t>
  </si>
  <si>
    <t>3023836001-3145265915</t>
  </si>
  <si>
    <r>
      <t xml:space="preserve">CALLE 10 # 2-46 BARRIO: </t>
    </r>
    <r>
      <rPr>
        <sz val="8"/>
        <color theme="1"/>
        <rFont val="Calibri"/>
        <family val="2"/>
        <scheme val="minor"/>
      </rPr>
      <t>CENTRO CALLE SAGRADO CORAZON DE JESUS</t>
    </r>
  </si>
  <si>
    <t xml:space="preserve">11/03/2019 JEFE KELLY ACORDAMOS NO REALIZARALAS PORQUE CON LOS OTROS PAQUETES </t>
  </si>
  <si>
    <t>VDA LA CHAMARRA</t>
  </si>
  <si>
    <t>PACIETNE Q LLEGA A LA IPS ENVIADO DE PROMOSALUD HACIA LA IPS</t>
  </si>
  <si>
    <t xml:space="preserve">VDA EL VIRAL CRA 3 CALLE 5 #1-53       </t>
  </si>
  <si>
    <t>3104586228-3126350322</t>
  </si>
  <si>
    <t>ORDEN VIGENTE ENTREGADA EL 12/03/2019  X 3 MESES MARZO, ABRIL Y MAYO</t>
  </si>
  <si>
    <t>MILADIS ADELA</t>
  </si>
  <si>
    <t>ESTRELLA GOMEZ</t>
  </si>
  <si>
    <t>CALLE 20 CRA 6 Y 7 C/SAN MARTIN</t>
  </si>
  <si>
    <t>3012695251-3117091127-3126110691</t>
  </si>
  <si>
    <t>SE ENCUENTRA HOSPITALIZADA DESDE EL 10/03/2019 INFORMA TL CINDY</t>
  </si>
  <si>
    <t>VoBo 05/03/2019 para marzo</t>
  </si>
  <si>
    <t>VoBo 13/03/2019 PARA MARZO</t>
  </si>
  <si>
    <t>orden vigente desde el 12/03/2019 AL 11/07/2019 vigente por 4 meses, con TF20, TL 20, TO 20</t>
  </si>
  <si>
    <t>VoBo el 27/02/2019 para marzo</t>
  </si>
  <si>
    <t>VoBo para marzo 01/03/2019 TF 12, TL12, TR60</t>
  </si>
  <si>
    <t>ORDEN 01/03/2019 POR 2 MESES 30 MARZO- 30 ABRIL</t>
  </si>
  <si>
    <t>Vo Bo para marzo, pedir mes a mes.                 PACIENTE QUE INGRESA EL 05/03/2019  X 3 MESES, HASTA EL 30/05/2019 con tf 20 y tl 20 mensuales</t>
  </si>
  <si>
    <t>ARMEIDA DEL CARMEN</t>
  </si>
  <si>
    <t>B/BOLIVAR CALLE 21 #8A-26</t>
  </si>
  <si>
    <t>3233671666-3162834898</t>
  </si>
  <si>
    <t>TR C/12 H X 6 DIAS</t>
  </si>
  <si>
    <t>VICTOR HUGO</t>
  </si>
  <si>
    <t>NEGRETE JIMENEZ</t>
  </si>
  <si>
    <t>B/LA GRANJA TRANSV 7 # 12-34</t>
  </si>
  <si>
    <t>3145334352-3206389424</t>
  </si>
  <si>
    <t>PDTE ORDEN EN CARPETA DEL 14/03/2019, CON TF 20SS, PARA INICIAR EL 16/04/2019</t>
  </si>
  <si>
    <t>TATIANA LEONOR</t>
  </si>
  <si>
    <t>ANGEL COLLINS</t>
  </si>
  <si>
    <t>BRONQUITIS AGUDA</t>
  </si>
  <si>
    <t xml:space="preserve">B/NISPERO MZ 1 LT 06 </t>
  </si>
  <si>
    <t>3222138419-3006837819</t>
  </si>
  <si>
    <t>TR C/6 H X 6 DIAS</t>
  </si>
  <si>
    <t>JULIA</t>
  </si>
  <si>
    <t>VILLEGAS DE BUCHELI</t>
  </si>
  <si>
    <t>LUMBALGIA</t>
  </si>
  <si>
    <t>CALLE 43 B #16A-65 B/MONTEVERDE 2 CASA 1</t>
  </si>
  <si>
    <t>OSCAR EMILIO</t>
  </si>
  <si>
    <t>MENDOZA SAEZ</t>
  </si>
  <si>
    <t>TUMOR DE COMPORTAMIENTO INCIERTO</t>
  </si>
  <si>
    <t>DIRECCION TELEFONO</t>
  </si>
  <si>
    <t>PLAZA SAN NICOLAS 3128049749-3506895004</t>
  </si>
  <si>
    <t xml:space="preserve">VoBo PARA </t>
  </si>
  <si>
    <t>orden medica por 3 meses, marzo, abril y mayo 2019, sin autorizar</t>
  </si>
  <si>
    <t xml:space="preserve">JOSE ISABEL </t>
  </si>
  <si>
    <t>MENDOZA SUAREZ</t>
  </si>
  <si>
    <t>INSUFICIENCIA RESPIRATORIA</t>
  </si>
  <si>
    <t>COVEÑAS</t>
  </si>
  <si>
    <t>3126137162-3205455357</t>
  </si>
  <si>
    <t xml:space="preserve">TR DIARIA X 3 MESES, FI 16/03/2019 Y FE15/06/2019,      </t>
  </si>
  <si>
    <t>ANA VICTORIA</t>
  </si>
  <si>
    <t>HERRERA QUESADA</t>
  </si>
  <si>
    <t>PURISIMA</t>
  </si>
  <si>
    <t>PACHI</t>
  </si>
  <si>
    <t>TR DIARIA X 10 DIAS</t>
  </si>
  <si>
    <t>ELENA ROSA</t>
  </si>
  <si>
    <t>RAMOS ESCOBAR</t>
  </si>
  <si>
    <t>B/SAN LUIS CALLE 18 #8-34</t>
  </si>
  <si>
    <t>ROBERTO ANTONIO</t>
  </si>
  <si>
    <t>GONZALEZ GRANDETT</t>
  </si>
  <si>
    <t>CALLE 39 #20-12</t>
  </si>
  <si>
    <t>FALLECE INFORMA FT AURA MONTALVO 18/03/2019</t>
  </si>
  <si>
    <t>C/12H</t>
  </si>
  <si>
    <t>3103569557-3218628465 miriam hija</t>
  </si>
  <si>
    <t>MAXIMO RAFAEL</t>
  </si>
  <si>
    <t>RAMOS LOPEZ</t>
  </si>
  <si>
    <t>B/SAN RAFAEL CRA 16 #4-23</t>
  </si>
  <si>
    <t>20/02/2019 AL 21/03/2019</t>
  </si>
  <si>
    <t>21/03/2019 AL 30/04/2019</t>
  </si>
  <si>
    <t>FANNY</t>
  </si>
  <si>
    <t>PAEZ DE ESQUIVEL</t>
  </si>
  <si>
    <t>INSUF VENOSA</t>
  </si>
  <si>
    <t>B/EL DORADO CALLE 29 # 17 A W - 25</t>
  </si>
  <si>
    <t>MIRNA ROCIO</t>
  </si>
  <si>
    <t>RICARDO DE AYAZO</t>
  </si>
  <si>
    <t>DERMATOMIOSITIS</t>
  </si>
  <si>
    <t>B/CENTRO #5-12</t>
  </si>
  <si>
    <t>FANNY ISABEL</t>
  </si>
  <si>
    <t>GARCIA MESTRE</t>
  </si>
  <si>
    <t>VDA LAS GUAMAS</t>
  </si>
  <si>
    <t>3215523615
3114132265</t>
  </si>
  <si>
    <t>BRENDA BEDOYA</t>
  </si>
  <si>
    <t>12 SS C/U X MES X 3 MESES</t>
  </si>
  <si>
    <t>DEGIOVANNI MUÑOZ</t>
  </si>
  <si>
    <t>AUGUSTO ANTONIO</t>
  </si>
  <si>
    <t>B/MOGAMBO MZ 50 LT 11</t>
  </si>
  <si>
    <t>20 SS C/U X 4 MESES DE FEBRERO A MAYO 2019</t>
  </si>
  <si>
    <t>MARINA ISABEL</t>
  </si>
  <si>
    <t>LARA TORRES</t>
  </si>
  <si>
    <t>DOLOR ARTICULAR</t>
  </si>
  <si>
    <t>CRA 13 A CALLE 2 B/SAN JUAN</t>
  </si>
  <si>
    <t>ULISES MANUEL</t>
  </si>
  <si>
    <t>ALMANZA ALVAREZ</t>
  </si>
  <si>
    <t>B/CENTRO CALLE 28 # 8-41</t>
  </si>
  <si>
    <t>PEDRO ANTONIO</t>
  </si>
  <si>
    <t>ALMANZA PACHECO</t>
  </si>
  <si>
    <t>CA OSEO</t>
  </si>
  <si>
    <t>CRA 16 #2-51B/LAS COLINAS    3126266942</t>
  </si>
  <si>
    <t>VoBo 19/03/2019 al parecer indefinido.. Confirmar al finalizar el mes con la jefe yesenia</t>
  </si>
  <si>
    <t>SE ENCUENTRA EN URGENCIAS 19/03/2019 INFORMA FT JAIME</t>
  </si>
  <si>
    <t>pdte autorizar  evento, porque la usuaria tiene orden especialista en carpeta traida el 20/03/2019, con tf 20ss, total 180ss</t>
  </si>
  <si>
    <t>CECILIA DEL SOCORRO</t>
  </si>
  <si>
    <t>CALIS CHAMORRO</t>
  </si>
  <si>
    <t>B/ San Isidro</t>
  </si>
  <si>
    <t>FALLECIO INFORMA FT SUSANA  20/03/2019</t>
  </si>
  <si>
    <t>JESUS DEL CARMEN</t>
  </si>
  <si>
    <t>DESNUTRICION</t>
  </si>
  <si>
    <t>B/GUAYABAL CALLE 18 # 10-25</t>
  </si>
  <si>
    <t>SE ENCUENTRA HOSPITALIZADO INFORMA FT JAIME 20/03/2019</t>
  </si>
  <si>
    <t>SE ENCUENTRA EN URGENCIAS 20/03/2019 INFOAMR FT JAIME</t>
  </si>
  <si>
    <t>Pte hospitalizada informa ft Laura el 11/03/2019, Y EGRESO DE LA CLINICA EL 20/03/2019 INFOAMR EL FT JAIME</t>
  </si>
  <si>
    <t>NO SE HA PODIDO INCIIAR DEBIDO A QUE NO A SALIDO DE LA CLINICA.</t>
  </si>
  <si>
    <t>RONAL DAVID</t>
  </si>
  <si>
    <t>BALLESTEROS VASQUEZ</t>
  </si>
  <si>
    <t>B/NUEVA ESP. MZ. 21 LOTE 25</t>
  </si>
  <si>
    <t>ROSA</t>
  </si>
  <si>
    <t>DIAZ DE SARMIENTO</t>
  </si>
  <si>
    <t>FX FEMUR IZQ</t>
  </si>
  <si>
    <t>URB BONANZA CALLE 31 # 39-60</t>
  </si>
  <si>
    <t>12 ssx 3 mesesg</t>
  </si>
  <si>
    <t xml:space="preserve">OMAR </t>
  </si>
  <si>
    <t>TORRES AYAZO</t>
  </si>
  <si>
    <t>B/VILLA CAMPESTRE CALLE 44 #15A-17</t>
  </si>
  <si>
    <t>PTE ENTREGADO POR JEFE YESENIA, Y CORROBORA CON BRIANA Q ELLA PIDE LA AUTORIZACION A UNICOR</t>
  </si>
  <si>
    <t>HERNAN</t>
  </si>
  <si>
    <t>MUÑOZ JULIO</t>
  </si>
  <si>
    <t>isabel banda 3229736382</t>
  </si>
  <si>
    <t>NADIS RAMOS</t>
  </si>
  <si>
    <t>TAMBIEN TENIA TF Y TO, PERO NO HAY EN ESA ZONA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</si>
  <si>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</si>
  <si>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7858877-3106242516-3178066186</t>
  </si>
  <si>
    <t>VoBo 08/03/2019 para marzo                                                   VoBo 21/03/2019 para ABRIL CON TF 20 Y TL 20</t>
  </si>
  <si>
    <t>VoBo 21/03/2019 por 2 meses, para abril y mayo con TF20 y TL12</t>
  </si>
  <si>
    <t xml:space="preserve">IGNACIO </t>
  </si>
  <si>
    <t>FOLIACO DIAZ</t>
  </si>
  <si>
    <t>HEMORRAGIA INTRECEREBRAL</t>
  </si>
  <si>
    <t>VDA RIO CEDRO</t>
  </si>
  <si>
    <t xml:space="preserve">     </t>
  </si>
  <si>
    <t>JAIRO ALFONSO</t>
  </si>
  <si>
    <t>HERNANDEZ MARTELO</t>
  </si>
  <si>
    <t>CORREGIMIENTO LOS GOMEZ</t>
  </si>
  <si>
    <t>3137882862-3002025227</t>
  </si>
  <si>
    <t>JAQUELINE DE LAS MERCEDES</t>
  </si>
  <si>
    <t>ORTIZ FIGUEROA</t>
  </si>
  <si>
    <t>CA MAMA</t>
  </si>
  <si>
    <t>MZ 3 LT 3 B/NUEVA ESPERANZA</t>
  </si>
  <si>
    <t>3014837932-3002112013</t>
  </si>
  <si>
    <t>TR C/12 H X 30 DIAS</t>
  </si>
  <si>
    <t xml:space="preserve">DILIA DE JESUS </t>
  </si>
  <si>
    <t>DOVAL CALDERIN</t>
  </si>
  <si>
    <t xml:space="preserve">B/SANTA ELENA CALLE 46 #39-68 ETAPA 4 </t>
  </si>
  <si>
    <t>NERVEIS</t>
  </si>
  <si>
    <t>HUMANES CARDALES</t>
  </si>
  <si>
    <t>EPOC+BRONQUITIS</t>
  </si>
  <si>
    <t>MZ 71 LT 11 SECTOR NISPERO B/CANTACLARO</t>
  </si>
  <si>
    <t>3128809698-3123334200</t>
  </si>
  <si>
    <t>PEDRO PASCUAL</t>
  </si>
  <si>
    <t>PACHECO FUENTES</t>
  </si>
  <si>
    <t xml:space="preserve">CALLE 0 # 11-30 B/SAN MARCOS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</si>
  <si>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26/03/2019 HABLO CON DANIEL Y BRIANA, porq aparece sanitas, sin embargo daniel confirma posteriormente que si es unicor, Y POR ULTIMO DANIEL EL MISMO DIA, INFORMA, Q LA PACIENTE SE SUSPENDE Y DOY AVISO AL DR JAIME PETRO</t>
  </si>
  <si>
    <t>TR 1 X DIA X 15 DIAS</t>
  </si>
  <si>
    <r>
      <t xml:space="preserve">PACIENTE RECIBIDO DE LA JEFE YESENIA 18/02/2019 POR 1 MES       +++++ adicionalmente se realiza una adición a TS con 15 ss el dia 07/03/2019…….., </t>
    </r>
    <r>
      <rPr>
        <b/>
        <i/>
        <sz val="11"/>
        <rFont val="Calibri"/>
        <family val="2"/>
        <scheme val="minor"/>
      </rPr>
      <t>LA JEFE YESENIA CONFIRMA EL 26/03/2019 QUE EL USUARIO NO CONTINUA CON TERAPIAS.</t>
    </r>
  </si>
  <si>
    <t>fallecio informa ft fady el 26/03/2019</t>
  </si>
  <si>
    <t>PDTE INCLUIRLE TL PARA ABRIL 2019</t>
  </si>
  <si>
    <t>TR C/8H-TF C/12H; INGRESA EL 14/03/2019 POR 3 MESES, FINALIZA EL 13/06/2019</t>
  </si>
  <si>
    <t>Hospitalizada desde el 18/03/2019 informa FT Laura- FALLECE INFORMA FT JAIME26/03/2019</t>
  </si>
  <si>
    <t>ZELIDETH ELIONOR</t>
  </si>
  <si>
    <t>PETRO DE ARGEL</t>
  </si>
  <si>
    <t>VERTIGO</t>
  </si>
  <si>
    <t xml:space="preserve">B/LA ESPERANZA </t>
  </si>
  <si>
    <t>3007716264 - 3002110777</t>
  </si>
  <si>
    <t>30 SS C/U X 3 MESES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</si>
  <si>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</si>
  <si>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 DFE MARZO</t>
  </si>
  <si>
    <t>SANTA HELENA</t>
  </si>
  <si>
    <t>aut nueva 27/03/2019, para iniciar 01/04/2019, x 6 meses, TF20, to 20, tl 20. total 120</t>
  </si>
  <si>
    <t>40 SS en abril, mayo y 10 en junio</t>
  </si>
  <si>
    <t xml:space="preserve">YOLANDA ISABEL </t>
  </si>
  <si>
    <t>ROMERO SANCHEZ</t>
  </si>
  <si>
    <t>B/OSPINA PEREZ CALLE 37 A # 11A -18</t>
  </si>
  <si>
    <t>3135257772-3222009983</t>
  </si>
  <si>
    <t>TR DIARIA X 6 DIAS</t>
  </si>
  <si>
    <t>DELIMIRO RAFAEL</t>
  </si>
  <si>
    <t>MARTINEZ PACHECO</t>
  </si>
  <si>
    <t>HEMIPARESIA IZQUIERDA</t>
  </si>
  <si>
    <t>CRA 5 C # 21-40</t>
  </si>
  <si>
    <t>3135702211-3133195565</t>
  </si>
  <si>
    <t>12 SS DE C/U X 6 MESES</t>
  </si>
  <si>
    <t>PEDRO ARQUIMEDES</t>
  </si>
  <si>
    <t>ALVAREZ ALVAREZ</t>
  </si>
  <si>
    <t>B/LACHARME CRA 5 A 8 B # 14-64</t>
  </si>
  <si>
    <t>3215429720-3185722876</t>
  </si>
  <si>
    <t>TR C/12 H X 5 DIAS</t>
  </si>
  <si>
    <t>20 SS EN MARZO Y 10 SS EN ABRIL</t>
  </si>
  <si>
    <t xml:space="preserve">tiene  ASPIRADOR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</si>
</sst>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8" formatCode="&quot;$&quot;\ #,##0.00;[Red]\-&quot;$&quot;\ #,##0.00"/>
    <numFmt numFmtId="164" formatCode="&quot;$&quot;\ #,##0"/>
    <numFmt numFmtId="165" formatCode="&quot;$&quot;\ #,##0;[Red]&quot;$&quot;\ #,##0"/>
    <numFmt numFmtId="166" formatCode="&quot;$&quot;\ #,##0.000"/>
  </numFmts>
  <fonts count="3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indexed="10"/>
      <name val="Tahoma"/>
      <family val="2"/>
    </font>
    <font>
      <sz val="9"/>
      <color indexed="10"/>
      <name val="Tahoma"/>
      <family val="2"/>
    </font>
    <font>
      <b/>
      <i/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CF5E7"/>
        <bgColor indexed="64"/>
      </patternFill>
    </fill>
    <fill>
      <patternFill patternType="solid">
        <fgColor rgb="FFFFF8E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EFAF8"/>
        <bgColor indexed="64"/>
      </patternFill>
    </fill>
    <fill>
      <patternFill patternType="solid">
        <fgColor rgb="FFF7FFF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3F5FB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1FDF6"/>
        <bgColor indexed="64"/>
      </patternFill>
    </fill>
    <fill>
      <patternFill patternType="solid">
        <fgColor rgb="FFA3A3FF"/>
        <bgColor indexed="64"/>
      </patternFill>
    </fill>
    <fill>
      <patternFill patternType="solid">
        <fgColor rgb="FFEFE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30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wrapText="1"/>
    </xf>
    <xf numFmtId="0" fontId="0" fillId="0" borderId="0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3" fontId="0" fillId="0" borderId="0" xfId="0" applyNumberFormat="1" applyFont="1" applyAlignment="1">
      <alignment horizontal="center" vertical="center" wrapText="1"/>
    </xf>
    <xf numFmtId="164" fontId="0" fillId="0" borderId="0" xfId="0" applyNumberFormat="1" applyFont="1" applyAlignment="1">
      <alignment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3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0" fillId="5" borderId="0" xfId="0" applyFill="1"/>
    <xf numFmtId="0" fontId="3" fillId="0" borderId="0" xfId="0" applyFont="1" applyFill="1"/>
    <xf numFmtId="0" fontId="0" fillId="0" borderId="0" xfId="0" applyFill="1" applyAlignment="1">
      <alignment horizontal="center" wrapText="1"/>
    </xf>
    <xf numFmtId="0" fontId="0" fillId="0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wrapText="1"/>
    </xf>
    <xf numFmtId="0" fontId="0" fillId="3" borderId="4" xfId="0" applyFill="1" applyBorder="1" applyAlignment="1">
      <alignment horizontal="center" wrapText="1"/>
    </xf>
    <xf numFmtId="0" fontId="0" fillId="3" borderId="8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4" fillId="3" borderId="8" xfId="0" applyFont="1" applyFill="1" applyBorder="1" applyAlignment="1">
      <alignment horizontal="center" wrapText="1"/>
    </xf>
    <xf numFmtId="0" fontId="0" fillId="3" borderId="11" xfId="0" applyFill="1" applyBorder="1" applyAlignment="1">
      <alignment horizont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26" xfId="0" applyFill="1" applyBorder="1" applyAlignment="1">
      <alignment horizontal="center" wrapText="1"/>
    </xf>
    <xf numFmtId="0" fontId="0" fillId="3" borderId="29" xfId="0" applyFill="1" applyBorder="1" applyAlignment="1">
      <alignment horizont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27" xfId="0" applyFill="1" applyBorder="1" applyAlignment="1">
      <alignment horizontal="center" wrapText="1"/>
    </xf>
    <xf numFmtId="0" fontId="0" fillId="3" borderId="38" xfId="0" applyFill="1" applyBorder="1" applyAlignment="1">
      <alignment horizontal="center" wrapText="1"/>
    </xf>
    <xf numFmtId="0" fontId="0" fillId="3" borderId="7" xfId="0" applyFill="1" applyBorder="1" applyAlignment="1">
      <alignment horizontal="center" wrapText="1"/>
    </xf>
    <xf numFmtId="0" fontId="1" fillId="3" borderId="29" xfId="0" applyFont="1" applyFill="1" applyBorder="1" applyAlignment="1">
      <alignment horizontal="center" wrapText="1"/>
    </xf>
    <xf numFmtId="0" fontId="0" fillId="3" borderId="30" xfId="0" applyFill="1" applyBorder="1" applyAlignment="1">
      <alignment horizontal="center" wrapText="1"/>
    </xf>
    <xf numFmtId="0" fontId="2" fillId="3" borderId="13" xfId="0" applyFont="1" applyFill="1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center" wrapText="1"/>
    </xf>
    <xf numFmtId="0" fontId="0" fillId="6" borderId="22" xfId="0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wrapText="1"/>
    </xf>
    <xf numFmtId="0" fontId="0" fillId="6" borderId="38" xfId="0" applyFill="1" applyBorder="1" applyAlignment="1">
      <alignment horizontal="center" wrapText="1"/>
    </xf>
    <xf numFmtId="0" fontId="0" fillId="6" borderId="29" xfId="0" applyFill="1" applyBorder="1" applyAlignment="1">
      <alignment horizontal="center" wrapText="1"/>
    </xf>
    <xf numFmtId="0" fontId="0" fillId="6" borderId="1" xfId="0" applyFill="1" applyBorder="1" applyAlignment="1">
      <alignment horizontal="center" wrapText="1"/>
    </xf>
    <xf numFmtId="0" fontId="0" fillId="6" borderId="27" xfId="0" applyFill="1" applyBorder="1" applyAlignment="1">
      <alignment horizontal="center" wrapText="1"/>
    </xf>
    <xf numFmtId="0" fontId="0" fillId="6" borderId="11" xfId="0" applyFill="1" applyBorder="1" applyAlignment="1">
      <alignment horizontal="center" vertical="center" wrapText="1"/>
    </xf>
    <xf numFmtId="0" fontId="0" fillId="6" borderId="35" xfId="0" applyFill="1" applyBorder="1" applyAlignment="1">
      <alignment horizont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7" xfId="0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 wrapText="1"/>
    </xf>
    <xf numFmtId="3" fontId="0" fillId="0" borderId="0" xfId="0" applyNumberFormat="1" applyFill="1" applyBorder="1" applyAlignment="1">
      <alignment horizontal="center" vertical="center" wrapText="1"/>
    </xf>
    <xf numFmtId="0" fontId="0" fillId="0" borderId="0" xfId="0" applyFill="1"/>
    <xf numFmtId="0" fontId="0" fillId="3" borderId="35" xfId="0" applyFill="1" applyBorder="1" applyAlignment="1">
      <alignment horizontal="center" wrapText="1"/>
    </xf>
    <xf numFmtId="0" fontId="0" fillId="3" borderId="4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0" fillId="3" borderId="4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16" fillId="5" borderId="1" xfId="0" applyFont="1" applyFill="1" applyBorder="1" applyAlignment="1">
      <alignment horizontal="center" vertical="center"/>
    </xf>
    <xf numFmtId="20" fontId="16" fillId="5" borderId="1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16" fillId="0" borderId="0" xfId="0" applyFont="1" applyFill="1" applyAlignment="1">
      <alignment horizontal="center"/>
    </xf>
    <xf numFmtId="0" fontId="15" fillId="0" borderId="0" xfId="0" applyFont="1" applyFill="1"/>
    <xf numFmtId="0" fontId="15" fillId="0" borderId="0" xfId="0" applyFont="1"/>
    <xf numFmtId="0" fontId="15" fillId="0" borderId="0" xfId="0" applyFont="1" applyFill="1" applyAlignment="1">
      <alignment wrapText="1"/>
    </xf>
    <xf numFmtId="0" fontId="17" fillId="0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3" borderId="4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0" fillId="3" borderId="42" xfId="0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vertical="center" wrapText="1"/>
    </xf>
    <xf numFmtId="14" fontId="0" fillId="0" borderId="0" xfId="0" applyNumberForma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164" fontId="0" fillId="9" borderId="1" xfId="0" applyNumberFormat="1" applyFont="1" applyFill="1" applyBorder="1" applyAlignment="1">
      <alignment vertical="center" wrapText="1"/>
    </xf>
    <xf numFmtId="0" fontId="0" fillId="9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3" fontId="0" fillId="9" borderId="1" xfId="0" applyNumberFormat="1" applyFont="1" applyFill="1" applyBorder="1" applyAlignment="1">
      <alignment horizontal="center" vertical="center" wrapText="1"/>
    </xf>
    <xf numFmtId="14" fontId="0" fillId="9" borderId="1" xfId="0" applyNumberFormat="1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vertical="center" wrapText="1"/>
    </xf>
    <xf numFmtId="0" fontId="0" fillId="7" borderId="7" xfId="0" applyFill="1" applyBorder="1" applyAlignment="1">
      <alignment horizontal="center" vertical="center" wrapText="1"/>
    </xf>
    <xf numFmtId="1" fontId="2" fillId="7" borderId="1" xfId="0" applyNumberFormat="1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9" borderId="1" xfId="0" applyFill="1" applyBorder="1"/>
    <xf numFmtId="0" fontId="3" fillId="9" borderId="1" xfId="0" applyFont="1" applyFill="1" applyBorder="1"/>
    <xf numFmtId="0" fontId="0" fillId="9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6" borderId="22" xfId="0" applyFont="1" applyFill="1" applyBorder="1" applyAlignment="1">
      <alignment horizontal="center" vertical="center" wrapText="1"/>
    </xf>
    <xf numFmtId="0" fontId="3" fillId="6" borderId="19" xfId="0" applyFont="1" applyFill="1" applyBorder="1" applyAlignment="1">
      <alignment horizontal="center" vertical="center" wrapText="1"/>
    </xf>
    <xf numFmtId="0" fontId="0" fillId="6" borderId="11" xfId="0" applyFont="1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164" fontId="4" fillId="9" borderId="1" xfId="0" applyNumberFormat="1" applyFont="1" applyFill="1" applyBorder="1" applyAlignment="1">
      <alignment vertical="center" wrapText="1"/>
    </xf>
    <xf numFmtId="1" fontId="0" fillId="0" borderId="0" xfId="0" applyNumberFormat="1" applyAlignment="1">
      <alignment horizontal="center" vertical="center" wrapText="1"/>
    </xf>
    <xf numFmtId="14" fontId="0" fillId="0" borderId="0" xfId="0" applyNumberFormat="1" applyFont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3" fontId="7" fillId="11" borderId="1" xfId="0" applyNumberFormat="1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14" fontId="7" fillId="11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3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0" fillId="13" borderId="1" xfId="0" applyFont="1" applyFill="1" applyBorder="1" applyAlignment="1">
      <alignment horizontal="left" vertical="center" wrapText="1"/>
    </xf>
    <xf numFmtId="3" fontId="0" fillId="13" borderId="1" xfId="0" applyNumberFormat="1" applyFont="1" applyFill="1" applyBorder="1" applyAlignment="1">
      <alignment horizontal="center" vertical="center" wrapText="1"/>
    </xf>
    <xf numFmtId="14" fontId="0" fillId="13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0" fillId="13" borderId="1" xfId="0" applyFill="1" applyBorder="1" applyAlignment="1">
      <alignment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14" fontId="7" fillId="4" borderId="1" xfId="0" applyNumberFormat="1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 vertical="center" wrapText="1"/>
    </xf>
    <xf numFmtId="0" fontId="0" fillId="14" borderId="1" xfId="0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0" fontId="1" fillId="10" borderId="23" xfId="0" applyFont="1" applyFill="1" applyBorder="1" applyAlignment="1">
      <alignment horizontal="center" wrapText="1"/>
    </xf>
    <xf numFmtId="0" fontId="1" fillId="10" borderId="23" xfId="0" applyFont="1" applyFill="1" applyBorder="1" applyAlignment="1">
      <alignment horizontal="center" vertical="center" wrapText="1"/>
    </xf>
    <xf numFmtId="0" fontId="5" fillId="10" borderId="23" xfId="0" applyFont="1" applyFill="1" applyBorder="1" applyAlignment="1">
      <alignment horizontal="center" vertical="center" wrapText="1"/>
    </xf>
    <xf numFmtId="0" fontId="0" fillId="3" borderId="31" xfId="0" applyFill="1" applyBorder="1" applyAlignment="1">
      <alignment horizontal="center" wrapText="1"/>
    </xf>
    <xf numFmtId="0" fontId="21" fillId="16" borderId="1" xfId="0" applyFont="1" applyFill="1" applyBorder="1" applyAlignment="1">
      <alignment horizontal="center" vertical="center" wrapText="1"/>
    </xf>
    <xf numFmtId="0" fontId="23" fillId="16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wrapText="1"/>
    </xf>
    <xf numFmtId="0" fontId="0" fillId="17" borderId="1" xfId="0" applyFill="1" applyBorder="1" applyAlignment="1">
      <alignment horizontal="center" wrapText="1"/>
    </xf>
    <xf numFmtId="0" fontId="0" fillId="17" borderId="2" xfId="0" applyFill="1" applyBorder="1" applyAlignment="1">
      <alignment horizontal="center" vertical="center" wrapText="1"/>
    </xf>
    <xf numFmtId="0" fontId="0" fillId="17" borderId="3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0" fillId="17" borderId="4" xfId="0" applyFill="1" applyBorder="1" applyAlignment="1">
      <alignment wrapText="1"/>
    </xf>
    <xf numFmtId="0" fontId="0" fillId="0" borderId="0" xfId="0" applyFont="1" applyFill="1" applyAlignment="1">
      <alignment horizontal="center" vertical="center" wrapText="1"/>
    </xf>
    <xf numFmtId="14" fontId="0" fillId="0" borderId="0" xfId="0" applyNumberFormat="1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14" fontId="2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0" fillId="12" borderId="1" xfId="0" applyFont="1" applyFill="1" applyBorder="1" applyAlignment="1">
      <alignment horizontal="center" vertical="center"/>
    </xf>
    <xf numFmtId="3" fontId="0" fillId="12" borderId="1" xfId="0" applyNumberFormat="1" applyFont="1" applyFill="1" applyBorder="1" applyAlignment="1">
      <alignment horizontal="center" vertical="center" wrapText="1"/>
    </xf>
    <xf numFmtId="14" fontId="0" fillId="12" borderId="1" xfId="0" applyNumberFormat="1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17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4" fillId="18" borderId="46" xfId="0" applyFont="1" applyFill="1" applyBorder="1" applyAlignment="1">
      <alignment horizontal="center" vertical="center" wrapText="1"/>
    </xf>
    <xf numFmtId="0" fontId="24" fillId="18" borderId="47" xfId="0" applyFont="1" applyFill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wrapText="1"/>
    </xf>
    <xf numFmtId="14" fontId="17" fillId="0" borderId="47" xfId="0" applyNumberFormat="1" applyFont="1" applyBorder="1" applyAlignment="1">
      <alignment horizontal="justify" vertical="center" wrapText="1"/>
    </xf>
    <xf numFmtId="0" fontId="17" fillId="0" borderId="47" xfId="0" applyFont="1" applyBorder="1" applyAlignment="1">
      <alignment horizontal="justify" vertical="center" wrapText="1"/>
    </xf>
    <xf numFmtId="0" fontId="24" fillId="18" borderId="43" xfId="0" applyFont="1" applyFill="1" applyBorder="1" applyAlignment="1">
      <alignment vertical="center" wrapText="1"/>
    </xf>
    <xf numFmtId="0" fontId="24" fillId="18" borderId="45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14" fontId="0" fillId="9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0" fontId="0" fillId="13" borderId="1" xfId="0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0" fillId="13" borderId="0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0" fillId="17" borderId="7" xfId="0" applyFill="1" applyBorder="1" applyAlignment="1">
      <alignment wrapText="1"/>
    </xf>
    <xf numFmtId="0" fontId="0" fillId="9" borderId="1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1" fillId="17" borderId="39" xfId="0" applyFont="1" applyFill="1" applyBorder="1" applyAlignment="1">
      <alignment vertical="center" wrapText="1"/>
    </xf>
    <xf numFmtId="0" fontId="1" fillId="17" borderId="41" xfId="0" applyFont="1" applyFill="1" applyBorder="1" applyAlignment="1">
      <alignment vertical="center" wrapText="1"/>
    </xf>
    <xf numFmtId="0" fontId="1" fillId="17" borderId="10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3" borderId="41" xfId="0" applyFill="1" applyBorder="1" applyAlignment="1">
      <alignment horizontal="center" wrapText="1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0" fillId="9" borderId="2" xfId="0" applyFont="1" applyFill="1" applyBorder="1" applyAlignment="1">
      <alignment horizontal="center" vertical="center" wrapText="1"/>
    </xf>
    <xf numFmtId="0" fontId="0" fillId="9" borderId="4" xfId="0" applyFont="1" applyFill="1" applyBorder="1" applyAlignment="1">
      <alignment horizontal="center" vertical="center" wrapText="1"/>
    </xf>
    <xf numFmtId="0" fontId="0" fillId="9" borderId="3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5" fillId="17" borderId="19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vertical="center" wrapText="1"/>
    </xf>
    <xf numFmtId="0" fontId="28" fillId="0" borderId="0" xfId="0" applyFont="1" applyFill="1" applyAlignment="1">
      <alignment horizontal="center" textRotation="255" wrapText="1"/>
    </xf>
    <xf numFmtId="0" fontId="2" fillId="3" borderId="2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6" borderId="39" xfId="0" applyFill="1" applyBorder="1" applyAlignment="1">
      <alignment horizontal="center" wrapText="1"/>
    </xf>
    <xf numFmtId="0" fontId="1" fillId="10" borderId="23" xfId="0" applyFont="1" applyFill="1" applyBorder="1" applyAlignment="1">
      <alignment horizontal="left" vertical="center" wrapText="1"/>
    </xf>
    <xf numFmtId="0" fontId="0" fillId="3" borderId="10" xfId="0" applyFill="1" applyBorder="1" applyAlignment="1">
      <alignment horizontal="left" vertical="center" wrapText="1"/>
    </xf>
    <xf numFmtId="0" fontId="0" fillId="3" borderId="19" xfId="0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0" fontId="0" fillId="3" borderId="8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3" borderId="11" xfId="0" applyFill="1" applyBorder="1" applyAlignment="1">
      <alignment horizontal="left" vertical="center" wrapText="1"/>
    </xf>
    <xf numFmtId="0" fontId="0" fillId="6" borderId="11" xfId="0" applyFill="1" applyBorder="1" applyAlignment="1">
      <alignment horizontal="left" vertical="center" wrapText="1"/>
    </xf>
    <xf numFmtId="0" fontId="0" fillId="6" borderId="14" xfId="0" applyFill="1" applyBorder="1" applyAlignment="1">
      <alignment horizontal="left" vertical="center" wrapText="1"/>
    </xf>
    <xf numFmtId="0" fontId="0" fillId="3" borderId="37" xfId="0" applyFill="1" applyBorder="1" applyAlignment="1">
      <alignment horizontal="left" vertical="center" wrapText="1"/>
    </xf>
    <xf numFmtId="0" fontId="0" fillId="3" borderId="5" xfId="0" applyFill="1" applyBorder="1" applyAlignment="1">
      <alignment horizontal="left" vertical="center" wrapText="1"/>
    </xf>
    <xf numFmtId="0" fontId="0" fillId="3" borderId="13" xfId="0" applyFill="1" applyBorder="1" applyAlignment="1">
      <alignment horizontal="left" vertical="center" wrapText="1"/>
    </xf>
    <xf numFmtId="0" fontId="0" fillId="6" borderId="4" xfId="0" applyFill="1" applyBorder="1" applyAlignment="1">
      <alignment horizontal="left" vertical="center" wrapText="1"/>
    </xf>
    <xf numFmtId="0" fontId="0" fillId="3" borderId="15" xfId="0" applyFill="1" applyBorder="1" applyAlignment="1">
      <alignment horizontal="left" vertical="center" wrapText="1"/>
    </xf>
    <xf numFmtId="0" fontId="0" fillId="6" borderId="19" xfId="0" applyFill="1" applyBorder="1" applyAlignment="1">
      <alignment horizontal="left" vertical="center" wrapText="1"/>
    </xf>
    <xf numFmtId="0" fontId="0" fillId="3" borderId="25" xfId="0" applyFill="1" applyBorder="1" applyAlignment="1">
      <alignment horizontal="left" vertical="center" wrapText="1"/>
    </xf>
    <xf numFmtId="0" fontId="0" fillId="6" borderId="17" xfId="0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13" borderId="1" xfId="0" applyFill="1" applyBorder="1" applyAlignment="1">
      <alignment horizontal="left" vertical="center" wrapText="1"/>
    </xf>
    <xf numFmtId="0" fontId="0" fillId="13" borderId="1" xfId="0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left" vertical="center" wrapText="1"/>
    </xf>
    <xf numFmtId="0" fontId="0" fillId="6" borderId="11" xfId="0" applyFill="1" applyBorder="1" applyAlignment="1">
      <alignment horizontal="left" vertical="center" wrapText="1"/>
    </xf>
    <xf numFmtId="0" fontId="0" fillId="6" borderId="19" xfId="0" applyFill="1" applyBorder="1" applyAlignment="1">
      <alignment horizontal="left" vertical="center" wrapText="1"/>
    </xf>
    <xf numFmtId="0" fontId="0" fillId="6" borderId="9" xfId="0" applyFill="1" applyBorder="1" applyAlignment="1">
      <alignment horizontal="left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4" fontId="0" fillId="9" borderId="1" xfId="0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6" borderId="9" xfId="0" applyFill="1" applyBorder="1" applyAlignment="1">
      <alignment horizontal="center" vertical="center" wrapText="1"/>
    </xf>
    <xf numFmtId="0" fontId="1" fillId="6" borderId="1" xfId="0" applyFont="1" applyFill="1" applyBorder="1" applyAlignment="1">
      <alignment vertical="center" wrapText="1"/>
    </xf>
    <xf numFmtId="0" fontId="0" fillId="6" borderId="10" xfId="0" applyFill="1" applyBorder="1" applyAlignment="1">
      <alignment horizontal="center" wrapText="1"/>
    </xf>
    <xf numFmtId="0" fontId="0" fillId="3" borderId="28" xfId="0" applyFill="1" applyBorder="1" applyAlignment="1">
      <alignment vertical="center" wrapText="1"/>
    </xf>
    <xf numFmtId="0" fontId="0" fillId="3" borderId="30" xfId="0" applyFill="1" applyBorder="1" applyAlignment="1">
      <alignment vertical="center" wrapText="1"/>
    </xf>
    <xf numFmtId="0" fontId="0" fillId="3" borderId="41" xfId="0" applyFill="1" applyBorder="1" applyAlignment="1">
      <alignment horizontal="center" vertical="center" wrapText="1"/>
    </xf>
    <xf numFmtId="0" fontId="0" fillId="3" borderId="31" xfId="0" applyFill="1" applyBorder="1" applyAlignment="1">
      <alignment vertical="center" wrapText="1"/>
    </xf>
    <xf numFmtId="0" fontId="0" fillId="6" borderId="32" xfId="0" applyFill="1" applyBorder="1" applyAlignment="1">
      <alignment horizontal="center" wrapText="1"/>
    </xf>
    <xf numFmtId="0" fontId="0" fillId="6" borderId="33" xfId="0" applyFill="1" applyBorder="1" applyAlignment="1">
      <alignment horizontal="center" wrapText="1"/>
    </xf>
    <xf numFmtId="0" fontId="2" fillId="6" borderId="9" xfId="0" applyFont="1" applyFill="1" applyBorder="1" applyAlignment="1">
      <alignment horizontal="center" vertical="center" wrapText="1"/>
    </xf>
    <xf numFmtId="0" fontId="0" fillId="6" borderId="34" xfId="0" applyFill="1" applyBorder="1" applyAlignment="1">
      <alignment horizontal="center" wrapText="1"/>
    </xf>
    <xf numFmtId="0" fontId="2" fillId="6" borderId="8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left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9" borderId="1" xfId="0" applyFont="1" applyFill="1" applyBorder="1" applyAlignment="1">
      <alignment horizontal="center" vertical="center" wrapText="1"/>
    </xf>
    <xf numFmtId="14" fontId="0" fillId="0" borderId="2" xfId="0" applyNumberForma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14" fontId="0" fillId="0" borderId="13" xfId="0" applyNumberFormat="1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3" borderId="39" xfId="0" applyFill="1" applyBorder="1" applyAlignment="1">
      <alignment vertical="center" wrapText="1"/>
    </xf>
    <xf numFmtId="0" fontId="0" fillId="3" borderId="41" xfId="0" applyFill="1" applyBorder="1" applyAlignment="1">
      <alignment vertical="center" wrapText="1"/>
    </xf>
    <xf numFmtId="0" fontId="0" fillId="3" borderId="10" xfId="0" applyFill="1" applyBorder="1" applyAlignment="1">
      <alignment vertical="center" wrapText="1"/>
    </xf>
    <xf numFmtId="14" fontId="22" fillId="16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Font="1" applyFill="1" applyAlignment="1">
      <alignment horizontal="center" vertical="center" wrapText="1"/>
    </xf>
    <xf numFmtId="14" fontId="0" fillId="0" borderId="4" xfId="0" applyNumberFormat="1" applyFill="1" applyBorder="1" applyAlignment="1">
      <alignment vertical="center" wrapText="1"/>
    </xf>
    <xf numFmtId="0" fontId="0" fillId="0" borderId="4" xfId="0" applyFill="1" applyBorder="1" applyAlignment="1">
      <alignment vertical="center" wrapText="1"/>
    </xf>
    <xf numFmtId="14" fontId="0" fillId="0" borderId="1" xfId="0" applyNumberForma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3" borderId="39" xfId="0" applyFill="1" applyBorder="1" applyAlignment="1">
      <alignment horizontal="left" vertical="center" wrapText="1"/>
    </xf>
    <xf numFmtId="0" fontId="0" fillId="3" borderId="41" xfId="0" applyFill="1" applyBorder="1" applyAlignment="1">
      <alignment horizontal="left" vertical="center" wrapText="1"/>
    </xf>
    <xf numFmtId="0" fontId="2" fillId="3" borderId="39" xfId="0" applyFont="1" applyFill="1" applyBorder="1" applyAlignment="1">
      <alignment horizontal="left" vertical="center" wrapText="1"/>
    </xf>
    <xf numFmtId="0" fontId="0" fillId="3" borderId="21" xfId="0" applyFill="1" applyBorder="1" applyAlignment="1">
      <alignment horizontal="left" vertical="center" wrapText="1"/>
    </xf>
    <xf numFmtId="0" fontId="0" fillId="6" borderId="10" xfId="0" applyFill="1" applyBorder="1" applyAlignment="1">
      <alignment horizontal="left" vertical="center" wrapText="1"/>
    </xf>
    <xf numFmtId="0" fontId="0" fillId="6" borderId="39" xfId="0" applyFill="1" applyBorder="1" applyAlignment="1">
      <alignment horizontal="left" vertical="center" wrapText="1"/>
    </xf>
    <xf numFmtId="0" fontId="0" fillId="6" borderId="41" xfId="0" applyFill="1" applyBorder="1" applyAlignment="1">
      <alignment horizontal="left" vertical="center" wrapText="1"/>
    </xf>
    <xf numFmtId="0" fontId="0" fillId="6" borderId="21" xfId="0" applyFill="1" applyBorder="1" applyAlignment="1">
      <alignment horizontal="left" vertical="center" wrapText="1"/>
    </xf>
    <xf numFmtId="0" fontId="1" fillId="10" borderId="45" xfId="0" applyFont="1" applyFill="1" applyBorder="1" applyAlignment="1">
      <alignment horizontal="left" vertical="center" wrapText="1"/>
    </xf>
    <xf numFmtId="0" fontId="3" fillId="12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8" fontId="2" fillId="12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0" fontId="0" fillId="13" borderId="1" xfId="0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7" borderId="2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3" borderId="1" xfId="0" applyFont="1" applyFill="1" applyBorder="1" applyAlignment="1">
      <alignment horizontal="center" vertical="center" wrapText="1"/>
    </xf>
    <xf numFmtId="0" fontId="0" fillId="23" borderId="1" xfId="0" applyFont="1" applyFill="1" applyBorder="1" applyAlignment="1">
      <alignment horizontal="center" vertical="center" wrapText="1"/>
    </xf>
    <xf numFmtId="14" fontId="0" fillId="23" borderId="1" xfId="0" applyNumberFormat="1" applyFont="1" applyFill="1" applyBorder="1" applyAlignment="1">
      <alignment horizontal="center" vertical="center" wrapText="1"/>
    </xf>
    <xf numFmtId="0" fontId="0" fillId="22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0" fontId="0" fillId="13" borderId="2" xfId="0" applyFont="1" applyFill="1" applyBorder="1" applyAlignment="1">
      <alignment horizontal="center" vertical="center" wrapText="1"/>
    </xf>
    <xf numFmtId="0" fontId="0" fillId="9" borderId="2" xfId="0" applyFont="1" applyFill="1" applyBorder="1" applyAlignment="1">
      <alignment horizontal="center" vertical="center" wrapText="1"/>
    </xf>
    <xf numFmtId="0" fontId="0" fillId="15" borderId="2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14" borderId="1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 wrapText="1"/>
    </xf>
    <xf numFmtId="164" fontId="0" fillId="0" borderId="0" xfId="0" applyNumberFormat="1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164" fontId="0" fillId="2" borderId="1" xfId="0" applyNumberFormat="1" applyFont="1" applyFill="1" applyBorder="1" applyAlignment="1">
      <alignment vertical="center" wrapText="1"/>
    </xf>
    <xf numFmtId="0" fontId="0" fillId="9" borderId="2" xfId="0" applyFont="1" applyFill="1" applyBorder="1" applyAlignment="1">
      <alignment horizontal="center" vertical="center" wrapText="1"/>
    </xf>
    <xf numFmtId="0" fontId="0" fillId="15" borderId="2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14" fontId="0" fillId="13" borderId="2" xfId="0" applyNumberForma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0" fontId="0" fillId="13" borderId="1" xfId="0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3" fontId="0" fillId="13" borderId="2" xfId="0" applyNumberFormat="1" applyFill="1" applyBorder="1" applyAlignment="1">
      <alignment horizontal="center" vertical="center" wrapText="1"/>
    </xf>
    <xf numFmtId="0" fontId="0" fillId="23" borderId="1" xfId="0" applyFill="1" applyBorder="1" applyAlignment="1">
      <alignment horizontal="left" vertical="center" wrapText="1"/>
    </xf>
    <xf numFmtId="0" fontId="0" fillId="23" borderId="1" xfId="0" applyFill="1" applyBorder="1" applyAlignment="1">
      <alignment horizontal="center" vertical="center" wrapText="1"/>
    </xf>
    <xf numFmtId="3" fontId="0" fillId="23" borderId="1" xfId="0" applyNumberFormat="1" applyFill="1" applyBorder="1" applyAlignment="1">
      <alignment horizontal="center" vertical="center" wrapText="1"/>
    </xf>
    <xf numFmtId="14" fontId="0" fillId="23" borderId="1" xfId="0" applyNumberForma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3" fontId="5" fillId="10" borderId="23" xfId="0" applyNumberFormat="1" applyFont="1" applyFill="1" applyBorder="1" applyAlignment="1">
      <alignment horizontal="center" vertical="center" wrapText="1"/>
    </xf>
    <xf numFmtId="3" fontId="2" fillId="6" borderId="11" xfId="0" applyNumberFormat="1" applyFont="1" applyFill="1" applyBorder="1" applyAlignment="1">
      <alignment horizontal="center" vertical="center" wrapText="1"/>
    </xf>
    <xf numFmtId="3" fontId="2" fillId="6" borderId="9" xfId="0" applyNumberFormat="1" applyFont="1" applyFill="1" applyBorder="1" applyAlignment="1">
      <alignment horizontal="center" vertical="center" wrapText="1"/>
    </xf>
    <xf numFmtId="3" fontId="2" fillId="6" borderId="19" xfId="0" applyNumberFormat="1" applyFont="1" applyFill="1" applyBorder="1" applyAlignment="1">
      <alignment horizontal="center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3" fontId="2" fillId="3" borderId="4" xfId="0" applyNumberFormat="1" applyFont="1" applyFill="1" applyBorder="1" applyAlignment="1">
      <alignment horizontal="center" vertical="center" wrapText="1"/>
    </xf>
    <xf numFmtId="3" fontId="2" fillId="3" borderId="19" xfId="0" applyNumberFormat="1" applyFont="1" applyFill="1" applyBorder="1" applyAlignment="1">
      <alignment horizontal="center" vertical="center" wrapText="1"/>
    </xf>
    <xf numFmtId="3" fontId="2" fillId="3" borderId="8" xfId="0" applyNumberFormat="1" applyFont="1" applyFill="1" applyBorder="1" applyAlignment="1">
      <alignment horizontal="center" vertical="center" wrapText="1"/>
    </xf>
    <xf numFmtId="3" fontId="2" fillId="3" borderId="3" xfId="0" applyNumberFormat="1" applyFont="1" applyFill="1" applyBorder="1" applyAlignment="1">
      <alignment horizontal="center" vertical="center" wrapText="1"/>
    </xf>
    <xf numFmtId="3" fontId="2" fillId="3" borderId="11" xfId="0" applyNumberFormat="1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3" fontId="2" fillId="3" borderId="9" xfId="0" applyNumberFormat="1" applyFont="1" applyFill="1" applyBorder="1" applyAlignment="1">
      <alignment horizontal="center" vertical="center" wrapText="1"/>
    </xf>
    <xf numFmtId="3" fontId="2" fillId="3" borderId="14" xfId="0" applyNumberFormat="1" applyFont="1" applyFill="1" applyBorder="1" applyAlignment="1">
      <alignment horizontal="center" vertical="center" wrapText="1"/>
    </xf>
    <xf numFmtId="3" fontId="2" fillId="3" borderId="13" xfId="0" applyNumberFormat="1" applyFont="1" applyFill="1" applyBorder="1" applyAlignment="1">
      <alignment horizontal="center" vertical="center" wrapText="1"/>
    </xf>
    <xf numFmtId="3" fontId="2" fillId="6" borderId="4" xfId="0" applyNumberFormat="1" applyFont="1" applyFill="1" applyBorder="1" applyAlignment="1">
      <alignment horizontal="center" vertical="center" wrapText="1"/>
    </xf>
    <xf numFmtId="3" fontId="2" fillId="6" borderId="1" xfId="0" applyNumberFormat="1" applyFont="1" applyFill="1" applyBorder="1" applyAlignment="1">
      <alignment horizontal="center" vertical="center" wrapText="1"/>
    </xf>
    <xf numFmtId="3" fontId="2" fillId="3" borderId="20" xfId="0" applyNumberFormat="1" applyFont="1" applyFill="1" applyBorder="1" applyAlignment="1">
      <alignment horizontal="center" vertical="center" wrapText="1"/>
    </xf>
    <xf numFmtId="3" fontId="2" fillId="3" borderId="15" xfId="0" applyNumberFormat="1" applyFont="1" applyFill="1" applyBorder="1" applyAlignment="1">
      <alignment horizontal="center" vertical="center" wrapText="1"/>
    </xf>
    <xf numFmtId="3" fontId="2" fillId="6" borderId="17" xfId="0" applyNumberFormat="1" applyFont="1" applyFill="1" applyBorder="1" applyAlignment="1">
      <alignment horizontal="center" vertical="center" wrapText="1"/>
    </xf>
    <xf numFmtId="3" fontId="2" fillId="6" borderId="2" xfId="0" applyNumberFormat="1" applyFont="1" applyFill="1" applyBorder="1" applyAlignment="1">
      <alignment horizontal="center" vertical="center" wrapText="1"/>
    </xf>
    <xf numFmtId="3" fontId="2" fillId="0" borderId="0" xfId="0" applyNumberFormat="1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3" fontId="0" fillId="13" borderId="2" xfId="0" applyNumberFormat="1" applyFill="1" applyBorder="1" applyAlignment="1">
      <alignment horizontal="center" vertical="center" wrapText="1"/>
    </xf>
    <xf numFmtId="0" fontId="0" fillId="17" borderId="2" xfId="0" applyFill="1" applyBorder="1" applyAlignment="1">
      <alignment horizontal="center" vertical="center" wrapText="1"/>
    </xf>
    <xf numFmtId="0" fontId="0" fillId="17" borderId="3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vertical="center" wrapText="1"/>
    </xf>
    <xf numFmtId="0" fontId="2" fillId="17" borderId="1" xfId="0" applyFont="1" applyFill="1" applyBorder="1" applyAlignment="1">
      <alignment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" fontId="0" fillId="12" borderId="1" xfId="0" applyNumberFormat="1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0" fontId="0" fillId="9" borderId="2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left" vertical="center" wrapText="1"/>
    </xf>
    <xf numFmtId="0" fontId="0" fillId="6" borderId="10" xfId="0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12" borderId="1" xfId="0" applyNumberForma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1" xfId="0" applyNumberForma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 wrapText="1"/>
    </xf>
    <xf numFmtId="8" fontId="0" fillId="13" borderId="1" xfId="0" applyNumberForma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14" fontId="0" fillId="7" borderId="2" xfId="0" applyNumberForma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3" fontId="2" fillId="6" borderId="4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0" fillId="6" borderId="10" xfId="0" applyFill="1" applyBorder="1" applyAlignment="1">
      <alignment horizontal="left" vertical="center" wrapText="1"/>
    </xf>
    <xf numFmtId="0" fontId="0" fillId="6" borderId="4" xfId="0" applyFill="1" applyBorder="1" applyAlignment="1">
      <alignment horizontal="left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3" fontId="2" fillId="12" borderId="1" xfId="0" applyNumberFormat="1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3" fontId="2" fillId="6" borderId="4" xfId="0" applyNumberFormat="1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3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14" fontId="0" fillId="7" borderId="2" xfId="0" applyNumberFormat="1" applyFill="1" applyBorder="1" applyAlignment="1">
      <alignment horizontal="center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3" fontId="2" fillId="3" borderId="4" xfId="0" applyNumberFormat="1" applyFont="1" applyFill="1" applyBorder="1" applyAlignment="1">
      <alignment horizontal="center" vertical="center" wrapText="1"/>
    </xf>
    <xf numFmtId="14" fontId="0" fillId="7" borderId="3" xfId="0" applyNumberFormat="1" applyFill="1" applyBorder="1" applyAlignment="1">
      <alignment horizontal="center" vertical="center" wrapText="1"/>
    </xf>
    <xf numFmtId="14" fontId="0" fillId="7" borderId="3" xfId="0" applyNumberFormat="1" applyFill="1" applyBorder="1" applyAlignment="1">
      <alignment horizontal="center" vertical="center" wrapText="1"/>
    </xf>
    <xf numFmtId="3" fontId="3" fillId="3" borderId="8" xfId="0" applyNumberFormat="1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3" fontId="2" fillId="2" borderId="19" xfId="0" applyNumberFormat="1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7" borderId="13" xfId="0" applyFill="1" applyBorder="1" applyAlignment="1">
      <alignment horizontal="center" vertical="center" wrapText="1"/>
    </xf>
    <xf numFmtId="0" fontId="0" fillId="7" borderId="13" xfId="0" applyFont="1" applyFill="1" applyBorder="1" applyAlignment="1">
      <alignment horizontal="center" vertical="center" wrapText="1"/>
    </xf>
    <xf numFmtId="14" fontId="0" fillId="22" borderId="2" xfId="0" applyNumberFormat="1" applyFill="1" applyBorder="1" applyAlignment="1">
      <alignment horizontal="center" vertical="center" wrapText="1"/>
    </xf>
    <xf numFmtId="0" fontId="0" fillId="22" borderId="12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14" fontId="0" fillId="0" borderId="2" xfId="0" applyNumberForma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0" fillId="0" borderId="14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7" borderId="2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14" fontId="0" fillId="7" borderId="2" xfId="0" applyNumberForma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17" borderId="2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14" fontId="0" fillId="0" borderId="1" xfId="0" applyNumberFormat="1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vertical="center" wrapText="1"/>
    </xf>
    <xf numFmtId="14" fontId="0" fillId="22" borderId="1" xfId="0" applyNumberFormat="1" applyFont="1" applyFill="1" applyBorder="1" applyAlignment="1">
      <alignment horizontal="center" vertical="center" wrapText="1"/>
    </xf>
    <xf numFmtId="0" fontId="0" fillId="22" borderId="1" xfId="0" applyFont="1" applyFill="1" applyBorder="1" applyAlignment="1">
      <alignment horizontal="center" vertical="center" wrapText="1"/>
    </xf>
    <xf numFmtId="0" fontId="3" fillId="17" borderId="2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wrapText="1"/>
    </xf>
    <xf numFmtId="14" fontId="0" fillId="7" borderId="2" xfId="0" applyNumberFormat="1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2" borderId="0" xfId="0" applyFill="1" applyAlignment="1">
      <alignment wrapText="1"/>
    </xf>
    <xf numFmtId="0" fontId="0" fillId="23" borderId="1" xfId="0" applyFill="1" applyBorder="1" applyAlignment="1">
      <alignment wrapText="1"/>
    </xf>
    <xf numFmtId="0" fontId="0" fillId="23" borderId="0" xfId="0" applyFill="1" applyAlignment="1">
      <alignment wrapText="1"/>
    </xf>
    <xf numFmtId="14" fontId="0" fillId="7" borderId="3" xfId="0" applyNumberForma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4" xfId="0" applyFont="1" applyFill="1" applyBorder="1" applyAlignment="1">
      <alignment horizontal="center" vertical="center" wrapText="1"/>
    </xf>
    <xf numFmtId="14" fontId="0" fillId="7" borderId="4" xfId="0" applyNumberFormat="1" applyFont="1" applyFill="1" applyBorder="1" applyAlignment="1">
      <alignment horizontal="center" vertical="center" wrapText="1"/>
    </xf>
    <xf numFmtId="0" fontId="0" fillId="7" borderId="4" xfId="0" applyFont="1" applyFill="1" applyBorder="1" applyAlignment="1">
      <alignment horizontal="center" vertical="center" wrapText="1"/>
    </xf>
    <xf numFmtId="14" fontId="0" fillId="7" borderId="1" xfId="0" applyNumberFormat="1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14" fontId="0" fillId="22" borderId="4" xfId="0" applyNumberFormat="1" applyFont="1" applyFill="1" applyBorder="1" applyAlignment="1">
      <alignment horizontal="center" vertical="center" wrapText="1"/>
    </xf>
    <xf numFmtId="0" fontId="0" fillId="22" borderId="4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0" fillId="23" borderId="1" xfId="0" applyFill="1" applyBorder="1" applyAlignment="1">
      <alignment horizontal="center" vertical="center" wrapText="1"/>
    </xf>
    <xf numFmtId="14" fontId="0" fillId="0" borderId="4" xfId="0" applyNumberFormat="1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3" fontId="23" fillId="16" borderId="1" xfId="0" applyNumberFormat="1" applyFont="1" applyFill="1" applyBorder="1" applyAlignment="1">
      <alignment horizontal="center" vertical="center" wrapText="1"/>
    </xf>
    <xf numFmtId="3" fontId="2" fillId="17" borderId="1" xfId="0" applyNumberFormat="1" applyFont="1" applyFill="1" applyBorder="1" applyAlignment="1">
      <alignment horizontal="center" wrapText="1"/>
    </xf>
    <xf numFmtId="3" fontId="2" fillId="17" borderId="3" xfId="0" applyNumberFormat="1" applyFont="1" applyFill="1" applyBorder="1" applyAlignment="1">
      <alignment horizontal="center" vertical="center" wrapText="1"/>
    </xf>
    <xf numFmtId="3" fontId="2" fillId="17" borderId="1" xfId="0" applyNumberFormat="1" applyFont="1" applyFill="1" applyBorder="1" applyAlignment="1">
      <alignment horizontal="center" vertical="center" wrapText="1"/>
    </xf>
    <xf numFmtId="3" fontId="2" fillId="17" borderId="2" xfId="0" applyNumberFormat="1" applyFont="1" applyFill="1" applyBorder="1" applyAlignment="1">
      <alignment horizontal="center" vertical="center" wrapText="1"/>
    </xf>
    <xf numFmtId="3" fontId="2" fillId="17" borderId="4" xfId="0" applyNumberFormat="1" applyFont="1" applyFill="1" applyBorder="1" applyAlignment="1">
      <alignment horizontal="center" vertical="center" wrapText="1"/>
    </xf>
    <xf numFmtId="3" fontId="2" fillId="17" borderId="2" xfId="0" applyNumberFormat="1" applyFont="1" applyFill="1" applyBorder="1" applyAlignment="1">
      <alignment horizontal="center" wrapText="1"/>
    </xf>
    <xf numFmtId="3" fontId="2" fillId="2" borderId="1" xfId="0" applyNumberFormat="1" applyFont="1" applyFill="1" applyBorder="1" applyAlignment="1">
      <alignment horizont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3" fontId="2" fillId="0" borderId="0" xfId="0" applyNumberFormat="1" applyFont="1" applyFill="1" applyAlignment="1">
      <alignment horizontal="center" wrapText="1"/>
    </xf>
    <xf numFmtId="3" fontId="5" fillId="0" borderId="0" xfId="0" applyNumberFormat="1" applyFont="1" applyFill="1" applyAlignment="1">
      <alignment horizontal="center" wrapText="1"/>
    </xf>
    <xf numFmtId="0" fontId="2" fillId="0" borderId="0" xfId="0" applyFont="1" applyFill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3" fillId="17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3" fontId="2" fillId="17" borderId="2" xfId="0" applyNumberFormat="1" applyFont="1" applyFill="1" applyBorder="1" applyAlignment="1">
      <alignment horizontal="center" vertical="center" wrapText="1"/>
    </xf>
    <xf numFmtId="0" fontId="0" fillId="17" borderId="2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14" fontId="0" fillId="7" borderId="4" xfId="0" applyNumberFormat="1" applyFont="1" applyFill="1" applyBorder="1" applyAlignment="1">
      <alignment horizontal="center" vertical="center" wrapText="1"/>
    </xf>
    <xf numFmtId="0" fontId="2" fillId="17" borderId="4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3" fontId="0" fillId="7" borderId="1" xfId="0" applyNumberFormat="1" applyFill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0" fillId="12" borderId="1" xfId="0" applyFont="1" applyFill="1" applyBorder="1" applyAlignment="1">
      <alignment vertical="center" wrapText="1"/>
    </xf>
    <xf numFmtId="14" fontId="0" fillId="0" borderId="1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3" fontId="0" fillId="0" borderId="1" xfId="0" applyNumberForma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wrapText="1"/>
    </xf>
    <xf numFmtId="3" fontId="0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1" fontId="0" fillId="0" borderId="1" xfId="0" applyNumberFormat="1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 wrapText="1"/>
    </xf>
    <xf numFmtId="0" fontId="25" fillId="0" borderId="0" xfId="0" applyFont="1" applyFill="1"/>
    <xf numFmtId="0" fontId="1" fillId="1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0" fontId="0" fillId="23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3" fontId="2" fillId="23" borderId="4" xfId="0" applyNumberFormat="1" applyFont="1" applyFill="1" applyBorder="1" applyAlignment="1">
      <alignment horizontal="center" vertical="center" wrapText="1"/>
    </xf>
    <xf numFmtId="0" fontId="0" fillId="23" borderId="4" xfId="0" applyFill="1" applyBorder="1" applyAlignment="1">
      <alignment horizontal="center" vertical="center" wrapText="1"/>
    </xf>
    <xf numFmtId="0" fontId="0" fillId="23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23" borderId="1" xfId="0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1" fontId="0" fillId="12" borderId="1" xfId="0" applyNumberForma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vertical="center" wrapText="1"/>
    </xf>
    <xf numFmtId="0" fontId="4" fillId="23" borderId="1" xfId="0" applyFont="1" applyFill="1" applyBorder="1" applyAlignment="1">
      <alignment horizontal="center" vertical="center" wrapText="1"/>
    </xf>
    <xf numFmtId="14" fontId="0" fillId="23" borderId="4" xfId="0" applyNumberFormat="1" applyFont="1" applyFill="1" applyBorder="1" applyAlignment="1">
      <alignment horizontal="center" vertical="center" wrapText="1"/>
    </xf>
    <xf numFmtId="0" fontId="0" fillId="23" borderId="4" xfId="0" applyFont="1" applyFill="1" applyBorder="1" applyAlignment="1">
      <alignment horizontal="center" vertical="center" wrapText="1"/>
    </xf>
    <xf numFmtId="0" fontId="2" fillId="23" borderId="4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14" fontId="0" fillId="7" borderId="2" xfId="0" applyNumberFormat="1" applyFill="1" applyBorder="1" applyAlignment="1">
      <alignment horizontal="center" vertical="center" wrapText="1"/>
    </xf>
    <xf numFmtId="14" fontId="0" fillId="7" borderId="3" xfId="0" applyNumberFormat="1" applyFill="1" applyBorder="1" applyAlignment="1">
      <alignment horizontal="center" vertical="center" wrapText="1"/>
    </xf>
    <xf numFmtId="14" fontId="0" fillId="7" borderId="4" xfId="0" applyNumberForma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27" fillId="6" borderId="23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3" fontId="2" fillId="6" borderId="14" xfId="0" applyNumberFormat="1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left" vertical="center" wrapText="1"/>
    </xf>
    <xf numFmtId="0" fontId="0" fillId="6" borderId="11" xfId="0" applyFill="1" applyBorder="1" applyAlignment="1">
      <alignment horizontal="left" vertical="center" wrapText="1"/>
    </xf>
    <xf numFmtId="0" fontId="0" fillId="3" borderId="10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3" xfId="0" applyFill="1" applyBorder="1" applyAlignment="1">
      <alignment horizontal="left" vertical="center" wrapText="1"/>
    </xf>
    <xf numFmtId="0" fontId="0" fillId="6" borderId="14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3" borderId="21" xfId="0" applyFill="1" applyBorder="1" applyAlignment="1">
      <alignment horizontal="left" vertical="center" wrapText="1"/>
    </xf>
    <xf numFmtId="0" fontId="0" fillId="6" borderId="22" xfId="0" applyFill="1" applyBorder="1" applyAlignment="1">
      <alignment horizontal="left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3" fontId="2" fillId="3" borderId="14" xfId="0" applyNumberFormat="1" applyFont="1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0" fillId="6" borderId="13" xfId="0" applyFill="1" applyBorder="1" applyAlignment="1">
      <alignment horizontal="center" vertical="center" wrapText="1"/>
    </xf>
    <xf numFmtId="14" fontId="0" fillId="7" borderId="13" xfId="0" applyNumberFormat="1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2" fillId="6" borderId="36" xfId="0" applyFont="1" applyFill="1" applyBorder="1" applyAlignment="1">
      <alignment horizontal="center" vertical="top" wrapText="1"/>
    </xf>
    <xf numFmtId="0" fontId="0" fillId="3" borderId="11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3" borderId="38" xfId="0" applyFill="1" applyBorder="1" applyAlignment="1">
      <alignment horizontal="center" wrapText="1"/>
    </xf>
    <xf numFmtId="0" fontId="0" fillId="7" borderId="13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0" fillId="12" borderId="1" xfId="0" applyFont="1" applyFill="1" applyBorder="1" applyAlignment="1">
      <alignment horizontal="center" vertical="center" wrapText="1"/>
    </xf>
    <xf numFmtId="3" fontId="0" fillId="23" borderId="1" xfId="0" applyNumberFormat="1" applyFont="1" applyFill="1" applyBorder="1" applyAlignment="1">
      <alignment horizontal="center" vertical="center" wrapText="1"/>
    </xf>
    <xf numFmtId="1" fontId="0" fillId="23" borderId="1" xfId="0" applyNumberFormat="1" applyFont="1" applyFill="1" applyBorder="1" applyAlignment="1">
      <alignment horizontal="center" vertical="center" wrapText="1"/>
    </xf>
    <xf numFmtId="164" fontId="0" fillId="23" borderId="1" xfId="0" applyNumberFormat="1" applyFont="1" applyFill="1" applyBorder="1" applyAlignment="1">
      <alignment vertical="center" wrapText="1"/>
    </xf>
    <xf numFmtId="0" fontId="0" fillId="0" borderId="0" xfId="0" applyFont="1" applyFill="1" applyBorder="1" applyAlignment="1">
      <alignment vertical="center" wrapText="1"/>
    </xf>
    <xf numFmtId="3" fontId="7" fillId="14" borderId="1" xfId="0" applyNumberFormat="1" applyFont="1" applyFill="1" applyBorder="1" applyAlignment="1">
      <alignment horizontal="center" vertical="center" wrapText="1"/>
    </xf>
    <xf numFmtId="1" fontId="7" fillId="14" borderId="1" xfId="0" applyNumberFormat="1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164" fontId="1" fillId="14" borderId="1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0" fillId="6" borderId="41" xfId="0" applyFill="1" applyBorder="1" applyAlignment="1">
      <alignment horizontal="left" vertical="center"/>
    </xf>
    <xf numFmtId="0" fontId="0" fillId="6" borderId="9" xfId="0" applyFill="1" applyBorder="1" applyAlignment="1">
      <alignment horizontal="left" vertical="center"/>
    </xf>
    <xf numFmtId="3" fontId="3" fillId="6" borderId="9" xfId="0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wrapText="1"/>
    </xf>
    <xf numFmtId="0" fontId="0" fillId="0" borderId="13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wrapText="1"/>
    </xf>
    <xf numFmtId="0" fontId="0" fillId="3" borderId="10" xfId="0" applyFill="1" applyBorder="1" applyAlignment="1">
      <alignment horizontal="center" wrapText="1"/>
    </xf>
    <xf numFmtId="0" fontId="0" fillId="7" borderId="13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0" borderId="5" xfId="0" applyFill="1" applyBorder="1" applyAlignment="1">
      <alignment horizontal="center" vertical="center" wrapText="1"/>
    </xf>
    <xf numFmtId="0" fontId="0" fillId="3" borderId="56" xfId="0" applyFill="1" applyBorder="1" applyAlignment="1">
      <alignment horizontal="left" vertical="center" wrapText="1"/>
    </xf>
    <xf numFmtId="0" fontId="0" fillId="3" borderId="57" xfId="0" applyFill="1" applyBorder="1" applyAlignment="1">
      <alignment horizontal="left" vertical="center" wrapText="1"/>
    </xf>
    <xf numFmtId="3" fontId="2" fillId="3" borderId="57" xfId="0" applyNumberFormat="1" applyFont="1" applyFill="1" applyBorder="1" applyAlignment="1">
      <alignment horizontal="center" vertical="center" wrapText="1"/>
    </xf>
    <xf numFmtId="0" fontId="0" fillId="3" borderId="55" xfId="0" applyFill="1" applyBorder="1" applyAlignment="1">
      <alignment horizontal="center" vertical="center" wrapText="1"/>
    </xf>
    <xf numFmtId="14" fontId="0" fillId="7" borderId="55" xfId="0" applyNumberFormat="1" applyFill="1" applyBorder="1" applyAlignment="1">
      <alignment horizontal="center" vertical="center" wrapText="1"/>
    </xf>
    <xf numFmtId="0" fontId="0" fillId="7" borderId="55" xfId="0" applyFill="1" applyBorder="1" applyAlignment="1">
      <alignment horizontal="center" vertical="center" wrapText="1"/>
    </xf>
    <xf numFmtId="0" fontId="0" fillId="3" borderId="54" xfId="0" applyFill="1" applyBorder="1" applyAlignment="1">
      <alignment horizontal="left" vertical="center" wrapText="1"/>
    </xf>
    <xf numFmtId="0" fontId="0" fillId="6" borderId="58" xfId="0" applyFill="1" applyBorder="1" applyAlignment="1">
      <alignment horizontal="left" vertical="center" wrapText="1"/>
    </xf>
    <xf numFmtId="0" fontId="0" fillId="6" borderId="6" xfId="0" applyFill="1" applyBorder="1" applyAlignment="1">
      <alignment horizontal="left" vertical="center" wrapText="1"/>
    </xf>
    <xf numFmtId="3" fontId="2" fillId="6" borderId="6" xfId="0" applyNumberFormat="1" applyFont="1" applyFill="1" applyBorder="1" applyAlignment="1">
      <alignment horizontal="center" vertical="center" wrapText="1"/>
    </xf>
    <xf numFmtId="14" fontId="0" fillId="7" borderId="5" xfId="0" applyNumberFormat="1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wrapText="1"/>
    </xf>
    <xf numFmtId="0" fontId="0" fillId="6" borderId="51" xfId="0" applyFill="1" applyBorder="1" applyAlignment="1">
      <alignment horizontal="left" vertical="center" wrapText="1"/>
    </xf>
    <xf numFmtId="3" fontId="2" fillId="6" borderId="22" xfId="0" applyNumberFormat="1" applyFont="1" applyFill="1" applyBorder="1" applyAlignment="1">
      <alignment horizontal="center" vertical="center" wrapText="1"/>
    </xf>
    <xf numFmtId="0" fontId="2" fillId="6" borderId="13" xfId="0" applyFont="1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wrapText="1"/>
    </xf>
    <xf numFmtId="0" fontId="0" fillId="3" borderId="13" xfId="0" applyFont="1" applyFill="1" applyBorder="1" applyAlignment="1">
      <alignment horizontal="center" vertical="center" wrapText="1"/>
    </xf>
    <xf numFmtId="0" fontId="0" fillId="6" borderId="55" xfId="0" applyFill="1" applyBorder="1" applyAlignment="1">
      <alignment horizontal="left" vertical="center" wrapText="1"/>
    </xf>
    <xf numFmtId="3" fontId="2" fillId="6" borderId="55" xfId="0" applyNumberFormat="1" applyFont="1" applyFill="1" applyBorder="1" applyAlignment="1">
      <alignment horizontal="center" vertical="center" wrapText="1"/>
    </xf>
    <xf numFmtId="0" fontId="2" fillId="6" borderId="55" xfId="0" applyFont="1" applyFill="1" applyBorder="1" applyAlignment="1">
      <alignment horizontal="center" vertical="center" wrapText="1"/>
    </xf>
    <xf numFmtId="0" fontId="0" fillId="6" borderId="55" xfId="0" applyFill="1" applyBorder="1" applyAlignment="1">
      <alignment horizontal="center" vertical="center" wrapText="1"/>
    </xf>
    <xf numFmtId="0" fontId="1" fillId="6" borderId="55" xfId="0" applyFont="1" applyFill="1" applyBorder="1" applyAlignment="1">
      <alignment vertical="center" wrapText="1"/>
    </xf>
    <xf numFmtId="0" fontId="0" fillId="3" borderId="55" xfId="0" applyFill="1" applyBorder="1" applyAlignment="1">
      <alignment horizontal="left" vertical="center" wrapText="1"/>
    </xf>
    <xf numFmtId="3" fontId="2" fillId="3" borderId="55" xfId="0" applyNumberFormat="1" applyFont="1" applyFill="1" applyBorder="1" applyAlignment="1">
      <alignment horizontal="center" vertical="center" wrapText="1"/>
    </xf>
    <xf numFmtId="0" fontId="2" fillId="3" borderId="55" xfId="0" applyFont="1" applyFill="1" applyBorder="1" applyAlignment="1">
      <alignment horizontal="center" vertical="center" wrapText="1"/>
    </xf>
    <xf numFmtId="0" fontId="1" fillId="3" borderId="55" xfId="0" applyFont="1" applyFill="1" applyBorder="1" applyAlignment="1">
      <alignment vertical="center" wrapText="1"/>
    </xf>
    <xf numFmtId="0" fontId="0" fillId="7" borderId="10" xfId="0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0" fillId="7" borderId="21" xfId="0" applyFill="1" applyBorder="1" applyAlignment="1">
      <alignment horizontal="center" vertical="center" wrapText="1"/>
    </xf>
    <xf numFmtId="0" fontId="0" fillId="12" borderId="13" xfId="0" applyFill="1" applyBorder="1" applyAlignment="1">
      <alignment horizontal="left" vertical="center" wrapText="1"/>
    </xf>
    <xf numFmtId="3" fontId="2" fillId="12" borderId="13" xfId="0" applyNumberFormat="1" applyFont="1" applyFill="1" applyBorder="1" applyAlignment="1">
      <alignment horizontal="center" vertical="center" wrapText="1"/>
    </xf>
    <xf numFmtId="0" fontId="0" fillId="12" borderId="13" xfId="0" applyFill="1" applyBorder="1" applyAlignment="1">
      <alignment horizontal="center" vertical="center" wrapText="1"/>
    </xf>
    <xf numFmtId="0" fontId="0" fillId="12" borderId="13" xfId="0" applyFill="1" applyBorder="1" applyAlignment="1">
      <alignment horizontal="center" wrapText="1"/>
    </xf>
    <xf numFmtId="0" fontId="0" fillId="12" borderId="7" xfId="0" applyFill="1" applyBorder="1" applyAlignment="1">
      <alignment horizontal="left" vertical="center" wrapText="1"/>
    </xf>
    <xf numFmtId="0" fontId="0" fillId="12" borderId="21" xfId="0" applyFill="1" applyBorder="1" applyAlignment="1">
      <alignment horizontal="left" vertical="center" wrapText="1"/>
    </xf>
    <xf numFmtId="0" fontId="0" fillId="6" borderId="59" xfId="0" applyFill="1" applyBorder="1" applyAlignment="1">
      <alignment horizontal="left" vertical="center" wrapText="1"/>
    </xf>
    <xf numFmtId="0" fontId="0" fillId="3" borderId="59" xfId="0" applyFill="1" applyBorder="1" applyAlignment="1">
      <alignment horizontal="left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25" borderId="2" xfId="0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0" fontId="4" fillId="25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0" fillId="7" borderId="13" xfId="0" applyNumberFormat="1" applyFill="1" applyBorder="1" applyAlignment="1">
      <alignment horizontal="center" vertical="center" wrapText="1"/>
    </xf>
    <xf numFmtId="0" fontId="0" fillId="7" borderId="13" xfId="0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left" vertical="center" wrapText="1"/>
    </xf>
    <xf numFmtId="0" fontId="0" fillId="7" borderId="3" xfId="0" applyFill="1" applyBorder="1" applyAlignment="1">
      <alignment horizontal="center" vertical="center" wrapText="1"/>
    </xf>
    <xf numFmtId="14" fontId="0" fillId="7" borderId="3" xfId="0" applyNumberFormat="1" applyFill="1" applyBorder="1" applyAlignment="1">
      <alignment horizontal="center" vertical="center" wrapText="1"/>
    </xf>
    <xf numFmtId="0" fontId="0" fillId="3" borderId="41" xfId="0" applyFill="1" applyBorder="1" applyAlignment="1">
      <alignment horizontal="left" vertical="center" wrapText="1"/>
    </xf>
    <xf numFmtId="3" fontId="2" fillId="3" borderId="3" xfId="0" applyNumberFormat="1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0" fontId="0" fillId="7" borderId="4" xfId="0" applyFont="1" applyFill="1" applyBorder="1" applyAlignment="1">
      <alignment horizontal="center" vertical="center" wrapText="1"/>
    </xf>
    <xf numFmtId="14" fontId="0" fillId="7" borderId="4" xfId="0" applyNumberFormat="1" applyFont="1" applyFill="1" applyBorder="1" applyAlignment="1">
      <alignment horizontal="center" vertical="center" wrapText="1"/>
    </xf>
    <xf numFmtId="3" fontId="2" fillId="17" borderId="4" xfId="0" applyNumberFormat="1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3" borderId="3" xfId="0" applyFont="1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wrapText="1"/>
    </xf>
    <xf numFmtId="0" fontId="0" fillId="2" borderId="19" xfId="0" applyFill="1" applyBorder="1" applyAlignment="1">
      <alignment horizontal="center" vertical="center" wrapText="1"/>
    </xf>
    <xf numFmtId="14" fontId="0" fillId="7" borderId="2" xfId="0" applyNumberForma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left" vertical="center" wrapText="1"/>
    </xf>
    <xf numFmtId="0" fontId="0" fillId="3" borderId="8" xfId="0" applyFill="1" applyBorder="1" applyAlignment="1">
      <alignment horizontal="left" vertical="center" wrapText="1"/>
    </xf>
    <xf numFmtId="0" fontId="0" fillId="6" borderId="2" xfId="0" applyFill="1" applyBorder="1" applyAlignment="1">
      <alignment horizontal="center" vertical="center" wrapText="1"/>
    </xf>
    <xf numFmtId="3" fontId="2" fillId="6" borderId="2" xfId="0" applyNumberFormat="1" applyFont="1" applyFill="1" applyBorder="1" applyAlignment="1">
      <alignment horizontal="center" vertical="center" wrapText="1"/>
    </xf>
    <xf numFmtId="14" fontId="0" fillId="7" borderId="2" xfId="0" applyNumberFormat="1" applyFill="1" applyBorder="1" applyAlignment="1">
      <alignment horizontal="center" vertical="center" wrapText="1"/>
    </xf>
    <xf numFmtId="0" fontId="0" fillId="6" borderId="19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6" borderId="7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0" fillId="7" borderId="39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30" fillId="6" borderId="1" xfId="0" applyFont="1" applyFill="1" applyBorder="1" applyAlignment="1">
      <alignment wrapText="1"/>
    </xf>
    <xf numFmtId="14" fontId="0" fillId="7" borderId="1" xfId="0" applyNumberForma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left" vertical="center" wrapText="1"/>
    </xf>
    <xf numFmtId="0" fontId="0" fillId="3" borderId="8" xfId="0" applyFill="1" applyBorder="1" applyAlignment="1">
      <alignment horizontal="left" vertical="center" wrapText="1"/>
    </xf>
    <xf numFmtId="0" fontId="0" fillId="13" borderId="2" xfId="0" applyFill="1" applyBorder="1" applyAlignment="1">
      <alignment vertical="center" wrapText="1"/>
    </xf>
    <xf numFmtId="0" fontId="0" fillId="13" borderId="2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14" fontId="0" fillId="7" borderId="1" xfId="0" applyNumberFormat="1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0" fillId="23" borderId="4" xfId="0" applyFill="1" applyBorder="1" applyAlignment="1">
      <alignment horizontal="center" vertical="center" wrapText="1"/>
    </xf>
    <xf numFmtId="0" fontId="0" fillId="23" borderId="1" xfId="0" applyFill="1" applyBorder="1" applyAlignment="1">
      <alignment horizontal="center" vertical="center" wrapText="1"/>
    </xf>
    <xf numFmtId="3" fontId="2" fillId="23" borderId="4" xfId="0" applyNumberFormat="1" applyFont="1" applyFill="1" applyBorder="1" applyAlignment="1">
      <alignment horizontal="center" vertical="center" wrapText="1"/>
    </xf>
    <xf numFmtId="0" fontId="0" fillId="23" borderId="1" xfId="0" applyFont="1" applyFill="1" applyBorder="1" applyAlignment="1">
      <alignment horizontal="center" vertical="center" wrapText="1"/>
    </xf>
    <xf numFmtId="14" fontId="0" fillId="7" borderId="2" xfId="0" applyNumberForma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left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4" fillId="26" borderId="0" xfId="0" applyFont="1" applyFill="1" applyAlignment="1">
      <alignment wrapText="1"/>
    </xf>
    <xf numFmtId="0" fontId="0" fillId="2" borderId="10" xfId="0" applyFill="1" applyBorder="1" applyAlignment="1">
      <alignment horizontal="left" vertical="center" wrapText="1"/>
    </xf>
    <xf numFmtId="0" fontId="0" fillId="2" borderId="19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9" xfId="0" applyFill="1" applyBorder="1" applyAlignment="1">
      <alignment horizontal="center" vertical="center" wrapText="1"/>
    </xf>
    <xf numFmtId="0" fontId="0" fillId="23" borderId="1" xfId="0" applyFill="1" applyBorder="1" applyAlignment="1">
      <alignment horizontal="center" vertical="center" wrapText="1"/>
    </xf>
    <xf numFmtId="0" fontId="0" fillId="23" borderId="1" xfId="0" applyFill="1" applyBorder="1" applyAlignment="1">
      <alignment horizontal="left" vertical="center" wrapText="1"/>
    </xf>
    <xf numFmtId="0" fontId="0" fillId="23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14" fontId="0" fillId="7" borderId="1" xfId="0" applyNumberFormat="1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9" borderId="2" xfId="0" applyFont="1" applyFill="1" applyBorder="1" applyAlignment="1">
      <alignment vertical="center" wrapText="1"/>
    </xf>
    <xf numFmtId="166" fontId="0" fillId="9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21" fillId="16" borderId="1" xfId="0" applyFont="1" applyFill="1" applyBorder="1" applyAlignment="1">
      <alignment vertical="center" wrapText="1"/>
    </xf>
    <xf numFmtId="0" fontId="0" fillId="17" borderId="4" xfId="0" applyFill="1" applyBorder="1" applyAlignment="1">
      <alignment vertical="center" wrapText="1"/>
    </xf>
    <xf numFmtId="0" fontId="0" fillId="17" borderId="2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17" borderId="2" xfId="0" applyFill="1" applyBorder="1" applyAlignment="1">
      <alignment vertical="center" wrapText="1"/>
    </xf>
    <xf numFmtId="0" fontId="0" fillId="23" borderId="4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17" borderId="3" xfId="0" applyFill="1" applyBorder="1" applyAlignment="1">
      <alignment vertical="center" wrapText="1"/>
    </xf>
    <xf numFmtId="0" fontId="1" fillId="0" borderId="0" xfId="0" applyFont="1" applyFill="1" applyAlignment="1">
      <alignment wrapText="1"/>
    </xf>
    <xf numFmtId="0" fontId="0" fillId="23" borderId="1" xfId="0" applyFill="1" applyBorder="1" applyAlignment="1">
      <alignment horizontal="center" vertical="center" wrapText="1"/>
    </xf>
    <xf numFmtId="0" fontId="2" fillId="23" borderId="4" xfId="0" applyFont="1" applyFill="1" applyBorder="1" applyAlignment="1">
      <alignment horizontal="center" vertical="center" wrapText="1"/>
    </xf>
    <xf numFmtId="0" fontId="9" fillId="23" borderId="1" xfId="0" applyFont="1" applyFill="1" applyBorder="1" applyAlignment="1">
      <alignment horizontal="center" vertical="center" wrapText="1"/>
    </xf>
    <xf numFmtId="1" fontId="0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12" borderId="1" xfId="0" applyFill="1" applyBorder="1" applyAlignment="1">
      <alignment wrapText="1"/>
    </xf>
    <xf numFmtId="0" fontId="0" fillId="26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left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3" fillId="13" borderId="4" xfId="0" applyFont="1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 wrapText="1"/>
    </xf>
    <xf numFmtId="3" fontId="0" fillId="13" borderId="2" xfId="0" applyNumberFormat="1" applyFill="1" applyBorder="1" applyAlignment="1">
      <alignment horizontal="center" vertical="center" wrapText="1"/>
    </xf>
    <xf numFmtId="3" fontId="0" fillId="13" borderId="4" xfId="0" applyNumberFormat="1" applyFill="1" applyBorder="1" applyAlignment="1">
      <alignment horizontal="center" vertical="center" wrapText="1"/>
    </xf>
    <xf numFmtId="14" fontId="0" fillId="13" borderId="2" xfId="0" applyNumberFormat="1" applyFill="1" applyBorder="1" applyAlignment="1">
      <alignment horizontal="center" vertical="center" wrapText="1"/>
    </xf>
    <xf numFmtId="14" fontId="0" fillId="13" borderId="4" xfId="0" applyNumberForma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1" fillId="13" borderId="4" xfId="0" applyFon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14" fontId="0" fillId="13" borderId="3" xfId="0" applyNumberForma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0" fillId="13" borderId="2" xfId="0" applyFill="1" applyBorder="1" applyAlignment="1">
      <alignment horizontal="left" vertical="center" wrapText="1"/>
    </xf>
    <xf numFmtId="0" fontId="0" fillId="13" borderId="4" xfId="0" applyFill="1" applyBorder="1" applyAlignment="1">
      <alignment horizontal="left" vertical="center" wrapText="1"/>
    </xf>
    <xf numFmtId="0" fontId="0" fillId="13" borderId="1" xfId="0" applyFill="1" applyBorder="1" applyAlignment="1">
      <alignment horizontal="left" vertical="center" wrapText="1"/>
    </xf>
    <xf numFmtId="0" fontId="0" fillId="13" borderId="1" xfId="0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0" fontId="0" fillId="13" borderId="2" xfId="0" applyFont="1" applyFill="1" applyBorder="1" applyAlignment="1">
      <alignment horizontal="center" vertical="center" wrapText="1"/>
    </xf>
    <xf numFmtId="0" fontId="0" fillId="13" borderId="4" xfId="0" applyFont="1" applyFill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center" vertical="center" wrapText="1"/>
    </xf>
    <xf numFmtId="0" fontId="0" fillId="13" borderId="3" xfId="0" applyFill="1" applyBorder="1" applyAlignment="1">
      <alignment horizontal="center" vertical="center" wrapText="1"/>
    </xf>
    <xf numFmtId="3" fontId="0" fillId="13" borderId="3" xfId="0" applyNumberFormat="1" applyFill="1" applyBorder="1" applyAlignment="1">
      <alignment horizontal="center" vertical="center" wrapText="1"/>
    </xf>
    <xf numFmtId="3" fontId="0" fillId="13" borderId="2" xfId="0" applyNumberFormat="1" applyFont="1" applyFill="1" applyBorder="1" applyAlignment="1">
      <alignment horizontal="center" vertical="center" wrapText="1"/>
    </xf>
    <xf numFmtId="3" fontId="0" fillId="13" borderId="4" xfId="0" applyNumberFormat="1" applyFont="1" applyFill="1" applyBorder="1" applyAlignment="1">
      <alignment horizontal="center" vertical="center" wrapText="1"/>
    </xf>
    <xf numFmtId="14" fontId="0" fillId="13" borderId="2" xfId="0" applyNumberFormat="1" applyFont="1" applyFill="1" applyBorder="1" applyAlignment="1">
      <alignment horizontal="center" vertical="center" wrapText="1"/>
    </xf>
    <xf numFmtId="14" fontId="0" fillId="13" borderId="4" xfId="0" applyNumberFormat="1" applyFont="1" applyFill="1" applyBorder="1" applyAlignment="1">
      <alignment horizontal="center" vertical="center" wrapText="1"/>
    </xf>
    <xf numFmtId="3" fontId="0" fillId="13" borderId="2" xfId="0" applyNumberFormat="1" applyFill="1" applyBorder="1" applyAlignment="1">
      <alignment horizontal="center" vertical="center"/>
    </xf>
    <xf numFmtId="3" fontId="0" fillId="13" borderId="4" xfId="0" applyNumberForma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 wrapText="1"/>
    </xf>
    <xf numFmtId="0" fontId="4" fillId="13" borderId="4" xfId="0" applyFont="1" applyFill="1" applyBorder="1" applyAlignment="1">
      <alignment horizontal="center" vertical="center" wrapText="1"/>
    </xf>
    <xf numFmtId="14" fontId="0" fillId="13" borderId="2" xfId="0" applyNumberFormat="1" applyFill="1" applyBorder="1" applyAlignment="1">
      <alignment horizontal="center" vertical="center"/>
    </xf>
    <xf numFmtId="14" fontId="0" fillId="13" borderId="4" xfId="0" applyNumberFormat="1" applyFill="1" applyBorder="1" applyAlignment="1">
      <alignment horizontal="center" vertical="center"/>
    </xf>
    <xf numFmtId="14" fontId="0" fillId="9" borderId="2" xfId="0" applyNumberFormat="1" applyFont="1" applyFill="1" applyBorder="1" applyAlignment="1">
      <alignment horizontal="center" vertical="center" wrapText="1"/>
    </xf>
    <xf numFmtId="14" fontId="0" fillId="9" borderId="3" xfId="0" applyNumberFormat="1" applyFont="1" applyFill="1" applyBorder="1" applyAlignment="1">
      <alignment horizontal="center" vertical="center" wrapText="1"/>
    </xf>
    <xf numFmtId="14" fontId="0" fillId="9" borderId="4" xfId="0" applyNumberFormat="1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0" fillId="9" borderId="2" xfId="0" applyFont="1" applyFill="1" applyBorder="1" applyAlignment="1">
      <alignment horizontal="center" vertical="center" wrapText="1"/>
    </xf>
    <xf numFmtId="0" fontId="0" fillId="9" borderId="3" xfId="0" applyFont="1" applyFill="1" applyBorder="1" applyAlignment="1">
      <alignment horizontal="center" vertical="center" wrapText="1"/>
    </xf>
    <xf numFmtId="0" fontId="0" fillId="9" borderId="4" xfId="0" applyFont="1" applyFill="1" applyBorder="1" applyAlignment="1">
      <alignment horizontal="center" vertical="center" wrapText="1"/>
    </xf>
    <xf numFmtId="3" fontId="0" fillId="9" borderId="2" xfId="0" applyNumberFormat="1" applyFont="1" applyFill="1" applyBorder="1" applyAlignment="1">
      <alignment horizontal="center" vertical="center" wrapText="1"/>
    </xf>
    <xf numFmtId="3" fontId="0" fillId="9" borderId="3" xfId="0" applyNumberFormat="1" applyFont="1" applyFill="1" applyBorder="1" applyAlignment="1">
      <alignment horizontal="center" vertical="center" wrapText="1"/>
    </xf>
    <xf numFmtId="3" fontId="0" fillId="9" borderId="4" xfId="0" applyNumberFormat="1" applyFont="1" applyFill="1" applyBorder="1" applyAlignment="1">
      <alignment horizontal="center" vertical="center" wrapText="1"/>
    </xf>
    <xf numFmtId="164" fontId="0" fillId="9" borderId="2" xfId="0" applyNumberFormat="1" applyFont="1" applyFill="1" applyBorder="1" applyAlignment="1">
      <alignment horizontal="center" vertical="center" wrapText="1"/>
    </xf>
    <xf numFmtId="164" fontId="0" fillId="9" borderId="3" xfId="0" applyNumberFormat="1" applyFont="1" applyFill="1" applyBorder="1" applyAlignment="1">
      <alignment horizontal="center" vertical="center" wrapText="1"/>
    </xf>
    <xf numFmtId="164" fontId="0" fillId="9" borderId="4" xfId="0" applyNumberFormat="1" applyFont="1" applyFill="1" applyBorder="1" applyAlignment="1">
      <alignment horizontal="center" vertical="center" wrapText="1"/>
    </xf>
    <xf numFmtId="0" fontId="0" fillId="26" borderId="2" xfId="0" applyFont="1" applyFill="1" applyBorder="1" applyAlignment="1">
      <alignment horizontal="center" vertical="center" wrapText="1"/>
    </xf>
    <xf numFmtId="0" fontId="0" fillId="26" borderId="4" xfId="0" applyFont="1" applyFill="1" applyBorder="1" applyAlignment="1">
      <alignment horizontal="center" vertical="center" wrapText="1"/>
    </xf>
    <xf numFmtId="0" fontId="0" fillId="26" borderId="3" xfId="0" applyFont="1" applyFill="1" applyBorder="1" applyAlignment="1">
      <alignment horizontal="center" vertical="center" wrapText="1"/>
    </xf>
    <xf numFmtId="0" fontId="1" fillId="15" borderId="2" xfId="0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>
      <alignment horizontal="center" vertical="center" wrapText="1"/>
    </xf>
    <xf numFmtId="165" fontId="10" fillId="15" borderId="2" xfId="0" applyNumberFormat="1" applyFont="1" applyFill="1" applyBorder="1" applyAlignment="1">
      <alignment horizontal="center" vertical="center" wrapText="1"/>
    </xf>
    <xf numFmtId="165" fontId="10" fillId="15" borderId="3" xfId="0" applyNumberFormat="1" applyFont="1" applyFill="1" applyBorder="1" applyAlignment="1">
      <alignment horizontal="center" vertical="center" wrapText="1"/>
    </xf>
    <xf numFmtId="165" fontId="10" fillId="15" borderId="4" xfId="0" applyNumberFormat="1" applyFont="1" applyFill="1" applyBorder="1" applyAlignment="1">
      <alignment horizontal="center" vertical="center" wrapText="1"/>
    </xf>
    <xf numFmtId="0" fontId="0" fillId="15" borderId="2" xfId="0" applyFont="1" applyFill="1" applyBorder="1" applyAlignment="1">
      <alignment horizontal="center" vertical="center" wrapText="1"/>
    </xf>
    <xf numFmtId="0" fontId="0" fillId="15" borderId="3" xfId="0" applyFont="1" applyFill="1" applyBorder="1" applyAlignment="1">
      <alignment horizontal="center" vertical="center" wrapText="1"/>
    </xf>
    <xf numFmtId="0" fontId="0" fillId="15" borderId="4" xfId="0" applyFont="1" applyFill="1" applyBorder="1" applyAlignment="1">
      <alignment horizontal="center" vertical="center" wrapText="1"/>
    </xf>
    <xf numFmtId="14" fontId="0" fillId="15" borderId="2" xfId="0" applyNumberFormat="1" applyFont="1" applyFill="1" applyBorder="1" applyAlignment="1">
      <alignment horizontal="center" vertical="center" wrapText="1"/>
    </xf>
    <xf numFmtId="14" fontId="0" fillId="15" borderId="3" xfId="0" applyNumberFormat="1" applyFont="1" applyFill="1" applyBorder="1" applyAlignment="1">
      <alignment horizontal="center" vertical="center" wrapText="1"/>
    </xf>
    <xf numFmtId="14" fontId="0" fillId="15" borderId="4" xfId="0" applyNumberFormat="1" applyFont="1" applyFill="1" applyBorder="1" applyAlignment="1">
      <alignment horizontal="center" vertical="center" wrapText="1"/>
    </xf>
    <xf numFmtId="3" fontId="0" fillId="15" borderId="2" xfId="0" applyNumberFormat="1" applyFont="1" applyFill="1" applyBorder="1" applyAlignment="1">
      <alignment horizontal="center" vertical="center" wrapText="1"/>
    </xf>
    <xf numFmtId="3" fontId="0" fillId="15" borderId="3" xfId="0" applyNumberFormat="1" applyFont="1" applyFill="1" applyBorder="1" applyAlignment="1">
      <alignment horizontal="center" vertical="center" wrapText="1"/>
    </xf>
    <xf numFmtId="3" fontId="0" fillId="15" borderId="4" xfId="0" applyNumberFormat="1" applyFont="1" applyFill="1" applyBorder="1" applyAlignment="1">
      <alignment horizontal="center" vertical="center" wrapText="1"/>
    </xf>
    <xf numFmtId="164" fontId="0" fillId="21" borderId="2" xfId="0" applyNumberFormat="1" applyFont="1" applyFill="1" applyBorder="1" applyAlignment="1">
      <alignment horizontal="center" vertical="center" wrapText="1"/>
    </xf>
    <xf numFmtId="164" fontId="0" fillId="21" borderId="4" xfId="0" applyNumberFormat="1" applyFont="1" applyFill="1" applyBorder="1" applyAlignment="1">
      <alignment horizontal="center" vertical="center" wrapText="1"/>
    </xf>
    <xf numFmtId="164" fontId="0" fillId="22" borderId="2" xfId="0" applyNumberFormat="1" applyFont="1" applyFill="1" applyBorder="1" applyAlignment="1">
      <alignment horizontal="center" vertical="center" wrapText="1"/>
    </xf>
    <xf numFmtId="164" fontId="0" fillId="22" borderId="3" xfId="0" applyNumberFormat="1" applyFont="1" applyFill="1" applyBorder="1" applyAlignment="1">
      <alignment horizontal="center" vertical="center" wrapText="1"/>
    </xf>
    <xf numFmtId="164" fontId="0" fillId="22" borderId="4" xfId="0" applyNumberFormat="1" applyFont="1" applyFill="1" applyBorder="1" applyAlignment="1">
      <alignment horizontal="center" vertical="center" wrapText="1"/>
    </xf>
    <xf numFmtId="164" fontId="0" fillId="25" borderId="2" xfId="0" applyNumberFormat="1" applyFont="1" applyFill="1" applyBorder="1" applyAlignment="1">
      <alignment horizontal="center" vertical="center" wrapText="1"/>
    </xf>
    <xf numFmtId="164" fontId="0" fillId="25" borderId="4" xfId="0" applyNumberFormat="1" applyFont="1" applyFill="1" applyBorder="1" applyAlignment="1">
      <alignment horizontal="center" vertical="center" wrapText="1"/>
    </xf>
    <xf numFmtId="14" fontId="0" fillId="25" borderId="2" xfId="0" applyNumberFormat="1" applyFont="1" applyFill="1" applyBorder="1" applyAlignment="1">
      <alignment horizontal="center" vertical="center" wrapText="1"/>
    </xf>
    <xf numFmtId="14" fontId="0" fillId="25" borderId="3" xfId="0" applyNumberFormat="1" applyFont="1" applyFill="1" applyBorder="1" applyAlignment="1">
      <alignment horizontal="center" vertical="center" wrapText="1"/>
    </xf>
    <xf numFmtId="0" fontId="0" fillId="25" borderId="2" xfId="0" applyFont="1" applyFill="1" applyBorder="1" applyAlignment="1">
      <alignment horizontal="center" vertical="center" wrapText="1"/>
    </xf>
    <xf numFmtId="0" fontId="0" fillId="25" borderId="3" xfId="0" applyFont="1" applyFill="1" applyBorder="1" applyAlignment="1">
      <alignment horizontal="center" vertical="center" wrapText="1"/>
    </xf>
    <xf numFmtId="0" fontId="1" fillId="25" borderId="2" xfId="0" applyFont="1" applyFill="1" applyBorder="1" applyAlignment="1">
      <alignment horizontal="center" vertical="center" wrapText="1"/>
    </xf>
    <xf numFmtId="0" fontId="1" fillId="25" borderId="3" xfId="0" applyFont="1" applyFill="1" applyBorder="1" applyAlignment="1">
      <alignment horizontal="center" vertical="center" wrapText="1"/>
    </xf>
    <xf numFmtId="3" fontId="0" fillId="25" borderId="2" xfId="0" applyNumberFormat="1" applyFont="1" applyFill="1" applyBorder="1" applyAlignment="1">
      <alignment horizontal="center" vertical="center" wrapText="1"/>
    </xf>
    <xf numFmtId="3" fontId="0" fillId="25" borderId="3" xfId="0" applyNumberFormat="1" applyFont="1" applyFill="1" applyBorder="1" applyAlignment="1">
      <alignment horizontal="center" vertical="center" wrapText="1"/>
    </xf>
    <xf numFmtId="0" fontId="27" fillId="12" borderId="28" xfId="0" applyFont="1" applyFill="1" applyBorder="1" applyAlignment="1">
      <alignment horizontal="center" vertical="center"/>
    </xf>
    <xf numFmtId="0" fontId="27" fillId="12" borderId="31" xfId="0" applyFont="1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 wrapText="1"/>
    </xf>
    <xf numFmtId="0" fontId="0" fillId="6" borderId="50" xfId="0" applyFill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3" fontId="2" fillId="6" borderId="2" xfId="0" applyNumberFormat="1" applyFont="1" applyFill="1" applyBorder="1" applyAlignment="1">
      <alignment horizontal="center" vertical="center" wrapText="1"/>
    </xf>
    <xf numFmtId="3" fontId="2" fillId="6" borderId="3" xfId="0" applyNumberFormat="1" applyFont="1" applyFill="1" applyBorder="1" applyAlignment="1">
      <alignment horizontal="center" vertical="center" wrapText="1"/>
    </xf>
    <xf numFmtId="3" fontId="2" fillId="6" borderId="4" xfId="0" applyNumberFormat="1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0" fillId="3" borderId="39" xfId="0" applyFill="1" applyBorder="1" applyAlignment="1">
      <alignment horizontal="left" vertical="center" wrapText="1"/>
    </xf>
    <xf numFmtId="0" fontId="0" fillId="3" borderId="10" xfId="0" applyFill="1" applyBorder="1" applyAlignment="1">
      <alignment horizontal="left" vertical="center" wrapText="1"/>
    </xf>
    <xf numFmtId="0" fontId="29" fillId="3" borderId="23" xfId="0" applyFont="1" applyFill="1" applyBorder="1" applyAlignment="1">
      <alignment horizontal="center" vertical="center" textRotation="255" wrapText="1"/>
    </xf>
    <xf numFmtId="0" fontId="5" fillId="3" borderId="23" xfId="0" applyFont="1" applyFill="1" applyBorder="1" applyAlignment="1">
      <alignment horizontal="center" vertical="center" textRotation="255" wrapText="1"/>
    </xf>
    <xf numFmtId="0" fontId="27" fillId="6" borderId="23" xfId="0" applyFont="1" applyFill="1" applyBorder="1" applyAlignment="1">
      <alignment horizontal="center" vertical="center" textRotation="255" wrapText="1"/>
    </xf>
    <xf numFmtId="0" fontId="27" fillId="6" borderId="23" xfId="0" applyFont="1" applyFill="1" applyBorder="1" applyAlignment="1">
      <alignment horizontal="center" vertical="center" wrapText="1"/>
    </xf>
    <xf numFmtId="0" fontId="25" fillId="6" borderId="23" xfId="0" applyFont="1" applyFill="1" applyBorder="1" applyAlignment="1">
      <alignment horizontal="center" vertical="center" textRotation="255" wrapText="1"/>
    </xf>
    <xf numFmtId="0" fontId="5" fillId="8" borderId="23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0" fontId="6" fillId="3" borderId="46" xfId="0" applyFont="1" applyFill="1" applyBorder="1" applyAlignment="1">
      <alignment horizontal="center" vertical="center" textRotation="255" wrapText="1"/>
    </xf>
    <xf numFmtId="0" fontId="6" fillId="3" borderId="23" xfId="0" applyFont="1" applyFill="1" applyBorder="1" applyAlignment="1">
      <alignment horizontal="center" vertical="center" textRotation="255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9" fillId="6" borderId="23" xfId="0" applyFont="1" applyFill="1" applyBorder="1" applyAlignment="1">
      <alignment horizontal="center" vertical="center" textRotation="255" wrapText="1"/>
    </xf>
    <xf numFmtId="0" fontId="0" fillId="3" borderId="8" xfId="0" applyFill="1" applyBorder="1" applyAlignment="1">
      <alignment horizontal="left" vertical="center" wrapText="1"/>
    </xf>
    <xf numFmtId="0" fontId="0" fillId="3" borderId="16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25" fillId="6" borderId="23" xfId="0" applyFont="1" applyFill="1" applyBorder="1" applyAlignment="1">
      <alignment horizontal="center" vertical="center" wrapText="1"/>
    </xf>
    <xf numFmtId="0" fontId="0" fillId="6" borderId="7" xfId="0" applyFill="1" applyBorder="1" applyAlignment="1">
      <alignment horizontal="left" vertical="center" wrapText="1"/>
    </xf>
    <xf numFmtId="0" fontId="0" fillId="6" borderId="21" xfId="0" applyFill="1" applyBorder="1" applyAlignment="1">
      <alignment horizontal="left" vertical="center" wrapText="1"/>
    </xf>
    <xf numFmtId="0" fontId="0" fillId="3" borderId="25" xfId="0" applyFill="1" applyBorder="1" applyAlignment="1">
      <alignment horizontal="left" vertical="center" wrapText="1"/>
    </xf>
    <xf numFmtId="0" fontId="0" fillId="3" borderId="41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3" borderId="9" xfId="0" applyFill="1" applyBorder="1" applyAlignment="1">
      <alignment horizontal="left" vertical="center" wrapText="1"/>
    </xf>
    <xf numFmtId="0" fontId="0" fillId="6" borderId="39" xfId="0" applyFill="1" applyBorder="1" applyAlignment="1">
      <alignment horizontal="left" vertical="center" wrapText="1"/>
    </xf>
    <xf numFmtId="0" fontId="0" fillId="6" borderId="10" xfId="0" applyFill="1" applyBorder="1" applyAlignment="1">
      <alignment horizontal="left" vertical="center" wrapText="1"/>
    </xf>
    <xf numFmtId="0" fontId="0" fillId="6" borderId="41" xfId="0" applyFill="1" applyBorder="1" applyAlignment="1">
      <alignment horizontal="left" vertical="center" wrapText="1"/>
    </xf>
    <xf numFmtId="0" fontId="0" fillId="6" borderId="24" xfId="0" applyFill="1" applyBorder="1" applyAlignment="1">
      <alignment horizontal="left" vertical="center" wrapText="1"/>
    </xf>
    <xf numFmtId="0" fontId="0" fillId="3" borderId="24" xfId="0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0" fontId="0" fillId="3" borderId="21" xfId="0" applyFill="1" applyBorder="1" applyAlignment="1">
      <alignment horizontal="left" vertical="center" wrapText="1"/>
    </xf>
    <xf numFmtId="0" fontId="0" fillId="3" borderId="14" xfId="0" applyFill="1" applyBorder="1" applyAlignment="1">
      <alignment horizontal="left" vertical="center" wrapText="1"/>
    </xf>
    <xf numFmtId="0" fontId="0" fillId="6" borderId="9" xfId="0" applyFill="1" applyBorder="1" applyAlignment="1">
      <alignment horizontal="left" vertical="center" wrapText="1"/>
    </xf>
    <xf numFmtId="0" fontId="0" fillId="6" borderId="22" xfId="0" applyFill="1" applyBorder="1" applyAlignment="1">
      <alignment horizontal="left" vertical="center" wrapText="1"/>
    </xf>
    <xf numFmtId="3" fontId="2" fillId="6" borderId="15" xfId="0" applyNumberFormat="1" applyFont="1" applyFill="1" applyBorder="1" applyAlignment="1">
      <alignment horizontal="center" vertical="center" wrapText="1"/>
    </xf>
    <xf numFmtId="3" fontId="2" fillId="6" borderId="14" xfId="0" applyNumberFormat="1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left" vertical="center" wrapText="1"/>
    </xf>
    <xf numFmtId="0" fontId="0" fillId="6" borderId="15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left" vertical="center" wrapText="1"/>
    </xf>
    <xf numFmtId="0" fontId="0" fillId="6" borderId="8" xfId="0" applyFill="1" applyBorder="1" applyAlignment="1">
      <alignment horizontal="left" vertical="center" wrapText="1"/>
    </xf>
    <xf numFmtId="14" fontId="0" fillId="7" borderId="2" xfId="0" applyNumberFormat="1" applyFill="1" applyBorder="1" applyAlignment="1">
      <alignment horizontal="center" vertical="center" wrapText="1"/>
    </xf>
    <xf numFmtId="14" fontId="0" fillId="7" borderId="3" xfId="0" applyNumberFormat="1" applyFill="1" applyBorder="1" applyAlignment="1">
      <alignment horizontal="center" vertical="center" wrapText="1"/>
    </xf>
    <xf numFmtId="14" fontId="0" fillId="7" borderId="4" xfId="0" applyNumberFormat="1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3" fontId="2" fillId="3" borderId="14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3" xfId="0" applyFill="1" applyBorder="1" applyAlignment="1">
      <alignment horizontal="left" vertical="center" wrapText="1"/>
    </xf>
    <xf numFmtId="0" fontId="0" fillId="6" borderId="14" xfId="0" applyFill="1" applyBorder="1" applyAlignment="1">
      <alignment horizontal="center" vertical="center" wrapText="1"/>
    </xf>
    <xf numFmtId="14" fontId="0" fillId="3" borderId="2" xfId="0" applyNumberFormat="1" applyFill="1" applyBorder="1" applyAlignment="1">
      <alignment horizontal="center" vertical="center" wrapText="1"/>
    </xf>
    <xf numFmtId="14" fontId="0" fillId="3" borderId="3" xfId="0" applyNumberFormat="1" applyFill="1" applyBorder="1" applyAlignment="1">
      <alignment horizontal="center" vertical="center" wrapText="1"/>
    </xf>
    <xf numFmtId="14" fontId="0" fillId="3" borderId="4" xfId="0" applyNumberFormat="1" applyFill="1" applyBorder="1" applyAlignment="1">
      <alignment horizontal="center" vertical="center" wrapText="1"/>
    </xf>
    <xf numFmtId="0" fontId="0" fillId="3" borderId="11" xfId="0" applyFill="1" applyBorder="1" applyAlignment="1">
      <alignment horizontal="left" vertical="center" wrapText="1"/>
    </xf>
    <xf numFmtId="0" fontId="0" fillId="3" borderId="19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6" fillId="3" borderId="52" xfId="0" applyFont="1" applyFill="1" applyBorder="1" applyAlignment="1">
      <alignment horizontal="center" vertical="center" textRotation="255" wrapText="1"/>
    </xf>
    <xf numFmtId="0" fontId="6" fillId="3" borderId="53" xfId="0" applyFont="1" applyFill="1" applyBorder="1" applyAlignment="1">
      <alignment horizontal="center" vertical="center" textRotation="255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3" fontId="2" fillId="3" borderId="4" xfId="0" applyNumberFormat="1" applyFont="1" applyFill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6" borderId="41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left" vertical="center" wrapText="1"/>
    </xf>
    <xf numFmtId="0" fontId="0" fillId="3" borderId="51" xfId="0" applyFill="1" applyBorder="1" applyAlignment="1">
      <alignment horizontal="left" vertical="center" wrapText="1"/>
    </xf>
    <xf numFmtId="3" fontId="2" fillId="3" borderId="3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0" fillId="6" borderId="13" xfId="0" applyFill="1" applyBorder="1" applyAlignment="1">
      <alignment horizontal="left" vertical="center" wrapText="1"/>
    </xf>
    <xf numFmtId="0" fontId="0" fillId="6" borderId="13" xfId="0" applyFill="1" applyBorder="1" applyAlignment="1">
      <alignment horizontal="center" vertical="center" wrapText="1"/>
    </xf>
    <xf numFmtId="14" fontId="0" fillId="7" borderId="13" xfId="0" applyNumberFormat="1" applyFill="1" applyBorder="1" applyAlignment="1">
      <alignment horizontal="center" vertical="center" wrapText="1"/>
    </xf>
    <xf numFmtId="0" fontId="0" fillId="6" borderId="16" xfId="0" applyFill="1" applyBorder="1" applyAlignment="1">
      <alignment horizontal="left" vertical="center" wrapText="1"/>
    </xf>
    <xf numFmtId="0" fontId="0" fillId="6" borderId="51" xfId="0" applyFill="1" applyBorder="1" applyAlignment="1">
      <alignment horizontal="left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left" vertical="center" wrapText="1"/>
    </xf>
    <xf numFmtId="0" fontId="0" fillId="6" borderId="4" xfId="0" applyFill="1" applyBorder="1" applyAlignment="1">
      <alignment horizontal="left" vertical="center" wrapText="1"/>
    </xf>
    <xf numFmtId="0" fontId="0" fillId="3" borderId="20" xfId="0" applyFill="1" applyBorder="1" applyAlignment="1">
      <alignment horizontal="left" vertical="center" wrapText="1"/>
    </xf>
    <xf numFmtId="0" fontId="0" fillId="3" borderId="5" xfId="0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wrapText="1"/>
    </xf>
    <xf numFmtId="0" fontId="1" fillId="19" borderId="28" xfId="0" applyFont="1" applyFill="1" applyBorder="1" applyAlignment="1">
      <alignment horizontal="center" wrapText="1"/>
    </xf>
    <xf numFmtId="0" fontId="1" fillId="19" borderId="30" xfId="0" applyFont="1" applyFill="1" applyBorder="1" applyAlignment="1">
      <alignment horizontal="center" wrapText="1"/>
    </xf>
    <xf numFmtId="0" fontId="1" fillId="3" borderId="35" xfId="0" applyFont="1" applyFill="1" applyBorder="1" applyAlignment="1">
      <alignment horizontal="center" wrapText="1"/>
    </xf>
    <xf numFmtId="0" fontId="1" fillId="3" borderId="30" xfId="0" applyFont="1" applyFill="1" applyBorder="1" applyAlignment="1">
      <alignment horizontal="center" wrapText="1"/>
    </xf>
    <xf numFmtId="0" fontId="1" fillId="3" borderId="38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1" fillId="22" borderId="35" xfId="0" applyFont="1" applyFill="1" applyBorder="1" applyAlignment="1">
      <alignment horizontal="center" vertical="center" wrapText="1"/>
    </xf>
    <xf numFmtId="0" fontId="0" fillId="22" borderId="38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8" borderId="14" xfId="0" applyFill="1" applyBorder="1" applyAlignment="1">
      <alignment horizontal="center" vertical="center" wrapText="1"/>
    </xf>
    <xf numFmtId="14" fontId="0" fillId="0" borderId="5" xfId="0" applyNumberFormat="1" applyFill="1" applyBorder="1" applyAlignment="1">
      <alignment horizontal="center" vertical="center" wrapText="1"/>
    </xf>
    <xf numFmtId="14" fontId="0" fillId="0" borderId="13" xfId="0" applyNumberForma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14" fontId="0" fillId="0" borderId="2" xfId="0" applyNumberFormat="1" applyFill="1" applyBorder="1" applyAlignment="1">
      <alignment horizontal="center" vertical="center" wrapText="1"/>
    </xf>
    <xf numFmtId="14" fontId="0" fillId="0" borderId="3" xfId="0" applyNumberFormat="1" applyFill="1" applyBorder="1" applyAlignment="1">
      <alignment horizontal="center" vertical="center" wrapText="1"/>
    </xf>
    <xf numFmtId="14" fontId="0" fillId="0" borderId="4" xfId="0" applyNumberForma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8" borderId="16" xfId="0" applyFill="1" applyBorder="1" applyAlignment="1">
      <alignment horizontal="center" wrapText="1"/>
    </xf>
    <xf numFmtId="0" fontId="0" fillId="8" borderId="18" xfId="0" applyFill="1" applyBorder="1" applyAlignment="1">
      <alignment horizontal="center" wrapText="1"/>
    </xf>
    <xf numFmtId="0" fontId="3" fillId="3" borderId="16" xfId="0" applyFont="1" applyFill="1" applyBorder="1" applyAlignment="1">
      <alignment horizontal="center" wrapText="1"/>
    </xf>
    <xf numFmtId="0" fontId="3" fillId="3" borderId="18" xfId="0" applyFont="1" applyFill="1" applyBorder="1" applyAlignment="1">
      <alignment horizont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20" fillId="3" borderId="35" xfId="0" applyFont="1" applyFill="1" applyBorder="1" applyAlignment="1">
      <alignment horizontal="center" vertical="center" wrapText="1"/>
    </xf>
    <xf numFmtId="0" fontId="20" fillId="3" borderId="30" xfId="0" applyFont="1" applyFill="1" applyBorder="1" applyAlignment="1">
      <alignment horizontal="center" vertical="center" wrapText="1"/>
    </xf>
    <xf numFmtId="0" fontId="20" fillId="3" borderId="38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3" borderId="35" xfId="0" applyFont="1" applyFill="1" applyBorder="1" applyAlignment="1">
      <alignment horizontal="center" wrapText="1"/>
    </xf>
    <xf numFmtId="0" fontId="0" fillId="3" borderId="38" xfId="0" applyFont="1" applyFill="1" applyBorder="1" applyAlignment="1">
      <alignment horizontal="center" wrapText="1"/>
    </xf>
    <xf numFmtId="0" fontId="2" fillId="22" borderId="28" xfId="0" applyFont="1" applyFill="1" applyBorder="1" applyAlignment="1">
      <alignment horizontal="center" wrapText="1"/>
    </xf>
    <xf numFmtId="0" fontId="2" fillId="22" borderId="31" xfId="0" applyFont="1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0" fillId="7" borderId="13" xfId="0" applyFill="1" applyBorder="1" applyAlignment="1">
      <alignment horizontal="center" vertical="center" wrapText="1"/>
    </xf>
    <xf numFmtId="0" fontId="0" fillId="3" borderId="35" xfId="0" applyFill="1" applyBorder="1" applyAlignment="1">
      <alignment horizontal="center" wrapText="1"/>
    </xf>
    <xf numFmtId="0" fontId="0" fillId="3" borderId="38" xfId="0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2" fillId="6" borderId="30" xfId="0" applyFont="1" applyFill="1" applyBorder="1" applyAlignment="1">
      <alignment horizontal="center" vertical="top" wrapText="1"/>
    </xf>
    <xf numFmtId="0" fontId="2" fillId="6" borderId="36" xfId="0" applyFont="1" applyFill="1" applyBorder="1" applyAlignment="1">
      <alignment horizontal="center" vertical="top" wrapText="1"/>
    </xf>
    <xf numFmtId="0" fontId="27" fillId="3" borderId="52" xfId="0" applyFont="1" applyFill="1" applyBorder="1" applyAlignment="1">
      <alignment horizontal="center" vertical="center" wrapText="1"/>
    </xf>
    <xf numFmtId="0" fontId="27" fillId="3" borderId="53" xfId="0" applyFont="1" applyFill="1" applyBorder="1" applyAlignment="1">
      <alignment horizontal="center" vertical="center" wrapText="1"/>
    </xf>
    <xf numFmtId="0" fontId="27" fillId="3" borderId="46" xfId="0" applyFont="1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6" borderId="25" xfId="0" applyFill="1" applyBorder="1" applyAlignment="1">
      <alignment horizontal="left" vertical="center" wrapText="1"/>
    </xf>
    <xf numFmtId="0" fontId="0" fillId="17" borderId="2" xfId="0" applyFill="1" applyBorder="1" applyAlignment="1">
      <alignment vertical="center" wrapText="1"/>
    </xf>
    <xf numFmtId="0" fontId="0" fillId="17" borderId="4" xfId="0" applyFill="1" applyBorder="1" applyAlignment="1">
      <alignment vertical="center" wrapText="1"/>
    </xf>
    <xf numFmtId="3" fontId="2" fillId="17" borderId="2" xfId="0" applyNumberFormat="1" applyFont="1" applyFill="1" applyBorder="1" applyAlignment="1">
      <alignment horizontal="center" vertical="center" wrapText="1"/>
    </xf>
    <xf numFmtId="3" fontId="2" fillId="17" borderId="4" xfId="0" applyNumberFormat="1" applyFont="1" applyFill="1" applyBorder="1" applyAlignment="1">
      <alignment horizontal="center" vertical="center" wrapText="1"/>
    </xf>
    <xf numFmtId="0" fontId="0" fillId="17" borderId="2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4" xfId="0" applyFont="1" applyFill="1" applyBorder="1" applyAlignment="1">
      <alignment horizontal="center" vertical="center" wrapText="1"/>
    </xf>
    <xf numFmtId="0" fontId="0" fillId="17" borderId="3" xfId="0" applyFill="1" applyBorder="1" applyAlignment="1">
      <alignment horizontal="center" vertical="center" wrapText="1"/>
    </xf>
    <xf numFmtId="14" fontId="0" fillId="7" borderId="2" xfId="0" applyNumberFormat="1" applyFont="1" applyFill="1" applyBorder="1" applyAlignment="1">
      <alignment horizontal="center" vertical="center" wrapText="1"/>
    </xf>
    <xf numFmtId="14" fontId="0" fillId="7" borderId="4" xfId="0" applyNumberFormat="1" applyFont="1" applyFill="1" applyBorder="1" applyAlignment="1">
      <alignment horizontal="center" vertical="center" wrapText="1"/>
    </xf>
    <xf numFmtId="0" fontId="0" fillId="17" borderId="1" xfId="0" applyFill="1" applyBorder="1" applyAlignment="1">
      <alignment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7" borderId="2" xfId="0" applyFont="1" applyFill="1" applyBorder="1" applyAlignment="1">
      <alignment horizontal="center" vertical="center" wrapText="1"/>
    </xf>
    <xf numFmtId="0" fontId="0" fillId="7" borderId="4" xfId="0" applyFont="1" applyFill="1" applyBorder="1" applyAlignment="1">
      <alignment horizontal="center" vertical="center" wrapText="1"/>
    </xf>
    <xf numFmtId="3" fontId="2" fillId="17" borderId="3" xfId="0" applyNumberFormat="1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14" fontId="0" fillId="7" borderId="3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0" fillId="23" borderId="1" xfId="0" applyFill="1" applyBorder="1" applyAlignment="1">
      <alignment horizontal="center" vertical="center" wrapText="1"/>
    </xf>
    <xf numFmtId="14" fontId="0" fillId="23" borderId="2" xfId="0" applyNumberFormat="1" applyFont="1" applyFill="1" applyBorder="1" applyAlignment="1">
      <alignment horizontal="center" vertical="center" wrapText="1"/>
    </xf>
    <xf numFmtId="14" fontId="0" fillId="23" borderId="4" xfId="0" applyNumberFormat="1" applyFont="1" applyFill="1" applyBorder="1" applyAlignment="1">
      <alignment horizontal="center" vertical="center" wrapText="1"/>
    </xf>
    <xf numFmtId="0" fontId="0" fillId="7" borderId="3" xfId="0" applyFont="1" applyFill="1" applyBorder="1" applyAlignment="1">
      <alignment horizontal="center" vertical="center" wrapText="1"/>
    </xf>
    <xf numFmtId="0" fontId="2" fillId="23" borderId="2" xfId="0" applyFont="1" applyFill="1" applyBorder="1" applyAlignment="1">
      <alignment horizontal="center" vertical="center" wrapText="1"/>
    </xf>
    <xf numFmtId="0" fontId="2" fillId="23" borderId="4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4" fontId="0" fillId="7" borderId="1" xfId="0" applyNumberFormat="1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14" fontId="0" fillId="22" borderId="2" xfId="0" applyNumberFormat="1" applyFont="1" applyFill="1" applyBorder="1" applyAlignment="1">
      <alignment horizontal="center" vertical="center" wrapText="1"/>
    </xf>
    <xf numFmtId="14" fontId="0" fillId="22" borderId="4" xfId="0" applyNumberFormat="1" applyFont="1" applyFill="1" applyBorder="1" applyAlignment="1">
      <alignment horizontal="center" vertical="center" wrapText="1"/>
    </xf>
    <xf numFmtId="0" fontId="0" fillId="17" borderId="3" xfId="0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3" fontId="2" fillId="23" borderId="2" xfId="0" applyNumberFormat="1" applyFont="1" applyFill="1" applyBorder="1" applyAlignment="1">
      <alignment horizontal="center" vertical="center" wrapText="1"/>
    </xf>
    <xf numFmtId="3" fontId="2" fillId="23" borderId="3" xfId="0" applyNumberFormat="1" applyFont="1" applyFill="1" applyBorder="1" applyAlignment="1">
      <alignment horizontal="center" vertical="center" wrapText="1"/>
    </xf>
    <xf numFmtId="3" fontId="2" fillId="23" borderId="4" xfId="0" applyNumberFormat="1" applyFont="1" applyFill="1" applyBorder="1" applyAlignment="1">
      <alignment horizontal="center" vertical="center" wrapText="1"/>
    </xf>
    <xf numFmtId="0" fontId="0" fillId="22" borderId="2" xfId="0" applyFont="1" applyFill="1" applyBorder="1" applyAlignment="1">
      <alignment horizontal="center" vertical="center" wrapText="1"/>
    </xf>
    <xf numFmtId="0" fontId="0" fillId="22" borderId="4" xfId="0" applyFont="1" applyFill="1" applyBorder="1" applyAlignment="1">
      <alignment horizontal="center" vertical="center" wrapText="1"/>
    </xf>
    <xf numFmtId="14" fontId="0" fillId="17" borderId="4" xfId="0" applyNumberFormat="1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0" fillId="23" borderId="2" xfId="0" applyFill="1" applyBorder="1" applyAlignment="1">
      <alignment horizontal="center" vertical="center" wrapText="1"/>
    </xf>
    <xf numFmtId="0" fontId="0" fillId="23" borderId="3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2" fillId="23" borderId="3" xfId="0" applyFont="1" applyFill="1" applyBorder="1" applyAlignment="1">
      <alignment horizontal="center" vertical="center" wrapText="1"/>
    </xf>
    <xf numFmtId="0" fontId="3" fillId="23" borderId="8" xfId="0" applyFont="1" applyFill="1" applyBorder="1" applyAlignment="1">
      <alignment horizontal="center" vertical="center" wrapText="1"/>
    </xf>
    <xf numFmtId="0" fontId="3" fillId="23" borderId="7" xfId="0" applyFont="1" applyFill="1" applyBorder="1" applyAlignment="1">
      <alignment horizontal="center" vertical="center" wrapText="1"/>
    </xf>
    <xf numFmtId="0" fontId="4" fillId="23" borderId="11" xfId="0" applyFont="1" applyFill="1" applyBorder="1" applyAlignment="1">
      <alignment horizontal="center" vertical="center" wrapText="1"/>
    </xf>
    <xf numFmtId="0" fontId="4" fillId="23" borderId="39" xfId="0" applyFont="1" applyFill="1" applyBorder="1" applyAlignment="1">
      <alignment horizontal="center" vertical="center" wrapText="1"/>
    </xf>
    <xf numFmtId="0" fontId="4" fillId="23" borderId="19" xfId="0" applyFont="1" applyFill="1" applyBorder="1" applyAlignment="1">
      <alignment horizontal="center" vertical="center" wrapText="1"/>
    </xf>
    <xf numFmtId="0" fontId="4" fillId="23" borderId="10" xfId="0" applyFont="1" applyFill="1" applyBorder="1" applyAlignment="1">
      <alignment horizontal="center" vertical="center" wrapText="1"/>
    </xf>
    <xf numFmtId="0" fontId="0" fillId="23" borderId="1" xfId="0" applyFill="1" applyBorder="1" applyAlignment="1">
      <alignment vertical="center" wrapText="1"/>
    </xf>
    <xf numFmtId="0" fontId="2" fillId="23" borderId="1" xfId="0" applyFont="1" applyFill="1" applyBorder="1" applyAlignment="1">
      <alignment horizontal="center" vertical="center" wrapText="1"/>
    </xf>
    <xf numFmtId="0" fontId="0" fillId="23" borderId="4" xfId="0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horizontal="center" vertical="center" textRotation="255" wrapText="1"/>
    </xf>
    <xf numFmtId="0" fontId="0" fillId="17" borderId="2" xfId="0" applyFont="1" applyFill="1" applyBorder="1" applyAlignment="1">
      <alignment vertical="center" wrapText="1"/>
    </xf>
    <xf numFmtId="0" fontId="0" fillId="17" borderId="4" xfId="0" applyFont="1" applyFill="1" applyBorder="1" applyAlignment="1">
      <alignment vertical="center" wrapText="1"/>
    </xf>
    <xf numFmtId="0" fontId="0" fillId="21" borderId="2" xfId="0" applyFill="1" applyBorder="1" applyAlignment="1">
      <alignment horizontal="center" vertical="center" wrapText="1"/>
    </xf>
    <xf numFmtId="0" fontId="0" fillId="21" borderId="3" xfId="0" applyFill="1" applyBorder="1" applyAlignment="1">
      <alignment horizontal="center" vertical="center" wrapText="1"/>
    </xf>
    <xf numFmtId="0" fontId="0" fillId="21" borderId="4" xfId="0" applyFill="1" applyBorder="1" applyAlignment="1">
      <alignment horizontal="center" vertical="center" wrapText="1"/>
    </xf>
    <xf numFmtId="0" fontId="4" fillId="17" borderId="11" xfId="0" applyFont="1" applyFill="1" applyBorder="1" applyAlignment="1">
      <alignment horizontal="center" vertical="center" wrapText="1"/>
    </xf>
    <xf numFmtId="0" fontId="4" fillId="17" borderId="19" xfId="0" applyFont="1" applyFill="1" applyBorder="1" applyAlignment="1">
      <alignment horizontal="center" vertical="center" wrapText="1"/>
    </xf>
    <xf numFmtId="14" fontId="0" fillId="0" borderId="2" xfId="0" applyNumberFormat="1" applyFont="1" applyFill="1" applyBorder="1" applyAlignment="1">
      <alignment horizontal="center" vertical="center" wrapText="1"/>
    </xf>
    <xf numFmtId="14" fontId="0" fillId="0" borderId="4" xfId="0" applyNumberFormat="1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14" fontId="0" fillId="22" borderId="3" xfId="0" applyNumberFormat="1" applyFont="1" applyFill="1" applyBorder="1" applyAlignment="1">
      <alignment horizontal="center" vertical="center" wrapText="1"/>
    </xf>
    <xf numFmtId="0" fontId="0" fillId="22" borderId="3" xfId="0" applyFon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" fontId="0" fillId="23" borderId="1" xfId="0" applyNumberFormat="1" applyFill="1" applyBorder="1" applyAlignment="1">
      <alignment horizontal="center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1" fontId="0" fillId="12" borderId="1" xfId="0" applyNumberForma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164" fontId="14" fillId="12" borderId="1" xfId="0" applyNumberFormat="1" applyFont="1" applyFill="1" applyBorder="1" applyAlignment="1">
      <alignment horizontal="center" vertical="center" wrapText="1"/>
    </xf>
    <xf numFmtId="0" fontId="0" fillId="12" borderId="2" xfId="0" applyFont="1" applyFill="1" applyBorder="1" applyAlignment="1">
      <alignment horizontal="center" vertical="center" wrapText="1"/>
    </xf>
    <xf numFmtId="0" fontId="0" fillId="12" borderId="3" xfId="0" applyFont="1" applyFill="1" applyBorder="1" applyAlignment="1">
      <alignment horizontal="center" vertical="center" wrapText="1"/>
    </xf>
    <xf numFmtId="0" fontId="0" fillId="12" borderId="4" xfId="0" applyFont="1" applyFill="1" applyBorder="1" applyAlignment="1">
      <alignment horizontal="center" vertical="center" wrapText="1"/>
    </xf>
    <xf numFmtId="0" fontId="0" fillId="20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left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3" fontId="0" fillId="12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center" vertical="center" wrapText="1"/>
    </xf>
    <xf numFmtId="1" fontId="3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/>
    </xf>
    <xf numFmtId="3" fontId="0" fillId="12" borderId="1" xfId="0" applyNumberForma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1" fontId="0" fillId="12" borderId="1" xfId="0" applyNumberFormat="1" applyFill="1" applyBorder="1" applyAlignment="1">
      <alignment horizontal="center" vertical="center"/>
    </xf>
    <xf numFmtId="0" fontId="0" fillId="12" borderId="1" xfId="0" applyFont="1" applyFill="1" applyBorder="1" applyAlignment="1">
      <alignment horizontal="center" vertical="center"/>
    </xf>
    <xf numFmtId="0" fontId="3" fillId="12" borderId="1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164" fontId="0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12" borderId="1" xfId="0" quotePrefix="1" applyFont="1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1" fontId="2" fillId="12" borderId="1" xfId="0" applyNumberFormat="1" applyFont="1" applyFill="1" applyBorder="1" applyAlignment="1">
      <alignment horizontal="center" vertical="center" wrapText="1"/>
    </xf>
    <xf numFmtId="0" fontId="0" fillId="19" borderId="1" xfId="0" applyFont="1" applyFill="1" applyBorder="1" applyAlignment="1">
      <alignment horizontal="center" vertical="center" wrapText="1"/>
    </xf>
    <xf numFmtId="14" fontId="12" fillId="12" borderId="2" xfId="0" applyNumberFormat="1" applyFont="1" applyFill="1" applyBorder="1" applyAlignment="1">
      <alignment horizontal="center" vertical="center" wrapText="1"/>
    </xf>
    <xf numFmtId="14" fontId="12" fillId="12" borderId="4" xfId="0" applyNumberFormat="1" applyFont="1" applyFill="1" applyBorder="1" applyAlignment="1">
      <alignment horizontal="center" vertical="center" wrapText="1"/>
    </xf>
    <xf numFmtId="0" fontId="3" fillId="12" borderId="1" xfId="1" applyNumberFormat="1" applyFont="1" applyFill="1" applyBorder="1" applyAlignment="1">
      <alignment horizontal="center" vertical="center" wrapText="1"/>
    </xf>
    <xf numFmtId="14" fontId="0" fillId="12" borderId="2" xfId="0" applyNumberFormat="1" applyFill="1" applyBorder="1" applyAlignment="1">
      <alignment horizontal="center" vertical="center" wrapText="1"/>
    </xf>
    <xf numFmtId="14" fontId="0" fillId="12" borderId="3" xfId="0" applyNumberFormat="1" applyFill="1" applyBorder="1" applyAlignment="1">
      <alignment horizontal="center" vertical="center" wrapText="1"/>
    </xf>
    <xf numFmtId="14" fontId="0" fillId="12" borderId="4" xfId="0" applyNumberFormat="1" applyFill="1" applyBorder="1" applyAlignment="1">
      <alignment horizontal="center" vertical="center" wrapText="1"/>
    </xf>
    <xf numFmtId="17" fontId="0" fillId="12" borderId="1" xfId="0" applyNumberFormat="1" applyFont="1" applyFill="1" applyBorder="1" applyAlignment="1">
      <alignment horizontal="center" vertical="center" wrapText="1"/>
    </xf>
    <xf numFmtId="3" fontId="0" fillId="19" borderId="1" xfId="0" applyNumberForma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1" fontId="11" fillId="12" borderId="1" xfId="0" applyNumberFormat="1" applyFont="1" applyFill="1" applyBorder="1" applyAlignment="1">
      <alignment horizontal="center" vertical="center" wrapText="1"/>
    </xf>
    <xf numFmtId="0" fontId="9" fillId="12" borderId="2" xfId="0" applyFont="1" applyFill="1" applyBorder="1" applyAlignment="1">
      <alignment horizontal="center" vertical="center" wrapText="1"/>
    </xf>
    <xf numFmtId="0" fontId="9" fillId="12" borderId="3" xfId="0" applyFont="1" applyFill="1" applyBorder="1" applyAlignment="1">
      <alignment horizontal="center" vertical="center" wrapText="1"/>
    </xf>
    <xf numFmtId="0" fontId="9" fillId="12" borderId="4" xfId="0" applyFont="1" applyFill="1" applyBorder="1" applyAlignment="1">
      <alignment horizontal="center" vertical="center" wrapText="1"/>
    </xf>
    <xf numFmtId="0" fontId="9" fillId="23" borderId="1" xfId="0" applyFont="1" applyFill="1" applyBorder="1" applyAlignment="1">
      <alignment horizontal="center" vertical="center" wrapText="1"/>
    </xf>
    <xf numFmtId="3" fontId="0" fillId="23" borderId="1" xfId="0" applyNumberFormat="1" applyFill="1" applyBorder="1" applyAlignment="1">
      <alignment horizontal="center" vertical="center" wrapText="1"/>
    </xf>
    <xf numFmtId="0" fontId="1" fillId="23" borderId="1" xfId="0" applyFont="1" applyFill="1" applyBorder="1" applyAlignment="1">
      <alignment horizontal="center" vertical="center" wrapText="1"/>
    </xf>
    <xf numFmtId="0" fontId="0" fillId="23" borderId="1" xfId="0" applyFont="1" applyFill="1" applyBorder="1" applyAlignment="1">
      <alignment horizontal="center" vertical="center" wrapText="1"/>
    </xf>
    <xf numFmtId="3" fontId="0" fillId="12" borderId="1" xfId="0" applyNumberFormat="1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3" fontId="0" fillId="12" borderId="2" xfId="0" applyNumberFormat="1" applyFill="1" applyBorder="1" applyAlignment="1">
      <alignment horizontal="center" vertical="center" wrapText="1"/>
    </xf>
    <xf numFmtId="3" fontId="0" fillId="12" borderId="4" xfId="0" applyNumberForma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2" borderId="4" xfId="0" applyFont="1" applyFill="1" applyBorder="1" applyAlignment="1">
      <alignment horizontal="center" vertical="center" wrapText="1"/>
    </xf>
    <xf numFmtId="1" fontId="0" fillId="12" borderId="2" xfId="0" applyNumberFormat="1" applyFill="1" applyBorder="1" applyAlignment="1">
      <alignment horizontal="center" vertical="center" wrapText="1"/>
    </xf>
    <xf numFmtId="1" fontId="0" fillId="12" borderId="4" xfId="0" applyNumberFormat="1" applyFill="1" applyBorder="1" applyAlignment="1">
      <alignment horizontal="center" vertical="center" wrapText="1"/>
    </xf>
    <xf numFmtId="14" fontId="0" fillId="0" borderId="49" xfId="0" applyNumberForma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9" xfId="0" applyBorder="1" applyAlignment="1">
      <alignment horizontal="center" vertical="center" wrapText="1"/>
    </xf>
    <xf numFmtId="0" fontId="0" fillId="9" borderId="1" xfId="0" applyFill="1" applyBorder="1" applyAlignment="1">
      <alignment horizontal="center"/>
    </xf>
    <xf numFmtId="0" fontId="1" fillId="9" borderId="8" xfId="0" applyFont="1" applyFill="1" applyBorder="1" applyAlignment="1">
      <alignment horizontal="center"/>
    </xf>
    <xf numFmtId="0" fontId="1" fillId="9" borderId="7" xfId="0" applyFont="1" applyFill="1" applyBorder="1" applyAlignment="1">
      <alignment horizontal="center"/>
    </xf>
    <xf numFmtId="0" fontId="0" fillId="0" borderId="11" xfId="0" applyBorder="1" applyAlignment="1">
      <alignment horizontal="center" wrapText="1"/>
    </xf>
    <xf numFmtId="0" fontId="0" fillId="0" borderId="49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14" fontId="0" fillId="0" borderId="11" xfId="0" applyNumberFormat="1" applyBorder="1" applyAlignment="1">
      <alignment horizontal="center" vertical="center"/>
    </xf>
    <xf numFmtId="14" fontId="0" fillId="0" borderId="39" xfId="0" applyNumberFormat="1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24" fillId="18" borderId="43" xfId="0" applyFont="1" applyFill="1" applyBorder="1" applyAlignment="1">
      <alignment horizontal="center" vertical="center" wrapText="1"/>
    </xf>
    <xf numFmtId="0" fontId="24" fillId="18" borderId="45" xfId="0" applyFont="1" applyFill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44" xfId="0" applyFont="1" applyBorder="1" applyAlignment="1">
      <alignment horizontal="center" vertical="center" wrapText="1"/>
    </xf>
    <xf numFmtId="0" fontId="24" fillId="0" borderId="45" xfId="0" applyFont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/>
    </xf>
    <xf numFmtId="0" fontId="15" fillId="0" borderId="40" xfId="0" applyFont="1" applyBorder="1" applyAlignment="1">
      <alignment horizont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" fontId="0" fillId="0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3" fontId="0" fillId="0" borderId="1" xfId="0" applyNumberFormat="1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vertical="center" wrapText="1"/>
    </xf>
    <xf numFmtId="3" fontId="0" fillId="0" borderId="2" xfId="0" applyNumberFormat="1" applyFill="1" applyBorder="1" applyAlignment="1">
      <alignment horizontal="center" vertical="center" wrapText="1"/>
    </xf>
    <xf numFmtId="3" fontId="0" fillId="0" borderId="4" xfId="0" applyNumberFormat="1" applyFill="1" applyBorder="1" applyAlignment="1">
      <alignment horizontal="center" vertical="center" wrapText="1"/>
    </xf>
  </cellXfs>
  <cellStyles count="2">
    <cellStyle name="Normal" xfId="0" builtinId="0"/>
    <cellStyle name="Normal 6" xfId="1"/>
  </cellStyles>
  <dxfs count="0"/>
  <tableStyles count="0" defaultTableStyle="TableStyleMedium2" defaultPivotStyle="PivotStyleLight16"/>
  <colors>
    <mruColors>
      <color rgb="FFF7FFF7"/>
      <color rgb="FFF3F5FB"/>
      <color rgb="FFEFEFFF"/>
      <color rgb="FFFFF8E5"/>
      <color rgb="FFF1FDF6"/>
      <color rgb="FFA3A3FF"/>
      <color rgb="FFFEFAF8"/>
      <color rgb="FFEFE7FF"/>
      <color rgb="FFCCCCFF"/>
      <color rgb="FFDFE7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2"/>
  <sheetViews>
    <sheetView tabSelected="1" topLeftCell="A8" zoomScaleNormal="100" workbookViewId="0">
      <selection activeCell="H17" sqref="H17:H19"/>
    </sheetView>
  </sheetViews>
  <sheetFormatPr baseColWidth="10" defaultColWidth="11.375" defaultRowHeight="30.1" customHeight="1" x14ac:dyDescent="0.25"/>
  <cols>
    <col min="1" max="1" width="4" style="57" customWidth="1"/>
    <col min="2" max="2" width="17.125" style="58" customWidth="1"/>
    <col min="3" max="3" width="19.625" style="58" customWidth="1"/>
    <col min="4" max="4" width="3.625" style="4" customWidth="1"/>
    <col min="5" max="5" width="14.625" style="59" customWidth="1"/>
    <col min="6" max="6" width="14.625" style="381" customWidth="1"/>
    <col min="7" max="7" width="14.625" style="4" customWidth="1"/>
    <col min="8" max="8" width="21.75" style="4" customWidth="1"/>
    <col min="9" max="9" width="13" style="4" customWidth="1"/>
    <col min="10" max="10" width="12.875" style="87" customWidth="1"/>
    <col min="11" max="11" width="12.25" style="87" customWidth="1"/>
    <col min="12" max="12" width="12.75" style="87" customWidth="1"/>
    <col min="13" max="13" width="8.125" style="4" customWidth="1"/>
    <col min="14" max="14" width="7.75" style="4" customWidth="1"/>
    <col min="15" max="15" width="8.125" style="4" customWidth="1"/>
    <col min="16" max="16" width="27.375" style="4" customWidth="1"/>
    <col min="17" max="17" width="46.625" style="4" customWidth="1"/>
    <col min="18" max="16384" width="11.375" style="4"/>
  </cols>
  <sheetData>
    <row r="1" spans="1:17" ht="22.6" customHeight="1" x14ac:dyDescent="0.25">
      <c r="A1" s="121" t="s">
        <v>350</v>
      </c>
      <c r="B1" s="122" t="s">
        <v>351</v>
      </c>
      <c r="C1" s="122" t="s">
        <v>352</v>
      </c>
      <c r="D1" s="123" t="s">
        <v>729</v>
      </c>
      <c r="E1" s="124" t="s">
        <v>354</v>
      </c>
      <c r="F1" s="125" t="s">
        <v>355</v>
      </c>
      <c r="G1" s="126" t="s">
        <v>505</v>
      </c>
      <c r="H1" s="125" t="s">
        <v>356</v>
      </c>
      <c r="I1" s="125" t="s">
        <v>0</v>
      </c>
      <c r="J1" s="127" t="s">
        <v>357</v>
      </c>
      <c r="K1" s="127" t="s">
        <v>1</v>
      </c>
      <c r="L1" s="127" t="s">
        <v>2</v>
      </c>
      <c r="M1" s="125" t="s">
        <v>603</v>
      </c>
      <c r="N1" s="125" t="s">
        <v>359</v>
      </c>
      <c r="O1" s="125" t="s">
        <v>602</v>
      </c>
      <c r="P1" s="125" t="s">
        <v>360</v>
      </c>
      <c r="Q1" s="125" t="s">
        <v>3</v>
      </c>
    </row>
    <row r="2" spans="1:17" s="197" customFormat="1" ht="30.1" customHeight="1" x14ac:dyDescent="0.25">
      <c r="A2" s="242">
        <v>1</v>
      </c>
      <c r="B2" s="131" t="s">
        <v>574</v>
      </c>
      <c r="C2" s="131" t="s">
        <v>662</v>
      </c>
      <c r="D2" s="129" t="s">
        <v>361</v>
      </c>
      <c r="E2" s="132">
        <v>1574006</v>
      </c>
      <c r="F2" s="129" t="s">
        <v>362</v>
      </c>
      <c r="G2" s="129" t="s">
        <v>515</v>
      </c>
      <c r="H2" s="129" t="s">
        <v>516</v>
      </c>
      <c r="I2" s="129" t="s">
        <v>517</v>
      </c>
      <c r="J2" s="133">
        <v>43480</v>
      </c>
      <c r="K2" s="133">
        <v>43481</v>
      </c>
      <c r="L2" s="133">
        <v>43570</v>
      </c>
      <c r="M2" s="129">
        <v>20</v>
      </c>
      <c r="N2" s="129" t="s">
        <v>4</v>
      </c>
      <c r="O2" s="129">
        <v>60</v>
      </c>
      <c r="P2" s="129" t="s">
        <v>724</v>
      </c>
      <c r="Q2" s="129"/>
    </row>
    <row r="3" spans="1:17" ht="30.1" customHeight="1" x14ac:dyDescent="0.25">
      <c r="A3" s="130">
        <v>2</v>
      </c>
      <c r="B3" s="134" t="s">
        <v>449</v>
      </c>
      <c r="C3" s="134" t="s">
        <v>521</v>
      </c>
      <c r="D3" s="128" t="s">
        <v>361</v>
      </c>
      <c r="E3" s="135">
        <v>1067944075</v>
      </c>
      <c r="F3" s="375" t="s">
        <v>362</v>
      </c>
      <c r="G3" s="128" t="s">
        <v>522</v>
      </c>
      <c r="H3" s="128" t="s">
        <v>523</v>
      </c>
      <c r="I3" s="128">
        <v>3115025613</v>
      </c>
      <c r="J3" s="136">
        <v>43364</v>
      </c>
      <c r="K3" s="136">
        <v>43367</v>
      </c>
      <c r="L3" s="136">
        <v>43547</v>
      </c>
      <c r="M3" s="327">
        <v>12</v>
      </c>
      <c r="N3" s="327" t="s">
        <v>4</v>
      </c>
      <c r="O3" s="327">
        <v>72</v>
      </c>
      <c r="P3" s="128" t="s">
        <v>524</v>
      </c>
      <c r="Q3" s="128"/>
    </row>
    <row r="4" spans="1:17" ht="30.1" customHeight="1" x14ac:dyDescent="0.25">
      <c r="A4" s="887">
        <v>3</v>
      </c>
      <c r="B4" s="881" t="s">
        <v>373</v>
      </c>
      <c r="C4" s="881" t="s">
        <v>374</v>
      </c>
      <c r="D4" s="881" t="s">
        <v>361</v>
      </c>
      <c r="E4" s="883">
        <v>34997877</v>
      </c>
      <c r="F4" s="376" t="s">
        <v>362</v>
      </c>
      <c r="G4" s="881" t="s">
        <v>535</v>
      </c>
      <c r="H4" s="881" t="s">
        <v>375</v>
      </c>
      <c r="I4" s="881">
        <v>3228002461</v>
      </c>
      <c r="J4" s="885">
        <v>43480</v>
      </c>
      <c r="K4" s="885">
        <v>43481</v>
      </c>
      <c r="L4" s="885">
        <v>43570</v>
      </c>
      <c r="M4" s="327">
        <v>20</v>
      </c>
      <c r="N4" s="327" t="s">
        <v>4</v>
      </c>
      <c r="O4" s="327">
        <v>60</v>
      </c>
      <c r="P4" s="881" t="s">
        <v>767</v>
      </c>
      <c r="Q4" s="241"/>
    </row>
    <row r="5" spans="1:17" s="197" customFormat="1" ht="30.1" customHeight="1" x14ac:dyDescent="0.25">
      <c r="A5" s="888"/>
      <c r="B5" s="882"/>
      <c r="C5" s="882"/>
      <c r="D5" s="882"/>
      <c r="E5" s="884"/>
      <c r="F5" s="376" t="s">
        <v>362</v>
      </c>
      <c r="G5" s="882"/>
      <c r="H5" s="882"/>
      <c r="I5" s="882"/>
      <c r="J5" s="886"/>
      <c r="K5" s="886"/>
      <c r="L5" s="886"/>
      <c r="M5" s="327">
        <v>20</v>
      </c>
      <c r="N5" s="327" t="s">
        <v>226</v>
      </c>
      <c r="O5" s="327">
        <v>60</v>
      </c>
      <c r="P5" s="882"/>
      <c r="Q5" s="241"/>
    </row>
    <row r="6" spans="1:17" ht="30.1" customHeight="1" x14ac:dyDescent="0.25">
      <c r="A6" s="130">
        <v>4</v>
      </c>
      <c r="B6" s="134" t="s">
        <v>768</v>
      </c>
      <c r="C6" s="134" t="s">
        <v>769</v>
      </c>
      <c r="D6" s="128" t="s">
        <v>361</v>
      </c>
      <c r="E6" s="135">
        <v>34975924</v>
      </c>
      <c r="F6" s="375" t="s">
        <v>362</v>
      </c>
      <c r="G6" s="128" t="s">
        <v>520</v>
      </c>
      <c r="H6" s="128" t="s">
        <v>770</v>
      </c>
      <c r="I6" s="128">
        <v>3137530611</v>
      </c>
      <c r="J6" s="136">
        <v>43441</v>
      </c>
      <c r="K6" s="136">
        <v>43444</v>
      </c>
      <c r="L6" s="136">
        <v>43533</v>
      </c>
      <c r="M6" s="327">
        <v>12</v>
      </c>
      <c r="N6" s="327" t="s">
        <v>4</v>
      </c>
      <c r="O6" s="327">
        <v>36</v>
      </c>
      <c r="P6" s="128" t="s">
        <v>771</v>
      </c>
      <c r="Q6" s="128"/>
    </row>
    <row r="7" spans="1:17" ht="30.1" customHeight="1" x14ac:dyDescent="0.25">
      <c r="A7" s="433">
        <v>5</v>
      </c>
      <c r="B7" s="434" t="s">
        <v>796</v>
      </c>
      <c r="C7" s="434" t="s">
        <v>797</v>
      </c>
      <c r="D7" s="434" t="s">
        <v>361</v>
      </c>
      <c r="E7" s="435">
        <v>1067949811</v>
      </c>
      <c r="F7" s="376" t="s">
        <v>362</v>
      </c>
      <c r="G7" s="434" t="s">
        <v>552</v>
      </c>
      <c r="H7" s="434" t="s">
        <v>798</v>
      </c>
      <c r="I7" s="434" t="s">
        <v>799</v>
      </c>
      <c r="J7" s="174">
        <v>43451</v>
      </c>
      <c r="K7" s="174">
        <v>43452</v>
      </c>
      <c r="L7" s="174">
        <v>43541</v>
      </c>
      <c r="M7" s="328">
        <v>20</v>
      </c>
      <c r="N7" s="327" t="s">
        <v>4</v>
      </c>
      <c r="O7" s="327">
        <v>60</v>
      </c>
      <c r="P7" s="173" t="s">
        <v>800</v>
      </c>
      <c r="Q7" s="299"/>
    </row>
    <row r="8" spans="1:17" ht="30.1" customHeight="1" x14ac:dyDescent="0.25">
      <c r="A8" s="891">
        <v>6</v>
      </c>
      <c r="B8" s="895" t="s">
        <v>802</v>
      </c>
      <c r="C8" s="895" t="s">
        <v>803</v>
      </c>
      <c r="D8" s="895" t="s">
        <v>361</v>
      </c>
      <c r="E8" s="896">
        <v>41316304</v>
      </c>
      <c r="F8" s="374" t="s">
        <v>372</v>
      </c>
      <c r="G8" s="895" t="s">
        <v>520</v>
      </c>
      <c r="H8" s="895" t="s">
        <v>804</v>
      </c>
      <c r="I8" s="895">
        <v>3145354841</v>
      </c>
      <c r="J8" s="889">
        <v>43501</v>
      </c>
      <c r="K8" s="889">
        <v>43466</v>
      </c>
      <c r="L8" s="889">
        <v>43554</v>
      </c>
      <c r="M8" s="327">
        <v>20</v>
      </c>
      <c r="N8" s="327" t="s">
        <v>4</v>
      </c>
      <c r="O8" s="327">
        <v>60</v>
      </c>
      <c r="P8" s="895"/>
      <c r="Q8" s="190"/>
    </row>
    <row r="9" spans="1:17" ht="30.1" customHeight="1" x14ac:dyDescent="0.25">
      <c r="A9" s="891"/>
      <c r="B9" s="895"/>
      <c r="C9" s="895"/>
      <c r="D9" s="895"/>
      <c r="E9" s="896"/>
      <c r="F9" s="374" t="s">
        <v>372</v>
      </c>
      <c r="G9" s="895"/>
      <c r="H9" s="895"/>
      <c r="I9" s="895"/>
      <c r="J9" s="889"/>
      <c r="K9" s="889"/>
      <c r="L9" s="889"/>
      <c r="M9" s="327">
        <v>20</v>
      </c>
      <c r="N9" s="327" t="s">
        <v>226</v>
      </c>
      <c r="O9" s="327">
        <v>60</v>
      </c>
      <c r="P9" s="895"/>
      <c r="Q9" s="190"/>
    </row>
    <row r="10" spans="1:17" ht="30.1" customHeight="1" x14ac:dyDescent="0.25">
      <c r="A10" s="891"/>
      <c r="B10" s="895"/>
      <c r="C10" s="895"/>
      <c r="D10" s="895"/>
      <c r="E10" s="896"/>
      <c r="F10" s="374" t="s">
        <v>372</v>
      </c>
      <c r="G10" s="895"/>
      <c r="H10" s="895"/>
      <c r="I10" s="895"/>
      <c r="J10" s="889"/>
      <c r="K10" s="889"/>
      <c r="L10" s="889"/>
      <c r="M10" s="327">
        <v>20</v>
      </c>
      <c r="N10" s="327" t="s">
        <v>8</v>
      </c>
      <c r="O10" s="327">
        <v>60</v>
      </c>
      <c r="P10" s="895"/>
      <c r="Q10" s="190"/>
    </row>
    <row r="11" spans="1:17" ht="30.1" customHeight="1" x14ac:dyDescent="0.25">
      <c r="A11" s="194">
        <v>7</v>
      </c>
      <c r="B11" s="191" t="s">
        <v>805</v>
      </c>
      <c r="C11" s="191" t="s">
        <v>806</v>
      </c>
      <c r="D11" s="192" t="s">
        <v>361</v>
      </c>
      <c r="E11" s="195">
        <v>35870664</v>
      </c>
      <c r="F11" s="375" t="s">
        <v>362</v>
      </c>
      <c r="G11" s="192" t="s">
        <v>571</v>
      </c>
      <c r="H11" s="192" t="s">
        <v>807</v>
      </c>
      <c r="I11" s="192" t="s">
        <v>808</v>
      </c>
      <c r="J11" s="193">
        <v>43454</v>
      </c>
      <c r="K11" s="193">
        <v>43460</v>
      </c>
      <c r="L11" s="193">
        <v>43549</v>
      </c>
      <c r="M11" s="327">
        <v>16</v>
      </c>
      <c r="N11" s="327" t="s">
        <v>4</v>
      </c>
      <c r="O11" s="327">
        <v>48</v>
      </c>
      <c r="P11" s="192" t="s">
        <v>809</v>
      </c>
      <c r="Q11" s="192"/>
    </row>
    <row r="12" spans="1:17" s="197" customFormat="1" ht="30.1" customHeight="1" x14ac:dyDescent="0.25">
      <c r="A12" s="887">
        <v>8</v>
      </c>
      <c r="B12" s="897" t="s">
        <v>810</v>
      </c>
      <c r="C12" s="897" t="s">
        <v>811</v>
      </c>
      <c r="D12" s="897" t="s">
        <v>361</v>
      </c>
      <c r="E12" s="902">
        <v>1067902346</v>
      </c>
      <c r="F12" s="377" t="s">
        <v>362</v>
      </c>
      <c r="G12" s="897" t="s">
        <v>518</v>
      </c>
      <c r="H12" s="897" t="s">
        <v>812</v>
      </c>
      <c r="I12" s="897">
        <v>3145543192</v>
      </c>
      <c r="J12" s="904">
        <v>43454</v>
      </c>
      <c r="K12" s="904">
        <v>43467</v>
      </c>
      <c r="L12" s="904">
        <v>43554</v>
      </c>
      <c r="M12" s="129">
        <v>20</v>
      </c>
      <c r="N12" s="129" t="s">
        <v>4</v>
      </c>
      <c r="O12" s="129">
        <v>60</v>
      </c>
      <c r="P12" s="897" t="s">
        <v>366</v>
      </c>
      <c r="Q12" s="129"/>
    </row>
    <row r="13" spans="1:17" ht="30.1" customHeight="1" x14ac:dyDescent="0.25">
      <c r="A13" s="888"/>
      <c r="B13" s="898"/>
      <c r="C13" s="898"/>
      <c r="D13" s="898"/>
      <c r="E13" s="903"/>
      <c r="F13" s="377" t="s">
        <v>362</v>
      </c>
      <c r="G13" s="898"/>
      <c r="H13" s="898"/>
      <c r="I13" s="898"/>
      <c r="J13" s="905"/>
      <c r="K13" s="905"/>
      <c r="L13" s="905"/>
      <c r="M13" s="327">
        <v>20</v>
      </c>
      <c r="N13" s="327" t="s">
        <v>226</v>
      </c>
      <c r="O13" s="327">
        <v>60</v>
      </c>
      <c r="P13" s="898"/>
      <c r="Q13" s="192"/>
    </row>
    <row r="14" spans="1:17" ht="30.1" customHeight="1" x14ac:dyDescent="0.25">
      <c r="A14" s="194">
        <v>9</v>
      </c>
      <c r="B14" s="191" t="s">
        <v>369</v>
      </c>
      <c r="C14" s="191" t="s">
        <v>834</v>
      </c>
      <c r="D14" s="192" t="s">
        <v>361</v>
      </c>
      <c r="E14" s="195">
        <v>10967175</v>
      </c>
      <c r="F14" s="375" t="s">
        <v>362</v>
      </c>
      <c r="G14" s="192" t="s">
        <v>567</v>
      </c>
      <c r="H14" s="192" t="s">
        <v>1637</v>
      </c>
      <c r="I14" s="192"/>
      <c r="J14" s="193">
        <v>43552</v>
      </c>
      <c r="K14" s="193">
        <v>43556</v>
      </c>
      <c r="L14" s="193">
        <v>43646</v>
      </c>
      <c r="M14" s="327">
        <v>12</v>
      </c>
      <c r="N14" s="327" t="s">
        <v>4</v>
      </c>
      <c r="O14" s="327">
        <v>36</v>
      </c>
      <c r="P14" s="192" t="s">
        <v>835</v>
      </c>
      <c r="Q14" s="192"/>
    </row>
    <row r="15" spans="1:17" ht="34" customHeight="1" x14ac:dyDescent="0.25">
      <c r="A15" s="235">
        <v>10</v>
      </c>
      <c r="B15" s="239" t="s">
        <v>893</v>
      </c>
      <c r="C15" s="239" t="s">
        <v>894</v>
      </c>
      <c r="D15" s="236" t="s">
        <v>361</v>
      </c>
      <c r="E15" s="237">
        <v>34988585</v>
      </c>
      <c r="F15" s="375" t="s">
        <v>362</v>
      </c>
      <c r="G15" s="236" t="s">
        <v>895</v>
      </c>
      <c r="H15" s="236" t="s">
        <v>897</v>
      </c>
      <c r="I15" s="236" t="s">
        <v>896</v>
      </c>
      <c r="J15" s="238">
        <v>43480</v>
      </c>
      <c r="K15" s="238">
        <v>43481</v>
      </c>
      <c r="L15" s="238">
        <v>43570</v>
      </c>
      <c r="M15" s="327">
        <v>8</v>
      </c>
      <c r="N15" s="327" t="s">
        <v>280</v>
      </c>
      <c r="O15" s="327">
        <v>24</v>
      </c>
      <c r="P15" s="236" t="s">
        <v>898</v>
      </c>
      <c r="Q15" s="756" t="s">
        <v>1489</v>
      </c>
    </row>
    <row r="16" spans="1:17" ht="30.1" customHeight="1" x14ac:dyDescent="0.25">
      <c r="A16" s="371">
        <v>11</v>
      </c>
      <c r="B16" s="402" t="s">
        <v>924</v>
      </c>
      <c r="C16" s="402" t="s">
        <v>925</v>
      </c>
      <c r="D16" s="403" t="s">
        <v>361</v>
      </c>
      <c r="E16" s="404">
        <v>64548823</v>
      </c>
      <c r="F16" s="374" t="s">
        <v>372</v>
      </c>
      <c r="G16" s="403"/>
      <c r="H16" s="403" t="s">
        <v>1592</v>
      </c>
      <c r="I16" s="403">
        <v>3126723228</v>
      </c>
      <c r="J16" s="405">
        <v>43483</v>
      </c>
      <c r="K16" s="405">
        <v>43529</v>
      </c>
      <c r="L16" s="405">
        <v>43570</v>
      </c>
      <c r="M16" s="403">
        <v>30</v>
      </c>
      <c r="N16" s="403" t="s">
        <v>4</v>
      </c>
      <c r="O16" s="403">
        <v>30</v>
      </c>
      <c r="P16" s="403" t="s">
        <v>1656</v>
      </c>
      <c r="Q16" s="403" t="s">
        <v>1044</v>
      </c>
    </row>
    <row r="17" spans="1:17" ht="30.1" customHeight="1" x14ac:dyDescent="0.25">
      <c r="A17" s="887">
        <v>12</v>
      </c>
      <c r="B17" s="881" t="s">
        <v>927</v>
      </c>
      <c r="C17" s="881" t="s">
        <v>928</v>
      </c>
      <c r="D17" s="881" t="s">
        <v>361</v>
      </c>
      <c r="E17" s="883">
        <v>1003047477</v>
      </c>
      <c r="F17" s="376" t="s">
        <v>362</v>
      </c>
      <c r="G17" s="881" t="s">
        <v>929</v>
      </c>
      <c r="H17" s="881" t="s">
        <v>930</v>
      </c>
      <c r="I17" s="881">
        <v>3163308988</v>
      </c>
      <c r="J17" s="885">
        <v>43487</v>
      </c>
      <c r="K17" s="885">
        <v>43488</v>
      </c>
      <c r="L17" s="885">
        <v>43577</v>
      </c>
      <c r="M17" s="327">
        <v>8</v>
      </c>
      <c r="N17" s="327" t="s">
        <v>4</v>
      </c>
      <c r="O17" s="327">
        <v>24</v>
      </c>
      <c r="P17" s="881" t="s">
        <v>931</v>
      </c>
      <c r="Q17" s="236"/>
    </row>
    <row r="18" spans="1:17" ht="30.1" customHeight="1" x14ac:dyDescent="0.25">
      <c r="A18" s="899"/>
      <c r="B18" s="900"/>
      <c r="C18" s="900"/>
      <c r="D18" s="900"/>
      <c r="E18" s="901"/>
      <c r="F18" s="376" t="s">
        <v>362</v>
      </c>
      <c r="G18" s="900"/>
      <c r="H18" s="900"/>
      <c r="I18" s="900"/>
      <c r="J18" s="890"/>
      <c r="K18" s="890"/>
      <c r="L18" s="890"/>
      <c r="M18" s="327">
        <v>8</v>
      </c>
      <c r="N18" s="327" t="s">
        <v>8</v>
      </c>
      <c r="O18" s="327">
        <v>24</v>
      </c>
      <c r="P18" s="900"/>
      <c r="Q18" s="236"/>
    </row>
    <row r="19" spans="1:17" ht="30.1" customHeight="1" x14ac:dyDescent="0.25">
      <c r="A19" s="888"/>
      <c r="B19" s="882"/>
      <c r="C19" s="882"/>
      <c r="D19" s="882"/>
      <c r="E19" s="884"/>
      <c r="F19" s="813" t="s">
        <v>362</v>
      </c>
      <c r="G19" s="882"/>
      <c r="H19" s="882"/>
      <c r="I19" s="882"/>
      <c r="J19" s="886"/>
      <c r="K19" s="886"/>
      <c r="L19" s="886"/>
      <c r="M19" s="327">
        <v>8</v>
      </c>
      <c r="N19" s="327" t="s">
        <v>226</v>
      </c>
      <c r="O19" s="327">
        <v>24</v>
      </c>
      <c r="P19" s="882"/>
      <c r="Q19" s="282"/>
    </row>
    <row r="20" spans="1:17" ht="30.1" customHeight="1" x14ac:dyDescent="0.25">
      <c r="A20" s="284">
        <v>13</v>
      </c>
      <c r="B20" s="281" t="s">
        <v>955</v>
      </c>
      <c r="C20" s="281" t="s">
        <v>956</v>
      </c>
      <c r="D20" s="282" t="s">
        <v>361</v>
      </c>
      <c r="E20" s="285">
        <v>1067839486</v>
      </c>
      <c r="F20" s="375" t="s">
        <v>362</v>
      </c>
      <c r="G20" s="282" t="s">
        <v>533</v>
      </c>
      <c r="H20" s="282" t="s">
        <v>957</v>
      </c>
      <c r="I20" s="282" t="s">
        <v>958</v>
      </c>
      <c r="J20" s="283">
        <v>43497</v>
      </c>
      <c r="K20" s="283">
        <v>43500</v>
      </c>
      <c r="L20" s="283">
        <v>43527</v>
      </c>
      <c r="M20" s="327">
        <v>30</v>
      </c>
      <c r="N20" s="327" t="s">
        <v>4</v>
      </c>
      <c r="O20" s="327">
        <v>30</v>
      </c>
      <c r="P20" s="282"/>
      <c r="Q20" s="282"/>
    </row>
    <row r="21" spans="1:17" ht="30.1" customHeight="1" x14ac:dyDescent="0.25">
      <c r="A21" s="887">
        <v>14</v>
      </c>
      <c r="B21" s="881" t="s">
        <v>961</v>
      </c>
      <c r="C21" s="881" t="s">
        <v>962</v>
      </c>
      <c r="D21" s="881" t="s">
        <v>361</v>
      </c>
      <c r="E21" s="883">
        <v>24887934</v>
      </c>
      <c r="F21" s="375" t="s">
        <v>362</v>
      </c>
      <c r="G21" s="881" t="s">
        <v>571</v>
      </c>
      <c r="H21" s="881" t="s">
        <v>963</v>
      </c>
      <c r="I21" s="881" t="s">
        <v>964</v>
      </c>
      <c r="J21" s="885">
        <v>43501</v>
      </c>
      <c r="K21" s="885">
        <v>43502</v>
      </c>
      <c r="L21" s="885">
        <v>43529</v>
      </c>
      <c r="M21" s="327">
        <v>16</v>
      </c>
      <c r="N21" s="327" t="s">
        <v>4</v>
      </c>
      <c r="O21" s="327">
        <v>16</v>
      </c>
      <c r="P21" s="282"/>
      <c r="Q21" s="282"/>
    </row>
    <row r="22" spans="1:17" ht="30.1" customHeight="1" x14ac:dyDescent="0.25">
      <c r="A22" s="888"/>
      <c r="B22" s="882"/>
      <c r="C22" s="882"/>
      <c r="D22" s="882"/>
      <c r="E22" s="884"/>
      <c r="F22" s="375" t="s">
        <v>362</v>
      </c>
      <c r="G22" s="882"/>
      <c r="H22" s="882"/>
      <c r="I22" s="882"/>
      <c r="J22" s="886"/>
      <c r="K22" s="886"/>
      <c r="L22" s="886"/>
      <c r="M22" s="327">
        <v>12</v>
      </c>
      <c r="N22" s="327" t="s">
        <v>5</v>
      </c>
      <c r="O22" s="327">
        <v>12</v>
      </c>
      <c r="P22" s="282"/>
      <c r="Q22" s="282"/>
    </row>
    <row r="23" spans="1:17" ht="30.1" customHeight="1" x14ac:dyDescent="0.25">
      <c r="A23" s="362">
        <v>15</v>
      </c>
      <c r="B23" s="359" t="s">
        <v>1001</v>
      </c>
      <c r="C23" s="359" t="s">
        <v>1002</v>
      </c>
      <c r="D23" s="360" t="s">
        <v>361</v>
      </c>
      <c r="E23" s="363">
        <v>25775590</v>
      </c>
      <c r="F23" s="375" t="s">
        <v>362</v>
      </c>
      <c r="G23" s="360" t="s">
        <v>529</v>
      </c>
      <c r="H23" s="360" t="s">
        <v>1003</v>
      </c>
      <c r="I23" s="360" t="s">
        <v>1004</v>
      </c>
      <c r="J23" s="361">
        <v>43509</v>
      </c>
      <c r="K23" s="361">
        <v>43510</v>
      </c>
      <c r="L23" s="361">
        <v>43598</v>
      </c>
      <c r="M23" s="360">
        <v>10</v>
      </c>
      <c r="N23" s="360" t="s">
        <v>4</v>
      </c>
      <c r="O23" s="360">
        <v>30</v>
      </c>
      <c r="P23" s="360"/>
      <c r="Q23" s="360"/>
    </row>
    <row r="24" spans="1:17" ht="30.1" customHeight="1" x14ac:dyDescent="0.25">
      <c r="A24" s="362">
        <v>16</v>
      </c>
      <c r="B24" s="359" t="s">
        <v>1005</v>
      </c>
      <c r="C24" s="359" t="s">
        <v>1006</v>
      </c>
      <c r="D24" s="360" t="s">
        <v>361</v>
      </c>
      <c r="E24" s="363">
        <v>6869481</v>
      </c>
      <c r="F24" s="375" t="s">
        <v>979</v>
      </c>
      <c r="G24" s="360" t="s">
        <v>1007</v>
      </c>
      <c r="H24" s="360" t="s">
        <v>1008</v>
      </c>
      <c r="I24" s="360" t="s">
        <v>1009</v>
      </c>
      <c r="J24" s="361">
        <v>43509</v>
      </c>
      <c r="K24" s="361">
        <v>43510</v>
      </c>
      <c r="L24" s="361">
        <v>43554</v>
      </c>
      <c r="M24" s="360">
        <v>30</v>
      </c>
      <c r="N24" s="360" t="s">
        <v>4</v>
      </c>
      <c r="O24" s="360">
        <v>30</v>
      </c>
      <c r="P24" s="360"/>
      <c r="Q24" s="360"/>
    </row>
    <row r="25" spans="1:17" ht="30.1" customHeight="1" x14ac:dyDescent="0.25">
      <c r="A25" s="362">
        <v>17</v>
      </c>
      <c r="B25" s="359" t="s">
        <v>1030</v>
      </c>
      <c r="C25" s="359" t="s">
        <v>1031</v>
      </c>
      <c r="D25" s="360" t="s">
        <v>361</v>
      </c>
      <c r="E25" s="363">
        <v>10790655</v>
      </c>
      <c r="F25" s="375" t="s">
        <v>362</v>
      </c>
      <c r="G25" s="360" t="s">
        <v>644</v>
      </c>
      <c r="H25" s="360" t="s">
        <v>1032</v>
      </c>
      <c r="I25" s="360" t="s">
        <v>1033</v>
      </c>
      <c r="J25" s="361">
        <v>43550</v>
      </c>
      <c r="K25" s="361">
        <v>43551</v>
      </c>
      <c r="L25" s="361">
        <v>43642</v>
      </c>
      <c r="M25" s="360">
        <v>20</v>
      </c>
      <c r="N25" s="360" t="s">
        <v>4</v>
      </c>
      <c r="O25" s="360">
        <v>30</v>
      </c>
      <c r="P25" s="360" t="s">
        <v>1242</v>
      </c>
      <c r="Q25" s="360"/>
    </row>
    <row r="26" spans="1:17" s="381" customFormat="1" ht="30.1" customHeight="1" x14ac:dyDescent="0.25">
      <c r="A26" s="399">
        <v>18</v>
      </c>
      <c r="B26" s="400" t="s">
        <v>1034</v>
      </c>
      <c r="C26" s="400" t="s">
        <v>1035</v>
      </c>
      <c r="D26" s="400" t="s">
        <v>361</v>
      </c>
      <c r="E26" s="401">
        <v>25784560</v>
      </c>
      <c r="F26" s="400" t="s">
        <v>362</v>
      </c>
      <c r="G26" s="400" t="s">
        <v>520</v>
      </c>
      <c r="H26" s="400" t="s">
        <v>1036</v>
      </c>
      <c r="I26" s="400" t="s">
        <v>1037</v>
      </c>
      <c r="J26" s="394">
        <v>43514</v>
      </c>
      <c r="K26" s="394">
        <v>43515</v>
      </c>
      <c r="L26" s="394">
        <v>43542</v>
      </c>
      <c r="M26" s="397">
        <v>20</v>
      </c>
      <c r="N26" s="397" t="s">
        <v>4</v>
      </c>
      <c r="O26" s="397">
        <v>20</v>
      </c>
      <c r="P26" s="400"/>
      <c r="Q26" s="397"/>
    </row>
    <row r="27" spans="1:17" s="381" customFormat="1" ht="30.1" customHeight="1" x14ac:dyDescent="0.25">
      <c r="A27" s="395">
        <v>19</v>
      </c>
      <c r="B27" s="396" t="s">
        <v>1038</v>
      </c>
      <c r="C27" s="396" t="s">
        <v>1039</v>
      </c>
      <c r="D27" s="397" t="s">
        <v>361</v>
      </c>
      <c r="E27" s="398">
        <v>1074004827</v>
      </c>
      <c r="F27" s="397" t="s">
        <v>362</v>
      </c>
      <c r="G27" s="397" t="s">
        <v>592</v>
      </c>
      <c r="H27" s="397" t="s">
        <v>1040</v>
      </c>
      <c r="I27" s="397" t="s">
        <v>1041</v>
      </c>
      <c r="J27" s="393">
        <v>43514</v>
      </c>
      <c r="K27" s="393">
        <v>43515</v>
      </c>
      <c r="L27" s="393">
        <v>43603</v>
      </c>
      <c r="M27" s="397">
        <v>12</v>
      </c>
      <c r="N27" s="397" t="s">
        <v>4</v>
      </c>
      <c r="O27" s="397">
        <v>36</v>
      </c>
      <c r="P27" s="397" t="s">
        <v>1042</v>
      </c>
      <c r="Q27" s="397"/>
    </row>
    <row r="28" spans="1:17" s="381" customFormat="1" ht="30.1" customHeight="1" x14ac:dyDescent="0.25">
      <c r="A28" s="887">
        <v>20</v>
      </c>
      <c r="B28" s="881" t="s">
        <v>1141</v>
      </c>
      <c r="C28" s="881" t="s">
        <v>1142</v>
      </c>
      <c r="D28" s="881" t="s">
        <v>361</v>
      </c>
      <c r="E28" s="883">
        <v>78712549</v>
      </c>
      <c r="F28" s="447" t="s">
        <v>1084</v>
      </c>
      <c r="G28" s="881" t="s">
        <v>533</v>
      </c>
      <c r="H28" s="881" t="s">
        <v>1143</v>
      </c>
      <c r="I28" s="881">
        <v>7914558</v>
      </c>
      <c r="J28" s="885">
        <v>43385</v>
      </c>
      <c r="K28" s="885">
        <v>43374</v>
      </c>
      <c r="L28" s="885">
        <v>43554</v>
      </c>
      <c r="M28" s="450">
        <v>20</v>
      </c>
      <c r="N28" s="450" t="s">
        <v>226</v>
      </c>
      <c r="O28" s="450">
        <v>120</v>
      </c>
      <c r="P28" s="450" t="s">
        <v>614</v>
      </c>
      <c r="Q28" s="464"/>
    </row>
    <row r="29" spans="1:17" s="381" customFormat="1" ht="30.1" customHeight="1" x14ac:dyDescent="0.25">
      <c r="A29" s="899"/>
      <c r="B29" s="900"/>
      <c r="C29" s="900"/>
      <c r="D29" s="900"/>
      <c r="E29" s="901"/>
      <c r="F29" s="447" t="s">
        <v>1084</v>
      </c>
      <c r="G29" s="900"/>
      <c r="H29" s="900"/>
      <c r="I29" s="900"/>
      <c r="J29" s="890"/>
      <c r="K29" s="890"/>
      <c r="L29" s="890"/>
      <c r="M29" s="450">
        <v>20</v>
      </c>
      <c r="N29" s="450" t="s">
        <v>4</v>
      </c>
      <c r="O29" s="450">
        <v>120</v>
      </c>
      <c r="P29" s="450" t="s">
        <v>1144</v>
      </c>
      <c r="Q29" s="450"/>
    </row>
    <row r="30" spans="1:17" s="381" customFormat="1" ht="30.1" customHeight="1" x14ac:dyDescent="0.25">
      <c r="A30" s="888"/>
      <c r="B30" s="882"/>
      <c r="C30" s="882"/>
      <c r="D30" s="882"/>
      <c r="E30" s="884"/>
      <c r="F30" s="447" t="s">
        <v>1084</v>
      </c>
      <c r="G30" s="882"/>
      <c r="H30" s="882"/>
      <c r="I30" s="882"/>
      <c r="J30" s="886"/>
      <c r="K30" s="886"/>
      <c r="L30" s="886"/>
      <c r="M30" s="450">
        <v>20</v>
      </c>
      <c r="N30" s="450" t="s">
        <v>8</v>
      </c>
      <c r="O30" s="450">
        <v>120</v>
      </c>
      <c r="P30" s="450"/>
      <c r="Q30" s="450"/>
    </row>
    <row r="31" spans="1:17" s="197" customFormat="1" ht="30.1" customHeight="1" x14ac:dyDescent="0.25">
      <c r="A31" s="449">
        <v>21</v>
      </c>
      <c r="B31" s="451" t="s">
        <v>1145</v>
      </c>
      <c r="C31" s="451" t="s">
        <v>1146</v>
      </c>
      <c r="D31" s="450" t="s">
        <v>361</v>
      </c>
      <c r="E31" s="452">
        <v>78753699</v>
      </c>
      <c r="F31" s="450" t="s">
        <v>1084</v>
      </c>
      <c r="G31" s="450" t="s">
        <v>1147</v>
      </c>
      <c r="H31" s="450" t="s">
        <v>1148</v>
      </c>
      <c r="I31" s="450">
        <v>3205581880</v>
      </c>
      <c r="J31" s="448">
        <v>43536</v>
      </c>
      <c r="K31" s="448">
        <v>43525</v>
      </c>
      <c r="L31" s="448">
        <v>43616</v>
      </c>
      <c r="M31" s="450">
        <v>12</v>
      </c>
      <c r="N31" s="450" t="s">
        <v>4</v>
      </c>
      <c r="O31" s="450">
        <v>36</v>
      </c>
      <c r="P31" s="465" t="s">
        <v>1042</v>
      </c>
      <c r="Q31" s="450"/>
    </row>
    <row r="32" spans="1:17" s="381" customFormat="1" ht="30.1" customHeight="1" x14ac:dyDescent="0.25">
      <c r="A32" s="887">
        <v>22</v>
      </c>
      <c r="B32" s="881" t="s">
        <v>1149</v>
      </c>
      <c r="C32" s="881" t="s">
        <v>1150</v>
      </c>
      <c r="D32" s="881" t="s">
        <v>361</v>
      </c>
      <c r="E32" s="883">
        <v>34968598</v>
      </c>
      <c r="F32" s="447" t="s">
        <v>1084</v>
      </c>
      <c r="G32" s="881" t="s">
        <v>520</v>
      </c>
      <c r="H32" s="881" t="s">
        <v>1151</v>
      </c>
      <c r="I32" s="881" t="s">
        <v>1526</v>
      </c>
      <c r="J32" s="885">
        <v>43509</v>
      </c>
      <c r="K32" s="885">
        <v>43546</v>
      </c>
      <c r="L32" s="885">
        <v>43576</v>
      </c>
      <c r="M32" s="450">
        <v>20</v>
      </c>
      <c r="N32" s="450" t="s">
        <v>4</v>
      </c>
      <c r="O32" s="450">
        <v>20</v>
      </c>
      <c r="P32" s="881"/>
      <c r="Q32" s="450"/>
    </row>
    <row r="33" spans="1:17" s="381" customFormat="1" ht="30.1" customHeight="1" x14ac:dyDescent="0.25">
      <c r="A33" s="888"/>
      <c r="B33" s="882"/>
      <c r="C33" s="882"/>
      <c r="D33" s="882"/>
      <c r="E33" s="884"/>
      <c r="F33" s="447" t="s">
        <v>1084</v>
      </c>
      <c r="G33" s="882"/>
      <c r="H33" s="882"/>
      <c r="I33" s="882"/>
      <c r="J33" s="886"/>
      <c r="K33" s="886"/>
      <c r="L33" s="886"/>
      <c r="M33" s="450">
        <v>20</v>
      </c>
      <c r="N33" s="450" t="s">
        <v>8</v>
      </c>
      <c r="O33" s="450">
        <v>20</v>
      </c>
      <c r="P33" s="882"/>
      <c r="Q33" s="450"/>
    </row>
    <row r="34" spans="1:17" s="381" customFormat="1" ht="30.1" customHeight="1" x14ac:dyDescent="0.25">
      <c r="A34" s="449">
        <v>23</v>
      </c>
      <c r="B34" s="451" t="s">
        <v>1152</v>
      </c>
      <c r="C34" s="451" t="s">
        <v>1153</v>
      </c>
      <c r="D34" s="450" t="s">
        <v>361</v>
      </c>
      <c r="E34" s="452">
        <v>1067956060</v>
      </c>
      <c r="F34" s="450" t="s">
        <v>1084</v>
      </c>
      <c r="G34" s="465" t="s">
        <v>1154</v>
      </c>
      <c r="H34" s="450" t="s">
        <v>1155</v>
      </c>
      <c r="I34" s="450">
        <v>3147296672</v>
      </c>
      <c r="J34" s="448">
        <v>43482</v>
      </c>
      <c r="K34" s="448">
        <v>43486</v>
      </c>
      <c r="L34" s="448">
        <v>43544</v>
      </c>
      <c r="M34" s="450">
        <v>10</v>
      </c>
      <c r="N34" s="450" t="s">
        <v>4</v>
      </c>
      <c r="O34" s="450">
        <v>20</v>
      </c>
      <c r="P34" s="450" t="s">
        <v>1156</v>
      </c>
      <c r="Q34" s="450"/>
    </row>
    <row r="35" spans="1:17" s="381" customFormat="1" ht="30.1" customHeight="1" x14ac:dyDescent="0.25">
      <c r="A35" s="449">
        <v>24</v>
      </c>
      <c r="B35" s="451" t="s">
        <v>1157</v>
      </c>
      <c r="C35" s="451" t="s">
        <v>1158</v>
      </c>
      <c r="D35" s="450" t="s">
        <v>361</v>
      </c>
      <c r="E35" s="452">
        <v>34986982</v>
      </c>
      <c r="F35" s="450" t="s">
        <v>1084</v>
      </c>
      <c r="G35" s="450" t="s">
        <v>1159</v>
      </c>
      <c r="H35" s="450" t="s">
        <v>1160</v>
      </c>
      <c r="I35" s="450" t="s">
        <v>1161</v>
      </c>
      <c r="J35" s="448">
        <v>43494</v>
      </c>
      <c r="K35" s="448">
        <v>43496</v>
      </c>
      <c r="L35" s="448">
        <v>43524</v>
      </c>
      <c r="M35" s="450">
        <v>30</v>
      </c>
      <c r="N35" s="450" t="s">
        <v>4</v>
      </c>
      <c r="O35" s="450">
        <v>30</v>
      </c>
      <c r="P35" s="450"/>
      <c r="Q35" s="450"/>
    </row>
    <row r="36" spans="1:17" s="381" customFormat="1" ht="36" customHeight="1" x14ac:dyDescent="0.25">
      <c r="A36" s="887">
        <v>25</v>
      </c>
      <c r="B36" s="881" t="s">
        <v>1162</v>
      </c>
      <c r="C36" s="881" t="s">
        <v>1163</v>
      </c>
      <c r="D36" s="881" t="s">
        <v>361</v>
      </c>
      <c r="E36" s="883">
        <v>2720188</v>
      </c>
      <c r="F36" s="450" t="s">
        <v>1084</v>
      </c>
      <c r="G36" s="881" t="s">
        <v>520</v>
      </c>
      <c r="H36" s="881" t="s">
        <v>1164</v>
      </c>
      <c r="I36" s="881" t="s">
        <v>1165</v>
      </c>
      <c r="J36" s="885">
        <v>43542</v>
      </c>
      <c r="K36" s="885">
        <v>43543</v>
      </c>
      <c r="L36" s="885">
        <v>43603</v>
      </c>
      <c r="M36" s="450">
        <v>20</v>
      </c>
      <c r="N36" s="450" t="s">
        <v>4</v>
      </c>
      <c r="O36" s="450">
        <v>40</v>
      </c>
      <c r="P36" s="879" t="s">
        <v>1549</v>
      </c>
      <c r="Q36" s="450"/>
    </row>
    <row r="37" spans="1:17" s="805" customFormat="1" ht="36" customHeight="1" x14ac:dyDescent="0.25">
      <c r="A37" s="888"/>
      <c r="B37" s="882"/>
      <c r="C37" s="882"/>
      <c r="D37" s="882"/>
      <c r="E37" s="884"/>
      <c r="F37" s="801" t="s">
        <v>1084</v>
      </c>
      <c r="G37" s="882"/>
      <c r="H37" s="882"/>
      <c r="I37" s="882"/>
      <c r="J37" s="886"/>
      <c r="K37" s="886"/>
      <c r="L37" s="886"/>
      <c r="M37" s="801">
        <v>20</v>
      </c>
      <c r="N37" s="801" t="s">
        <v>226</v>
      </c>
      <c r="O37" s="801">
        <v>40</v>
      </c>
      <c r="P37" s="880"/>
      <c r="Q37" s="801"/>
    </row>
    <row r="38" spans="1:17" s="381" customFormat="1" ht="30.1" customHeight="1" x14ac:dyDescent="0.25">
      <c r="A38" s="887">
        <v>26</v>
      </c>
      <c r="B38" s="892" t="s">
        <v>574</v>
      </c>
      <c r="C38" s="892" t="s">
        <v>1166</v>
      </c>
      <c r="D38" s="881" t="s">
        <v>361</v>
      </c>
      <c r="E38" s="883">
        <v>6573462</v>
      </c>
      <c r="F38" s="450" t="s">
        <v>1084</v>
      </c>
      <c r="G38" s="881" t="s">
        <v>520</v>
      </c>
      <c r="H38" s="881" t="s">
        <v>1167</v>
      </c>
      <c r="I38" s="881">
        <v>3205547766</v>
      </c>
      <c r="J38" s="885">
        <v>43509</v>
      </c>
      <c r="K38" s="885">
        <v>43510</v>
      </c>
      <c r="L38" s="885">
        <v>43537</v>
      </c>
      <c r="M38" s="450">
        <v>20</v>
      </c>
      <c r="N38" s="450" t="s">
        <v>4</v>
      </c>
      <c r="O38" s="450">
        <v>20</v>
      </c>
      <c r="P38" s="137"/>
      <c r="Q38" s="450"/>
    </row>
    <row r="39" spans="1:17" s="381" customFormat="1" ht="30.1" customHeight="1" x14ac:dyDescent="0.25">
      <c r="A39" s="888"/>
      <c r="B39" s="893"/>
      <c r="C39" s="893"/>
      <c r="D39" s="882"/>
      <c r="E39" s="884"/>
      <c r="F39" s="450" t="s">
        <v>1084</v>
      </c>
      <c r="G39" s="882"/>
      <c r="H39" s="882"/>
      <c r="I39" s="882"/>
      <c r="J39" s="886"/>
      <c r="K39" s="886"/>
      <c r="L39" s="890"/>
      <c r="M39" s="450">
        <v>20</v>
      </c>
      <c r="N39" s="450" t="s">
        <v>8</v>
      </c>
      <c r="O39" s="450">
        <v>20</v>
      </c>
      <c r="P39" s="137"/>
      <c r="Q39" s="450"/>
    </row>
    <row r="40" spans="1:17" s="381" customFormat="1" ht="30.1" customHeight="1" x14ac:dyDescent="0.25">
      <c r="A40" s="891"/>
      <c r="B40" s="894"/>
      <c r="C40" s="894"/>
      <c r="D40" s="895"/>
      <c r="E40" s="896"/>
      <c r="F40" s="450" t="s">
        <v>1084</v>
      </c>
      <c r="G40" s="895"/>
      <c r="H40" s="895"/>
      <c r="I40" s="895"/>
      <c r="J40" s="889"/>
      <c r="K40" s="889"/>
      <c r="L40" s="886"/>
      <c r="M40" s="450">
        <v>20</v>
      </c>
      <c r="N40" s="450" t="s">
        <v>226</v>
      </c>
      <c r="O40" s="450">
        <v>20</v>
      </c>
      <c r="P40" s="137"/>
      <c r="Q40" s="450"/>
    </row>
    <row r="41" spans="1:17" s="197" customFormat="1" ht="30.1" customHeight="1" x14ac:dyDescent="0.25">
      <c r="A41" s="449">
        <v>27</v>
      </c>
      <c r="B41" s="451" t="s">
        <v>1168</v>
      </c>
      <c r="C41" s="451" t="s">
        <v>1169</v>
      </c>
      <c r="D41" s="450" t="s">
        <v>361</v>
      </c>
      <c r="E41" s="452">
        <v>35000129</v>
      </c>
      <c r="F41" s="450" t="s">
        <v>1084</v>
      </c>
      <c r="G41" s="450" t="s">
        <v>1170</v>
      </c>
      <c r="H41" s="450" t="s">
        <v>1171</v>
      </c>
      <c r="I41" s="450" t="s">
        <v>1172</v>
      </c>
      <c r="J41" s="448">
        <v>43516</v>
      </c>
      <c r="K41" s="448">
        <v>43517</v>
      </c>
      <c r="L41" s="448">
        <v>43544</v>
      </c>
      <c r="M41" s="450">
        <v>30</v>
      </c>
      <c r="N41" s="450" t="s">
        <v>4</v>
      </c>
      <c r="O41" s="450">
        <v>30</v>
      </c>
      <c r="P41" s="450"/>
      <c r="Q41" s="450"/>
    </row>
    <row r="42" spans="1:17" s="381" customFormat="1" ht="30.1" customHeight="1" x14ac:dyDescent="0.25">
      <c r="A42" s="891">
        <v>28</v>
      </c>
      <c r="B42" s="881" t="s">
        <v>369</v>
      </c>
      <c r="C42" s="881" t="s">
        <v>1196</v>
      </c>
      <c r="D42" s="895" t="s">
        <v>361</v>
      </c>
      <c r="E42" s="896">
        <v>78700096</v>
      </c>
      <c r="F42" s="454" t="s">
        <v>1084</v>
      </c>
      <c r="G42" s="895" t="s">
        <v>546</v>
      </c>
      <c r="H42" s="895" t="s">
        <v>1197</v>
      </c>
      <c r="I42" s="895">
        <v>3045902653</v>
      </c>
      <c r="J42" s="889">
        <v>43524</v>
      </c>
      <c r="K42" s="889">
        <v>43525</v>
      </c>
      <c r="L42" s="889">
        <v>43708</v>
      </c>
      <c r="M42" s="454">
        <v>20</v>
      </c>
      <c r="N42" s="454" t="s">
        <v>4</v>
      </c>
      <c r="O42" s="454">
        <v>120</v>
      </c>
      <c r="P42" s="895" t="s">
        <v>1199</v>
      </c>
      <c r="Q42" s="881"/>
    </row>
    <row r="43" spans="1:17" s="381" customFormat="1" ht="30.1" customHeight="1" x14ac:dyDescent="0.25">
      <c r="A43" s="891"/>
      <c r="B43" s="900"/>
      <c r="C43" s="900"/>
      <c r="D43" s="895"/>
      <c r="E43" s="896"/>
      <c r="F43" s="454" t="s">
        <v>1084</v>
      </c>
      <c r="G43" s="895"/>
      <c r="H43" s="895"/>
      <c r="I43" s="895"/>
      <c r="J43" s="889"/>
      <c r="K43" s="889"/>
      <c r="L43" s="889"/>
      <c r="M43" s="454">
        <v>20</v>
      </c>
      <c r="N43" s="454" t="s">
        <v>8</v>
      </c>
      <c r="O43" s="454">
        <v>120</v>
      </c>
      <c r="P43" s="895"/>
      <c r="Q43" s="900"/>
    </row>
    <row r="44" spans="1:17" s="381" customFormat="1" ht="30.1" customHeight="1" x14ac:dyDescent="0.25">
      <c r="A44" s="891"/>
      <c r="B44" s="882"/>
      <c r="C44" s="882"/>
      <c r="D44" s="895"/>
      <c r="E44" s="896"/>
      <c r="F44" s="454" t="s">
        <v>1084</v>
      </c>
      <c r="G44" s="895"/>
      <c r="H44" s="895"/>
      <c r="I44" s="895"/>
      <c r="J44" s="889"/>
      <c r="K44" s="889"/>
      <c r="L44" s="889"/>
      <c r="M44" s="454">
        <v>20</v>
      </c>
      <c r="N44" s="454" t="s">
        <v>226</v>
      </c>
      <c r="O44" s="454">
        <v>120</v>
      </c>
      <c r="P44" s="895"/>
      <c r="Q44" s="882"/>
    </row>
    <row r="45" spans="1:17" ht="30.1" customHeight="1" x14ac:dyDescent="0.25">
      <c r="A45" s="449">
        <v>29</v>
      </c>
      <c r="B45" s="451" t="s">
        <v>1208</v>
      </c>
      <c r="C45" s="451" t="s">
        <v>1209</v>
      </c>
      <c r="D45" s="450" t="s">
        <v>361</v>
      </c>
      <c r="E45" s="452">
        <v>25758790</v>
      </c>
      <c r="F45" s="450" t="s">
        <v>979</v>
      </c>
      <c r="G45" s="450" t="s">
        <v>1210</v>
      </c>
      <c r="H45" s="450" t="s">
        <v>1211</v>
      </c>
      <c r="I45" s="450">
        <v>3008171516</v>
      </c>
      <c r="J45" s="448">
        <v>43526</v>
      </c>
      <c r="K45" s="448">
        <v>43526</v>
      </c>
      <c r="L45" s="448">
        <v>43531</v>
      </c>
      <c r="M45" s="450">
        <v>15</v>
      </c>
      <c r="N45" s="450" t="s">
        <v>5</v>
      </c>
      <c r="O45" s="450">
        <v>15</v>
      </c>
      <c r="P45" s="450" t="s">
        <v>1212</v>
      </c>
      <c r="Q45" s="450"/>
    </row>
    <row r="46" spans="1:17" ht="30.1" customHeight="1" x14ac:dyDescent="0.25">
      <c r="A46" s="449">
        <v>30</v>
      </c>
      <c r="B46" s="451" t="s">
        <v>1240</v>
      </c>
      <c r="C46" s="451" t="s">
        <v>1150</v>
      </c>
      <c r="D46" s="450" t="s">
        <v>361</v>
      </c>
      <c r="E46" s="452">
        <v>6894680</v>
      </c>
      <c r="F46" s="450" t="s">
        <v>1084</v>
      </c>
      <c r="G46" s="450" t="s">
        <v>933</v>
      </c>
      <c r="H46" s="450" t="s">
        <v>1241</v>
      </c>
      <c r="I46" s="450">
        <v>3114281003</v>
      </c>
      <c r="J46" s="448">
        <v>43528</v>
      </c>
      <c r="K46" s="448">
        <v>43529</v>
      </c>
      <c r="L46" s="448">
        <v>43616</v>
      </c>
      <c r="M46" s="450">
        <v>20</v>
      </c>
      <c r="N46" s="450" t="s">
        <v>4</v>
      </c>
      <c r="O46" s="450">
        <v>60</v>
      </c>
      <c r="P46" s="450" t="s">
        <v>1242</v>
      </c>
      <c r="Q46" s="450"/>
    </row>
    <row r="47" spans="1:17" s="381" customFormat="1" ht="30.1" customHeight="1" x14ac:dyDescent="0.25">
      <c r="A47" s="481">
        <v>31</v>
      </c>
      <c r="B47" s="483" t="s">
        <v>1243</v>
      </c>
      <c r="C47" s="483" t="s">
        <v>1244</v>
      </c>
      <c r="D47" s="480" t="s">
        <v>361</v>
      </c>
      <c r="E47" s="482">
        <v>1536038</v>
      </c>
      <c r="F47" s="480" t="s">
        <v>1084</v>
      </c>
      <c r="G47" s="480" t="s">
        <v>880</v>
      </c>
      <c r="H47" s="480" t="s">
        <v>1245</v>
      </c>
      <c r="I47" s="480" t="s">
        <v>1246</v>
      </c>
      <c r="J47" s="479">
        <v>43528</v>
      </c>
      <c r="K47" s="479">
        <v>43529</v>
      </c>
      <c r="L47" s="479">
        <v>43585</v>
      </c>
      <c r="M47" s="480">
        <v>12</v>
      </c>
      <c r="N47" s="480" t="s">
        <v>4</v>
      </c>
      <c r="O47" s="480">
        <v>24</v>
      </c>
      <c r="P47" s="480" t="s">
        <v>1247</v>
      </c>
      <c r="Q47" s="480"/>
    </row>
    <row r="48" spans="1:17" ht="30.1" customHeight="1" x14ac:dyDescent="0.25">
      <c r="A48" s="449">
        <v>32</v>
      </c>
      <c r="B48" s="878" t="s">
        <v>1406</v>
      </c>
      <c r="C48" s="451" t="s">
        <v>1407</v>
      </c>
      <c r="D48" s="450" t="s">
        <v>361</v>
      </c>
      <c r="E48" s="452">
        <v>26753866</v>
      </c>
      <c r="F48" s="450" t="s">
        <v>378</v>
      </c>
      <c r="G48" s="450" t="s">
        <v>1408</v>
      </c>
      <c r="H48" s="450" t="s">
        <v>1409</v>
      </c>
      <c r="I48" s="594" t="s">
        <v>1410</v>
      </c>
      <c r="J48" s="448">
        <v>43532</v>
      </c>
      <c r="K48" s="448">
        <v>43535</v>
      </c>
      <c r="L48" s="448">
        <v>43565</v>
      </c>
      <c r="M48" s="450">
        <v>30</v>
      </c>
      <c r="N48" s="450" t="s">
        <v>4</v>
      </c>
      <c r="O48" s="450">
        <v>30</v>
      </c>
      <c r="P48" s="450"/>
      <c r="Q48" s="450"/>
    </row>
    <row r="49" spans="1:17" ht="30.1" customHeight="1" x14ac:dyDescent="0.25">
      <c r="A49" s="449">
        <v>33</v>
      </c>
      <c r="B49" s="451" t="s">
        <v>1411</v>
      </c>
      <c r="C49" s="451" t="s">
        <v>1412</v>
      </c>
      <c r="D49" s="450" t="s">
        <v>361</v>
      </c>
      <c r="E49" s="452">
        <v>34960951</v>
      </c>
      <c r="F49" s="450" t="s">
        <v>1084</v>
      </c>
      <c r="G49" s="450" t="s">
        <v>532</v>
      </c>
      <c r="H49" s="450" t="s">
        <v>1413</v>
      </c>
      <c r="I49" s="450" t="s">
        <v>1414</v>
      </c>
      <c r="J49" s="448">
        <v>43532</v>
      </c>
      <c r="K49" s="448">
        <v>43535</v>
      </c>
      <c r="L49" s="448">
        <v>43565</v>
      </c>
      <c r="M49" s="450">
        <v>12</v>
      </c>
      <c r="N49" s="450" t="s">
        <v>4</v>
      </c>
      <c r="O49" s="450">
        <v>12</v>
      </c>
      <c r="P49" s="450"/>
      <c r="Q49" s="450"/>
    </row>
    <row r="50" spans="1:17" ht="30.1" customHeight="1" x14ac:dyDescent="0.25">
      <c r="A50" s="887">
        <v>34</v>
      </c>
      <c r="B50" s="881" t="s">
        <v>1424</v>
      </c>
      <c r="C50" s="881" t="s">
        <v>1425</v>
      </c>
      <c r="D50" s="881" t="s">
        <v>361</v>
      </c>
      <c r="E50" s="883">
        <v>22399668</v>
      </c>
      <c r="F50" s="812" t="s">
        <v>1084</v>
      </c>
      <c r="G50" s="881" t="s">
        <v>514</v>
      </c>
      <c r="H50" s="879" t="s">
        <v>1426</v>
      </c>
      <c r="I50" s="881" t="s">
        <v>1427</v>
      </c>
      <c r="J50" s="448">
        <v>43532</v>
      </c>
      <c r="K50" s="448">
        <v>43532</v>
      </c>
      <c r="L50" s="448">
        <v>43542</v>
      </c>
      <c r="M50" s="450">
        <v>20</v>
      </c>
      <c r="N50" s="450" t="s">
        <v>5</v>
      </c>
      <c r="O50" s="450">
        <v>20</v>
      </c>
      <c r="P50" s="450" t="s">
        <v>1428</v>
      </c>
      <c r="Q50" s="881" t="s">
        <v>1465</v>
      </c>
    </row>
    <row r="51" spans="1:17" s="381" customFormat="1" ht="30.1" customHeight="1" x14ac:dyDescent="0.25">
      <c r="A51" s="888"/>
      <c r="B51" s="882"/>
      <c r="C51" s="882"/>
      <c r="D51" s="882"/>
      <c r="E51" s="884"/>
      <c r="F51" s="812" t="s">
        <v>1084</v>
      </c>
      <c r="G51" s="882"/>
      <c r="H51" s="880"/>
      <c r="I51" s="882"/>
      <c r="J51" s="627">
        <v>43536</v>
      </c>
      <c r="K51" s="627">
        <v>43536</v>
      </c>
      <c r="L51" s="627">
        <v>43554</v>
      </c>
      <c r="M51" s="626">
        <v>10</v>
      </c>
      <c r="N51" s="626" t="s">
        <v>4</v>
      </c>
      <c r="O51" s="626">
        <v>10</v>
      </c>
      <c r="P51" s="626"/>
      <c r="Q51" s="882"/>
    </row>
    <row r="52" spans="1:17" s="778" customFormat="1" ht="30.1" customHeight="1" x14ac:dyDescent="0.25">
      <c r="A52" s="887">
        <v>35</v>
      </c>
      <c r="B52" s="881" t="s">
        <v>1432</v>
      </c>
      <c r="C52" s="881" t="s">
        <v>1433</v>
      </c>
      <c r="D52" s="881" t="s">
        <v>361</v>
      </c>
      <c r="E52" s="906">
        <v>25769247</v>
      </c>
      <c r="F52" s="812" t="s">
        <v>979</v>
      </c>
      <c r="G52" s="881" t="s">
        <v>1223</v>
      </c>
      <c r="H52" s="881" t="s">
        <v>1434</v>
      </c>
      <c r="I52" s="881">
        <v>3003196699</v>
      </c>
      <c r="J52" s="885">
        <v>43551</v>
      </c>
      <c r="K52" s="885">
        <v>43552</v>
      </c>
      <c r="L52" s="885">
        <v>43559</v>
      </c>
      <c r="M52" s="763">
        <v>15</v>
      </c>
      <c r="N52" s="763" t="s">
        <v>5</v>
      </c>
      <c r="O52" s="763">
        <v>15</v>
      </c>
      <c r="P52" s="763" t="s">
        <v>1525</v>
      </c>
      <c r="Q52" s="762"/>
    </row>
    <row r="53" spans="1:17" ht="30.1" customHeight="1" x14ac:dyDescent="0.25">
      <c r="A53" s="888"/>
      <c r="B53" s="882"/>
      <c r="C53" s="882"/>
      <c r="D53" s="882"/>
      <c r="E53" s="907"/>
      <c r="F53" s="812" t="s">
        <v>979</v>
      </c>
      <c r="G53" s="882"/>
      <c r="H53" s="882"/>
      <c r="I53" s="882"/>
      <c r="J53" s="886"/>
      <c r="K53" s="886"/>
      <c r="L53" s="886"/>
      <c r="M53" s="450">
        <v>15</v>
      </c>
      <c r="N53" s="450" t="s">
        <v>4</v>
      </c>
      <c r="O53" s="450">
        <v>15</v>
      </c>
      <c r="P53" s="450"/>
      <c r="Q53" s="450"/>
    </row>
    <row r="54" spans="1:17" s="381" customFormat="1" ht="30.1" customHeight="1" x14ac:dyDescent="0.25">
      <c r="A54" s="620">
        <v>36</v>
      </c>
      <c r="B54" s="624" t="s">
        <v>1450</v>
      </c>
      <c r="C54" s="624" t="s">
        <v>1451</v>
      </c>
      <c r="D54" s="621" t="s">
        <v>361</v>
      </c>
      <c r="E54" s="622">
        <v>25837239</v>
      </c>
      <c r="F54" s="621" t="s">
        <v>362</v>
      </c>
      <c r="G54" s="465" t="s">
        <v>1452</v>
      </c>
      <c r="H54" s="621" t="s">
        <v>1453</v>
      </c>
      <c r="I54" s="621" t="s">
        <v>1454</v>
      </c>
      <c r="J54" s="623">
        <v>43535</v>
      </c>
      <c r="K54" s="623">
        <v>43536</v>
      </c>
      <c r="L54" s="623">
        <v>43558</v>
      </c>
      <c r="M54" s="621">
        <v>15</v>
      </c>
      <c r="N54" s="621" t="s">
        <v>4</v>
      </c>
      <c r="O54" s="621">
        <v>15</v>
      </c>
      <c r="P54" s="621"/>
      <c r="Q54" s="621"/>
    </row>
    <row r="55" spans="1:17" ht="30.1" customHeight="1" x14ac:dyDescent="0.25">
      <c r="A55" s="449">
        <v>37</v>
      </c>
      <c r="B55" s="838" t="s">
        <v>1485</v>
      </c>
      <c r="C55" s="838" t="s">
        <v>1486</v>
      </c>
      <c r="D55" s="837" t="s">
        <v>361</v>
      </c>
      <c r="E55" s="404">
        <v>6892721</v>
      </c>
      <c r="F55" s="837" t="s">
        <v>362</v>
      </c>
      <c r="G55" s="837" t="s">
        <v>533</v>
      </c>
      <c r="H55" s="837" t="s">
        <v>1487</v>
      </c>
      <c r="I55" s="837" t="s">
        <v>1488</v>
      </c>
      <c r="J55" s="405">
        <v>43538</v>
      </c>
      <c r="K55" s="405">
        <v>43539</v>
      </c>
      <c r="L55" s="405">
        <v>43630</v>
      </c>
      <c r="M55" s="837">
        <v>20</v>
      </c>
      <c r="N55" s="837" t="s">
        <v>4</v>
      </c>
      <c r="O55" s="837">
        <v>60</v>
      </c>
      <c r="P55" s="837" t="s">
        <v>366</v>
      </c>
      <c r="Q55" s="837" t="s">
        <v>1571</v>
      </c>
    </row>
    <row r="56" spans="1:17" ht="30.1" customHeight="1" x14ac:dyDescent="0.25">
      <c r="A56" s="449">
        <v>38</v>
      </c>
      <c r="B56" s="451" t="s">
        <v>1490</v>
      </c>
      <c r="C56" s="451" t="s">
        <v>1491</v>
      </c>
      <c r="D56" s="450" t="s">
        <v>361</v>
      </c>
      <c r="E56" s="452">
        <v>1003403814</v>
      </c>
      <c r="F56" s="450" t="s">
        <v>362</v>
      </c>
      <c r="G56" s="450" t="s">
        <v>1492</v>
      </c>
      <c r="H56" s="450" t="s">
        <v>1493</v>
      </c>
      <c r="I56" s="450" t="s">
        <v>1494</v>
      </c>
      <c r="J56" s="448">
        <v>43538</v>
      </c>
      <c r="K56" s="448">
        <v>43538</v>
      </c>
      <c r="L56" s="448">
        <v>43544</v>
      </c>
      <c r="M56" s="450">
        <v>24</v>
      </c>
      <c r="N56" s="450" t="s">
        <v>5</v>
      </c>
      <c r="O56" s="450">
        <v>24</v>
      </c>
      <c r="P56" s="450" t="s">
        <v>1495</v>
      </c>
      <c r="Q56" s="450"/>
    </row>
    <row r="57" spans="1:17" ht="30.1" customHeight="1" x14ac:dyDescent="0.25">
      <c r="A57" s="449">
        <v>39</v>
      </c>
      <c r="B57" s="451" t="s">
        <v>1496</v>
      </c>
      <c r="C57" s="451" t="s">
        <v>1497</v>
      </c>
      <c r="D57" s="450" t="s">
        <v>361</v>
      </c>
      <c r="E57" s="452">
        <v>25760217</v>
      </c>
      <c r="F57" s="450" t="s">
        <v>1084</v>
      </c>
      <c r="G57" s="450" t="s">
        <v>1498</v>
      </c>
      <c r="H57" s="757" t="s">
        <v>1499</v>
      </c>
      <c r="I57" s="450">
        <v>3003180512</v>
      </c>
      <c r="J57" s="448">
        <v>43538</v>
      </c>
      <c r="K57" s="448">
        <v>43539</v>
      </c>
      <c r="L57" s="448">
        <v>43569</v>
      </c>
      <c r="M57" s="450">
        <v>20</v>
      </c>
      <c r="N57" s="450" t="s">
        <v>4</v>
      </c>
      <c r="O57" s="450">
        <v>20</v>
      </c>
      <c r="P57" s="450"/>
      <c r="Q57" s="450"/>
    </row>
    <row r="58" spans="1:17" ht="30.1" customHeight="1" x14ac:dyDescent="0.25">
      <c r="A58" s="761">
        <v>40</v>
      </c>
      <c r="B58" s="764" t="s">
        <v>1547</v>
      </c>
      <c r="C58" s="764" t="s">
        <v>1546</v>
      </c>
      <c r="D58" s="754" t="s">
        <v>361</v>
      </c>
      <c r="E58" s="802">
        <v>6872927</v>
      </c>
      <c r="F58" s="754" t="s">
        <v>1084</v>
      </c>
      <c r="G58" s="754" t="s">
        <v>519</v>
      </c>
      <c r="H58" s="754" t="s">
        <v>1548</v>
      </c>
      <c r="I58" s="754">
        <v>3234758412</v>
      </c>
      <c r="J58" s="755">
        <v>43514</v>
      </c>
      <c r="K58" s="755">
        <v>43515</v>
      </c>
      <c r="L58" s="755">
        <v>43567</v>
      </c>
      <c r="M58" s="754">
        <v>12</v>
      </c>
      <c r="N58" s="754" t="s">
        <v>4</v>
      </c>
      <c r="O58" s="754">
        <v>12</v>
      </c>
      <c r="P58" s="754"/>
      <c r="Q58" s="754"/>
    </row>
    <row r="59" spans="1:17" s="845" customFormat="1" ht="30.1" customHeight="1" x14ac:dyDescent="0.25">
      <c r="A59" s="891">
        <v>41</v>
      </c>
      <c r="B59" s="894" t="s">
        <v>1575</v>
      </c>
      <c r="C59" s="894" t="s">
        <v>1576</v>
      </c>
      <c r="D59" s="895" t="s">
        <v>361</v>
      </c>
      <c r="E59" s="896">
        <v>1067955615</v>
      </c>
      <c r="F59" s="841" t="s">
        <v>362</v>
      </c>
      <c r="G59" s="895" t="s">
        <v>518</v>
      </c>
      <c r="H59" s="895" t="s">
        <v>1577</v>
      </c>
      <c r="I59" s="895">
        <v>3145862419</v>
      </c>
      <c r="J59" s="889">
        <v>43545</v>
      </c>
      <c r="K59" s="889">
        <v>43546</v>
      </c>
      <c r="L59" s="889">
        <v>43637</v>
      </c>
      <c r="M59" s="841">
        <v>20</v>
      </c>
      <c r="N59" s="841" t="s">
        <v>4</v>
      </c>
      <c r="O59" s="841">
        <v>60</v>
      </c>
      <c r="P59" s="895" t="s">
        <v>767</v>
      </c>
      <c r="Q59" s="841"/>
    </row>
    <row r="60" spans="1:17" s="845" customFormat="1" ht="30.1" customHeight="1" x14ac:dyDescent="0.25">
      <c r="A60" s="891"/>
      <c r="B60" s="894"/>
      <c r="C60" s="894"/>
      <c r="D60" s="895"/>
      <c r="E60" s="896"/>
      <c r="F60" s="841" t="s">
        <v>362</v>
      </c>
      <c r="G60" s="895"/>
      <c r="H60" s="895"/>
      <c r="I60" s="895"/>
      <c r="J60" s="889"/>
      <c r="K60" s="889"/>
      <c r="L60" s="889"/>
      <c r="M60" s="841">
        <v>20</v>
      </c>
      <c r="N60" s="841" t="s">
        <v>8</v>
      </c>
      <c r="O60" s="841">
        <v>60</v>
      </c>
      <c r="P60" s="895"/>
      <c r="Q60" s="841"/>
    </row>
    <row r="61" spans="1:17" s="845" customFormat="1" ht="30.1" customHeight="1" x14ac:dyDescent="0.25">
      <c r="A61" s="891"/>
      <c r="B61" s="894"/>
      <c r="C61" s="894"/>
      <c r="D61" s="895"/>
      <c r="E61" s="896"/>
      <c r="F61" s="841" t="s">
        <v>362</v>
      </c>
      <c r="G61" s="895"/>
      <c r="H61" s="895"/>
      <c r="I61" s="895"/>
      <c r="J61" s="889"/>
      <c r="K61" s="889"/>
      <c r="L61" s="889"/>
      <c r="M61" s="841">
        <v>20</v>
      </c>
      <c r="N61" s="841" t="s">
        <v>226</v>
      </c>
      <c r="O61" s="841">
        <v>60</v>
      </c>
      <c r="P61" s="895"/>
      <c r="Q61" s="841"/>
    </row>
    <row r="62" spans="1:17" s="845" customFormat="1" ht="30.1" customHeight="1" x14ac:dyDescent="0.25">
      <c r="A62" s="840">
        <v>42</v>
      </c>
      <c r="B62" s="844" t="s">
        <v>1578</v>
      </c>
      <c r="C62" s="844" t="s">
        <v>1579</v>
      </c>
      <c r="D62" s="841" t="s">
        <v>361</v>
      </c>
      <c r="E62" s="842">
        <v>26044552</v>
      </c>
      <c r="F62" s="841" t="s">
        <v>362</v>
      </c>
      <c r="G62" s="841" t="s">
        <v>1580</v>
      </c>
      <c r="H62" s="841" t="s">
        <v>1581</v>
      </c>
      <c r="I62" s="465" t="s">
        <v>1593</v>
      </c>
      <c r="J62" s="843">
        <v>43545</v>
      </c>
      <c r="K62" s="843">
        <v>43546</v>
      </c>
      <c r="L62" s="843">
        <v>43637</v>
      </c>
      <c r="M62" s="841">
        <v>12</v>
      </c>
      <c r="N62" s="841" t="s">
        <v>4</v>
      </c>
      <c r="O62" s="841">
        <v>36</v>
      </c>
      <c r="P62" s="841" t="s">
        <v>1582</v>
      </c>
      <c r="Q62" s="841"/>
    </row>
    <row r="63" spans="1:17" s="875" customFormat="1" ht="30.1" customHeight="1" x14ac:dyDescent="0.25">
      <c r="A63" s="887">
        <v>43</v>
      </c>
      <c r="B63" s="881" t="s">
        <v>1583</v>
      </c>
      <c r="C63" s="881" t="s">
        <v>1584</v>
      </c>
      <c r="D63" s="881" t="s">
        <v>361</v>
      </c>
      <c r="E63" s="883">
        <v>6892555</v>
      </c>
      <c r="F63" s="874" t="s">
        <v>979</v>
      </c>
      <c r="G63" s="881"/>
      <c r="H63" s="881" t="s">
        <v>1585</v>
      </c>
      <c r="I63" s="881">
        <v>3205422035</v>
      </c>
      <c r="J63" s="910">
        <v>43545</v>
      </c>
      <c r="K63" s="885">
        <v>43546</v>
      </c>
      <c r="L63" s="885">
        <v>43576</v>
      </c>
      <c r="M63" s="874">
        <v>1</v>
      </c>
      <c r="N63" s="874" t="s">
        <v>225</v>
      </c>
      <c r="O63" s="874">
        <v>1</v>
      </c>
      <c r="P63" s="908" t="s">
        <v>1586</v>
      </c>
      <c r="Q63" s="874"/>
    </row>
    <row r="64" spans="1:17" ht="30.1" customHeight="1" x14ac:dyDescent="0.25">
      <c r="A64" s="888"/>
      <c r="B64" s="882"/>
      <c r="C64" s="882"/>
      <c r="D64" s="882"/>
      <c r="E64" s="884"/>
      <c r="F64" s="754" t="s">
        <v>979</v>
      </c>
      <c r="G64" s="882"/>
      <c r="H64" s="882"/>
      <c r="I64" s="882"/>
      <c r="J64" s="911"/>
      <c r="K64" s="886"/>
      <c r="L64" s="886"/>
      <c r="M64" s="754">
        <v>12</v>
      </c>
      <c r="N64" s="754" t="s">
        <v>4</v>
      </c>
      <c r="O64" s="754">
        <v>12</v>
      </c>
      <c r="P64" s="909"/>
      <c r="Q64" s="754"/>
    </row>
    <row r="65" spans="1:17" ht="30.1" customHeight="1" x14ac:dyDescent="0.25">
      <c r="A65" s="840">
        <v>44</v>
      </c>
      <c r="B65" s="844" t="s">
        <v>1605</v>
      </c>
      <c r="C65" s="844" t="s">
        <v>1606</v>
      </c>
      <c r="D65" s="841" t="s">
        <v>361</v>
      </c>
      <c r="E65" s="842">
        <v>25786987</v>
      </c>
      <c r="F65" s="841" t="s">
        <v>378</v>
      </c>
      <c r="G65" s="841" t="s">
        <v>1607</v>
      </c>
      <c r="H65" s="841" t="s">
        <v>1608</v>
      </c>
      <c r="I65" s="841" t="s">
        <v>1609</v>
      </c>
      <c r="J65" s="843">
        <v>43546</v>
      </c>
      <c r="K65" s="843">
        <v>43546</v>
      </c>
      <c r="L65" s="843">
        <v>43576</v>
      </c>
      <c r="M65" s="841">
        <v>60</v>
      </c>
      <c r="N65" s="841" t="s">
        <v>5</v>
      </c>
      <c r="O65" s="841">
        <v>60</v>
      </c>
      <c r="P65" s="841" t="s">
        <v>1610</v>
      </c>
      <c r="Q65" s="841"/>
    </row>
    <row r="66" spans="1:17" ht="30.1" customHeight="1" x14ac:dyDescent="0.25">
      <c r="A66" s="356">
        <v>45</v>
      </c>
      <c r="B66" s="871" t="s">
        <v>1614</v>
      </c>
      <c r="C66" s="871" t="s">
        <v>1615</v>
      </c>
      <c r="D66" s="357" t="s">
        <v>361</v>
      </c>
      <c r="E66" s="872">
        <v>78021800</v>
      </c>
      <c r="F66" s="357" t="s">
        <v>979</v>
      </c>
      <c r="G66" s="357" t="s">
        <v>1616</v>
      </c>
      <c r="H66" s="357" t="s">
        <v>1617</v>
      </c>
      <c r="I66" s="357" t="s">
        <v>1618</v>
      </c>
      <c r="J66" s="524">
        <v>43549</v>
      </c>
      <c r="K66" s="524">
        <v>43549</v>
      </c>
      <c r="L66" s="524">
        <v>43555</v>
      </c>
      <c r="M66" s="357">
        <v>24</v>
      </c>
      <c r="N66" s="357" t="s">
        <v>5</v>
      </c>
      <c r="O66" s="357">
        <v>24</v>
      </c>
      <c r="P66" s="357" t="s">
        <v>1495</v>
      </c>
      <c r="Q66" s="873" t="s">
        <v>1622</v>
      </c>
    </row>
    <row r="67" spans="1:17" ht="30.1" customHeight="1" x14ac:dyDescent="0.25">
      <c r="A67" s="840">
        <v>46</v>
      </c>
      <c r="B67" s="844" t="s">
        <v>1640</v>
      </c>
      <c r="C67" s="844" t="s">
        <v>1641</v>
      </c>
      <c r="D67" s="841" t="s">
        <v>361</v>
      </c>
      <c r="E67" s="842">
        <v>26192279</v>
      </c>
      <c r="F67" s="841" t="s">
        <v>362</v>
      </c>
      <c r="G67" s="841" t="s">
        <v>1027</v>
      </c>
      <c r="H67" s="841" t="s">
        <v>1642</v>
      </c>
      <c r="I67" s="841" t="s">
        <v>1643</v>
      </c>
      <c r="J67" s="843">
        <v>43551</v>
      </c>
      <c r="K67" s="843">
        <v>43551</v>
      </c>
      <c r="L67" s="843">
        <v>43526</v>
      </c>
      <c r="M67" s="841">
        <v>6</v>
      </c>
      <c r="N67" s="841" t="s">
        <v>5</v>
      </c>
      <c r="O67" s="841">
        <v>6</v>
      </c>
      <c r="P67" s="841" t="s">
        <v>1644</v>
      </c>
      <c r="Q67" s="841"/>
    </row>
    <row r="68" spans="1:17" ht="30.1" customHeight="1" x14ac:dyDescent="0.25">
      <c r="A68" s="840">
        <v>47</v>
      </c>
      <c r="B68" s="844" t="s">
        <v>1651</v>
      </c>
      <c r="C68" s="844" t="s">
        <v>1652</v>
      </c>
      <c r="D68" s="841" t="s">
        <v>361</v>
      </c>
      <c r="E68" s="842">
        <v>1555114</v>
      </c>
      <c r="F68" s="841" t="s">
        <v>979</v>
      </c>
      <c r="G68" s="841" t="s">
        <v>1223</v>
      </c>
      <c r="H68" s="841" t="s">
        <v>1653</v>
      </c>
      <c r="I68" s="841" t="s">
        <v>1654</v>
      </c>
      <c r="J68" s="843">
        <v>43553</v>
      </c>
      <c r="K68" s="843">
        <v>43553</v>
      </c>
      <c r="L68" s="843">
        <v>43559</v>
      </c>
      <c r="M68" s="841">
        <v>10</v>
      </c>
      <c r="N68" s="841" t="s">
        <v>5</v>
      </c>
      <c r="O68" s="841">
        <v>10</v>
      </c>
      <c r="P68" s="841" t="s">
        <v>1655</v>
      </c>
      <c r="Q68" s="841"/>
    </row>
    <row r="69" spans="1:17" ht="30.1" customHeight="1" x14ac:dyDescent="0.25">
      <c r="A69" s="840"/>
      <c r="B69" s="844"/>
      <c r="C69" s="844"/>
      <c r="D69" s="841"/>
      <c r="E69" s="842"/>
      <c r="F69" s="841"/>
      <c r="G69" s="841"/>
      <c r="H69" s="841"/>
      <c r="I69" s="841"/>
      <c r="J69" s="843"/>
      <c r="K69" s="843"/>
      <c r="L69" s="843"/>
      <c r="M69" s="841"/>
      <c r="N69" s="841"/>
      <c r="O69" s="841"/>
      <c r="P69" s="841"/>
      <c r="Q69" s="841"/>
    </row>
    <row r="70" spans="1:17" ht="30.1" customHeight="1" x14ac:dyDescent="0.25">
      <c r="A70" s="840"/>
      <c r="B70" s="844"/>
      <c r="C70" s="844"/>
      <c r="D70" s="841"/>
      <c r="E70" s="842"/>
      <c r="F70" s="841"/>
      <c r="G70" s="841"/>
      <c r="H70" s="841"/>
      <c r="I70" s="841"/>
      <c r="J70" s="843"/>
      <c r="K70" s="843"/>
      <c r="L70" s="843"/>
      <c r="M70" s="841"/>
      <c r="N70" s="841"/>
      <c r="O70" s="841"/>
      <c r="P70" s="841"/>
      <c r="Q70" s="841"/>
    </row>
    <row r="71" spans="1:17" ht="30.1" customHeight="1" x14ac:dyDescent="0.25">
      <c r="A71" s="840"/>
      <c r="B71" s="844"/>
      <c r="C71" s="844"/>
      <c r="D71" s="841"/>
      <c r="E71" s="842"/>
      <c r="F71" s="841"/>
      <c r="G71" s="841"/>
      <c r="H71" s="841"/>
      <c r="I71" s="841"/>
      <c r="J71" s="843"/>
      <c r="K71" s="843"/>
      <c r="L71" s="843"/>
      <c r="M71" s="841"/>
      <c r="N71" s="841"/>
      <c r="O71" s="841"/>
      <c r="P71" s="841"/>
      <c r="Q71" s="841"/>
    </row>
    <row r="72" spans="1:17" ht="30.1" customHeight="1" x14ac:dyDescent="0.25">
      <c r="A72" s="840"/>
      <c r="B72" s="844"/>
      <c r="C72" s="844"/>
      <c r="D72" s="841"/>
      <c r="E72" s="842"/>
      <c r="F72" s="841"/>
      <c r="G72" s="841"/>
      <c r="H72" s="841"/>
      <c r="I72" s="841"/>
      <c r="J72" s="843"/>
      <c r="K72" s="843"/>
      <c r="L72" s="843"/>
      <c r="M72" s="841"/>
      <c r="N72" s="841"/>
      <c r="O72" s="841"/>
      <c r="P72" s="841"/>
      <c r="Q72" s="841"/>
    </row>
  </sheetData>
  <autoFilter ref="B1:R68"/>
  <mergeCells count="162">
    <mergeCell ref="A63:A64"/>
    <mergeCell ref="B63:B64"/>
    <mergeCell ref="C63:C64"/>
    <mergeCell ref="D63:D64"/>
    <mergeCell ref="E63:E64"/>
    <mergeCell ref="G63:G64"/>
    <mergeCell ref="H63:H64"/>
    <mergeCell ref="P63:P64"/>
    <mergeCell ref="L63:L64"/>
    <mergeCell ref="K63:K64"/>
    <mergeCell ref="J63:J64"/>
    <mergeCell ref="I63:I64"/>
    <mergeCell ref="K59:K61"/>
    <mergeCell ref="L59:L61"/>
    <mergeCell ref="P59:P61"/>
    <mergeCell ref="A59:A61"/>
    <mergeCell ref="B59:B61"/>
    <mergeCell ref="C59:C61"/>
    <mergeCell ref="D59:D61"/>
    <mergeCell ref="E59:E61"/>
    <mergeCell ref="G59:G61"/>
    <mergeCell ref="H59:H61"/>
    <mergeCell ref="I59:I61"/>
    <mergeCell ref="J59:J61"/>
    <mergeCell ref="G52:G53"/>
    <mergeCell ref="H52:H53"/>
    <mergeCell ref="I52:I53"/>
    <mergeCell ref="J52:J53"/>
    <mergeCell ref="K52:K53"/>
    <mergeCell ref="L52:L53"/>
    <mergeCell ref="A52:A53"/>
    <mergeCell ref="B52:B53"/>
    <mergeCell ref="C52:C53"/>
    <mergeCell ref="D52:D53"/>
    <mergeCell ref="E52:E53"/>
    <mergeCell ref="A42:A44"/>
    <mergeCell ref="B42:B44"/>
    <mergeCell ref="C42:C44"/>
    <mergeCell ref="D42:D44"/>
    <mergeCell ref="E42:E44"/>
    <mergeCell ref="G42:G44"/>
    <mergeCell ref="H42:H44"/>
    <mergeCell ref="I42:I44"/>
    <mergeCell ref="J42:J44"/>
    <mergeCell ref="L12:L13"/>
    <mergeCell ref="P12:P13"/>
    <mergeCell ref="D8:D10"/>
    <mergeCell ref="E8:E10"/>
    <mergeCell ref="I8:I10"/>
    <mergeCell ref="K42:K44"/>
    <mergeCell ref="L42:L44"/>
    <mergeCell ref="P42:P44"/>
    <mergeCell ref="Q42:Q44"/>
    <mergeCell ref="P17:P19"/>
    <mergeCell ref="J8:J10"/>
    <mergeCell ref="K8:K10"/>
    <mergeCell ref="D17:D19"/>
    <mergeCell ref="L8:L10"/>
    <mergeCell ref="J17:J19"/>
    <mergeCell ref="K17:K19"/>
    <mergeCell ref="L17:L19"/>
    <mergeCell ref="H8:H10"/>
    <mergeCell ref="P8:P10"/>
    <mergeCell ref="J12:J13"/>
    <mergeCell ref="K12:K13"/>
    <mergeCell ref="L21:L22"/>
    <mergeCell ref="K21:K22"/>
    <mergeCell ref="P32:P33"/>
    <mergeCell ref="K4:K5"/>
    <mergeCell ref="L4:L5"/>
    <mergeCell ref="P4:P5"/>
    <mergeCell ref="A4:A5"/>
    <mergeCell ref="B4:B5"/>
    <mergeCell ref="C4:C5"/>
    <mergeCell ref="D4:D5"/>
    <mergeCell ref="E4:E5"/>
    <mergeCell ref="G4:G5"/>
    <mergeCell ref="H4:H5"/>
    <mergeCell ref="I4:I5"/>
    <mergeCell ref="J4:J5"/>
    <mergeCell ref="J21:J22"/>
    <mergeCell ref="A12:A13"/>
    <mergeCell ref="B12:B13"/>
    <mergeCell ref="A17:A19"/>
    <mergeCell ref="B17:B19"/>
    <mergeCell ref="D12:D13"/>
    <mergeCell ref="E12:E13"/>
    <mergeCell ref="G12:G13"/>
    <mergeCell ref="H12:H13"/>
    <mergeCell ref="I12:I13"/>
    <mergeCell ref="C17:C19"/>
    <mergeCell ref="E17:E19"/>
    <mergeCell ref="G17:G19"/>
    <mergeCell ref="H17:H19"/>
    <mergeCell ref="I17:I19"/>
    <mergeCell ref="A8:A10"/>
    <mergeCell ref="B8:B10"/>
    <mergeCell ref="C8:C10"/>
    <mergeCell ref="C12:C13"/>
    <mergeCell ref="G8:G10"/>
    <mergeCell ref="K28:K30"/>
    <mergeCell ref="L28:L30"/>
    <mergeCell ref="A28:A30"/>
    <mergeCell ref="B28:B30"/>
    <mergeCell ref="C28:C30"/>
    <mergeCell ref="D28:D30"/>
    <mergeCell ref="E28:E30"/>
    <mergeCell ref="G28:G30"/>
    <mergeCell ref="H28:H30"/>
    <mergeCell ref="I28:I30"/>
    <mergeCell ref="J28:J30"/>
    <mergeCell ref="A21:A22"/>
    <mergeCell ref="B21:B22"/>
    <mergeCell ref="C21:C22"/>
    <mergeCell ref="D21:D22"/>
    <mergeCell ref="E21:E22"/>
    <mergeCell ref="G21:G22"/>
    <mergeCell ref="H21:H22"/>
    <mergeCell ref="I21:I22"/>
    <mergeCell ref="K38:K40"/>
    <mergeCell ref="L38:L40"/>
    <mergeCell ref="A32:A33"/>
    <mergeCell ref="B32:B33"/>
    <mergeCell ref="C32:C33"/>
    <mergeCell ref="D32:D33"/>
    <mergeCell ref="E32:E33"/>
    <mergeCell ref="G32:G33"/>
    <mergeCell ref="H32:H33"/>
    <mergeCell ref="I32:I33"/>
    <mergeCell ref="J32:J33"/>
    <mergeCell ref="K32:K33"/>
    <mergeCell ref="L32:L33"/>
    <mergeCell ref="A38:A40"/>
    <mergeCell ref="B38:B40"/>
    <mergeCell ref="C38:C40"/>
    <mergeCell ref="D38:D40"/>
    <mergeCell ref="E38:E40"/>
    <mergeCell ref="G38:G40"/>
    <mergeCell ref="H38:H40"/>
    <mergeCell ref="I38:I40"/>
    <mergeCell ref="J38:J40"/>
    <mergeCell ref="A36:A37"/>
    <mergeCell ref="B36:B37"/>
    <mergeCell ref="Q50:Q51"/>
    <mergeCell ref="A50:A51"/>
    <mergeCell ref="B50:B51"/>
    <mergeCell ref="C50:C51"/>
    <mergeCell ref="D50:D51"/>
    <mergeCell ref="E50:E51"/>
    <mergeCell ref="G50:G51"/>
    <mergeCell ref="H50:H51"/>
    <mergeCell ref="I50:I51"/>
    <mergeCell ref="P36:P37"/>
    <mergeCell ref="C36:C37"/>
    <mergeCell ref="D36:D37"/>
    <mergeCell ref="E36:E37"/>
    <mergeCell ref="G36:G37"/>
    <mergeCell ref="H36:H37"/>
    <mergeCell ref="I36:I37"/>
    <mergeCell ref="J36:J37"/>
    <mergeCell ref="K36:K37"/>
    <mergeCell ref="L36:L37"/>
  </mergeCells>
  <pageMargins left="0.25" right="0.25" top="0.75" bottom="0.75" header="0.3" footer="0.3"/>
  <pageSetup scale="5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63"/>
  <sheetViews>
    <sheetView zoomScale="115" zoomScaleNormal="115" workbookViewId="0">
      <pane ySplit="1" topLeftCell="A8" activePane="bottomLeft" state="frozen"/>
      <selection pane="bottomLeft" activeCell="E13" sqref="E13:E15"/>
    </sheetView>
  </sheetViews>
  <sheetFormatPr baseColWidth="10" defaultColWidth="11.375" defaultRowHeight="30.1" customHeight="1" x14ac:dyDescent="0.25"/>
  <cols>
    <col min="1" max="1" width="4.25" style="5" customWidth="1"/>
    <col min="2" max="2" width="16.875" style="7" customWidth="1"/>
    <col min="3" max="3" width="18" style="7" customWidth="1"/>
    <col min="4" max="4" width="4.125" style="7" customWidth="1"/>
    <col min="5" max="5" width="14" style="9" customWidth="1"/>
    <col min="6" max="6" width="13.25" style="7" customWidth="1"/>
    <col min="7" max="7" width="13.875" style="7" customWidth="1"/>
    <col min="8" max="8" width="13.125" style="7" customWidth="1"/>
    <col min="9" max="9" width="17" style="7" customWidth="1"/>
    <col min="10" max="10" width="14.75" style="7" customWidth="1"/>
    <col min="11" max="11" width="12.25" style="115" customWidth="1"/>
    <col min="12" max="12" width="11.625" style="115" customWidth="1"/>
    <col min="13" max="13" width="11.875" style="115" customWidth="1"/>
    <col min="14" max="14" width="6.75" style="7" customWidth="1"/>
    <col min="15" max="15" width="7.625" style="7" customWidth="1"/>
    <col min="16" max="16" width="6.875" style="7" customWidth="1"/>
    <col min="17" max="17" width="21.375" style="7" customWidth="1"/>
    <col min="18" max="18" width="24.625" style="7" customWidth="1"/>
    <col min="19" max="19" width="39.875" style="10" customWidth="1"/>
    <col min="20" max="16384" width="11.375" style="8"/>
  </cols>
  <sheetData>
    <row r="1" spans="1:19" s="7" customFormat="1" ht="22.6" customHeight="1" x14ac:dyDescent="0.25">
      <c r="A1" s="55" t="s">
        <v>350</v>
      </c>
      <c r="B1" s="56" t="s">
        <v>351</v>
      </c>
      <c r="C1" s="56" t="s">
        <v>352</v>
      </c>
      <c r="D1" s="56" t="s">
        <v>353</v>
      </c>
      <c r="E1" s="138" t="s">
        <v>354</v>
      </c>
      <c r="F1" s="56" t="s">
        <v>355</v>
      </c>
      <c r="G1" s="139" t="s">
        <v>505</v>
      </c>
      <c r="H1" s="56" t="s">
        <v>12</v>
      </c>
      <c r="I1" s="56" t="s">
        <v>356</v>
      </c>
      <c r="J1" s="55" t="s">
        <v>0</v>
      </c>
      <c r="K1" s="140" t="s">
        <v>357</v>
      </c>
      <c r="L1" s="140" t="s">
        <v>1</v>
      </c>
      <c r="M1" s="140" t="s">
        <v>2</v>
      </c>
      <c r="N1" s="56" t="s">
        <v>604</v>
      </c>
      <c r="O1" s="56" t="s">
        <v>359</v>
      </c>
      <c r="P1" s="56" t="s">
        <v>605</v>
      </c>
      <c r="Q1" s="56" t="s">
        <v>406</v>
      </c>
      <c r="R1" s="56" t="s">
        <v>3</v>
      </c>
      <c r="S1" s="141" t="s">
        <v>405</v>
      </c>
    </row>
    <row r="2" spans="1:19" ht="30.1" customHeight="1" x14ac:dyDescent="0.25">
      <c r="A2" s="930">
        <v>1</v>
      </c>
      <c r="B2" s="936" t="s">
        <v>404</v>
      </c>
      <c r="C2" s="936" t="s">
        <v>403</v>
      </c>
      <c r="D2" s="936" t="s">
        <v>370</v>
      </c>
      <c r="E2" s="942">
        <v>1062605273</v>
      </c>
      <c r="F2" s="379" t="s">
        <v>378</v>
      </c>
      <c r="G2" s="936" t="s">
        <v>527</v>
      </c>
      <c r="H2" s="390" t="s">
        <v>9</v>
      </c>
      <c r="I2" s="936" t="s">
        <v>402</v>
      </c>
      <c r="J2" s="936">
        <v>3145290652</v>
      </c>
      <c r="K2" s="939">
        <v>43551</v>
      </c>
      <c r="L2" s="939">
        <v>43556</v>
      </c>
      <c r="M2" s="939">
        <v>43631</v>
      </c>
      <c r="N2" s="143">
        <v>40</v>
      </c>
      <c r="O2" s="143" t="s">
        <v>4</v>
      </c>
      <c r="P2" s="143">
        <v>90</v>
      </c>
      <c r="Q2" s="143" t="s">
        <v>7</v>
      </c>
      <c r="R2" s="936" t="s">
        <v>1639</v>
      </c>
      <c r="S2" s="933" t="s">
        <v>1350</v>
      </c>
    </row>
    <row r="3" spans="1:19" ht="30.1" customHeight="1" x14ac:dyDescent="0.25">
      <c r="A3" s="931"/>
      <c r="B3" s="937"/>
      <c r="C3" s="937"/>
      <c r="D3" s="937"/>
      <c r="E3" s="943"/>
      <c r="F3" s="379" t="s">
        <v>378</v>
      </c>
      <c r="G3" s="937"/>
      <c r="H3" s="390" t="s">
        <v>9</v>
      </c>
      <c r="I3" s="937"/>
      <c r="J3" s="937"/>
      <c r="K3" s="940"/>
      <c r="L3" s="940"/>
      <c r="M3" s="940"/>
      <c r="N3" s="143">
        <v>40</v>
      </c>
      <c r="O3" s="143" t="s">
        <v>8</v>
      </c>
      <c r="P3" s="143">
        <v>90</v>
      </c>
      <c r="Q3" s="143" t="s">
        <v>975</v>
      </c>
      <c r="R3" s="937"/>
      <c r="S3" s="934"/>
    </row>
    <row r="4" spans="1:19" ht="30.1" customHeight="1" x14ac:dyDescent="0.25">
      <c r="A4" s="931"/>
      <c r="B4" s="937"/>
      <c r="C4" s="937"/>
      <c r="D4" s="937"/>
      <c r="E4" s="943"/>
      <c r="F4" s="379" t="s">
        <v>378</v>
      </c>
      <c r="G4" s="937"/>
      <c r="H4" s="390" t="s">
        <v>9</v>
      </c>
      <c r="I4" s="937"/>
      <c r="J4" s="937"/>
      <c r="K4" s="940"/>
      <c r="L4" s="940"/>
      <c r="M4" s="940"/>
      <c r="N4" s="143">
        <v>40</v>
      </c>
      <c r="O4" s="143" t="s">
        <v>226</v>
      </c>
      <c r="P4" s="143">
        <v>90</v>
      </c>
      <c r="Q4" s="143" t="s">
        <v>726</v>
      </c>
      <c r="R4" s="937"/>
      <c r="S4" s="934"/>
    </row>
    <row r="5" spans="1:19" ht="30.1" customHeight="1" x14ac:dyDescent="0.25">
      <c r="A5" s="932"/>
      <c r="B5" s="938"/>
      <c r="C5" s="938"/>
      <c r="D5" s="938"/>
      <c r="E5" s="944"/>
      <c r="F5" s="379" t="s">
        <v>378</v>
      </c>
      <c r="G5" s="938"/>
      <c r="H5" s="390" t="s">
        <v>9</v>
      </c>
      <c r="I5" s="938"/>
      <c r="J5" s="938"/>
      <c r="K5" s="941"/>
      <c r="L5" s="941"/>
      <c r="M5" s="941"/>
      <c r="N5" s="143">
        <v>40</v>
      </c>
      <c r="O5" s="143" t="s">
        <v>225</v>
      </c>
      <c r="P5" s="143">
        <v>90</v>
      </c>
      <c r="Q5" s="143" t="s">
        <v>220</v>
      </c>
      <c r="R5" s="938"/>
      <c r="S5" s="935"/>
    </row>
    <row r="6" spans="1:19" ht="30.1" customHeight="1" x14ac:dyDescent="0.25">
      <c r="A6" s="92">
        <v>2</v>
      </c>
      <c r="B6" s="89" t="s">
        <v>387</v>
      </c>
      <c r="C6" s="89" t="s">
        <v>386</v>
      </c>
      <c r="D6" s="89" t="s">
        <v>371</v>
      </c>
      <c r="E6" s="93">
        <v>1138028726</v>
      </c>
      <c r="F6" s="319" t="s">
        <v>372</v>
      </c>
      <c r="G6" s="89"/>
      <c r="H6" s="391" t="s">
        <v>15</v>
      </c>
      <c r="I6" s="89" t="s">
        <v>385</v>
      </c>
      <c r="J6" s="89">
        <v>3003446207</v>
      </c>
      <c r="K6" s="94">
        <v>43336</v>
      </c>
      <c r="L6" s="94">
        <v>43339</v>
      </c>
      <c r="M6" s="94">
        <v>43502</v>
      </c>
      <c r="N6" s="89">
        <v>48</v>
      </c>
      <c r="O6" s="89" t="s">
        <v>8</v>
      </c>
      <c r="P6" s="89">
        <v>48</v>
      </c>
      <c r="Q6" s="89" t="s">
        <v>384</v>
      </c>
      <c r="R6" s="89" t="s">
        <v>383</v>
      </c>
      <c r="S6" s="90" t="s">
        <v>382</v>
      </c>
    </row>
    <row r="7" spans="1:19" ht="30.1" customHeight="1" x14ac:dyDescent="0.25">
      <c r="A7" s="92">
        <v>3</v>
      </c>
      <c r="B7" s="89" t="s">
        <v>156</v>
      </c>
      <c r="C7" s="89" t="s">
        <v>479</v>
      </c>
      <c r="D7" s="89" t="s">
        <v>361</v>
      </c>
      <c r="E7" s="93">
        <v>1003288014</v>
      </c>
      <c r="F7" s="380" t="s">
        <v>362</v>
      </c>
      <c r="G7" s="89" t="s">
        <v>536</v>
      </c>
      <c r="H7" s="391" t="s">
        <v>480</v>
      </c>
      <c r="I7" s="95" t="s">
        <v>481</v>
      </c>
      <c r="J7" s="89" t="s">
        <v>482</v>
      </c>
      <c r="K7" s="94">
        <v>43427</v>
      </c>
      <c r="L7" s="94">
        <v>43428</v>
      </c>
      <c r="M7" s="94">
        <v>43547</v>
      </c>
      <c r="N7" s="89">
        <v>60</v>
      </c>
      <c r="O7" s="89" t="s">
        <v>4</v>
      </c>
      <c r="P7" s="89">
        <v>240</v>
      </c>
      <c r="Q7" s="89" t="s">
        <v>483</v>
      </c>
      <c r="R7" s="89" t="s">
        <v>714</v>
      </c>
      <c r="S7" s="113" t="s">
        <v>715</v>
      </c>
    </row>
    <row r="8" spans="1:19" ht="30.1" customHeight="1" x14ac:dyDescent="0.25">
      <c r="A8" s="92">
        <v>4</v>
      </c>
      <c r="B8" s="89" t="s">
        <v>581</v>
      </c>
      <c r="C8" s="89" t="s">
        <v>582</v>
      </c>
      <c r="D8" s="89" t="s">
        <v>361</v>
      </c>
      <c r="E8" s="93">
        <v>30625013</v>
      </c>
      <c r="F8" s="380" t="s">
        <v>378</v>
      </c>
      <c r="G8" s="89" t="s">
        <v>533</v>
      </c>
      <c r="H8" s="391" t="s">
        <v>223</v>
      </c>
      <c r="I8" s="89" t="s">
        <v>583</v>
      </c>
      <c r="J8" s="89" t="s">
        <v>584</v>
      </c>
      <c r="K8" s="94">
        <v>43447</v>
      </c>
      <c r="L8" s="94">
        <v>43466</v>
      </c>
      <c r="M8" s="94">
        <v>43554</v>
      </c>
      <c r="N8" s="89">
        <v>20</v>
      </c>
      <c r="O8" s="89" t="s">
        <v>4</v>
      </c>
      <c r="P8" s="89">
        <v>60</v>
      </c>
      <c r="Q8" s="89" t="s">
        <v>219</v>
      </c>
      <c r="R8" s="89" t="s">
        <v>585</v>
      </c>
      <c r="S8" s="90"/>
    </row>
    <row r="9" spans="1:19" ht="30.1" customHeight="1" x14ac:dyDescent="0.25">
      <c r="A9" s="915">
        <v>5</v>
      </c>
      <c r="B9" s="918" t="s">
        <v>587</v>
      </c>
      <c r="C9" s="918" t="s">
        <v>588</v>
      </c>
      <c r="D9" s="918" t="s">
        <v>361</v>
      </c>
      <c r="E9" s="921">
        <v>50847871</v>
      </c>
      <c r="F9" s="378" t="s">
        <v>362</v>
      </c>
      <c r="G9" s="918" t="s">
        <v>589</v>
      </c>
      <c r="H9" s="389" t="s">
        <v>9</v>
      </c>
      <c r="I9" s="918" t="s">
        <v>590</v>
      </c>
      <c r="J9" s="918">
        <v>3003961992</v>
      </c>
      <c r="K9" s="912">
        <v>43374</v>
      </c>
      <c r="L9" s="912">
        <v>43375</v>
      </c>
      <c r="M9" s="912">
        <v>43554</v>
      </c>
      <c r="N9" s="89">
        <v>20</v>
      </c>
      <c r="O9" s="89" t="s">
        <v>4</v>
      </c>
      <c r="P9" s="89">
        <v>120</v>
      </c>
      <c r="Q9" s="89" t="s">
        <v>7</v>
      </c>
      <c r="R9" s="918" t="s">
        <v>591</v>
      </c>
      <c r="S9" s="947" t="s">
        <v>1638</v>
      </c>
    </row>
    <row r="10" spans="1:19" ht="30.1" customHeight="1" x14ac:dyDescent="0.25">
      <c r="A10" s="916"/>
      <c r="B10" s="919"/>
      <c r="C10" s="919"/>
      <c r="D10" s="919"/>
      <c r="E10" s="922"/>
      <c r="F10" s="378" t="s">
        <v>362</v>
      </c>
      <c r="G10" s="919"/>
      <c r="H10" s="389" t="s">
        <v>9</v>
      </c>
      <c r="I10" s="919"/>
      <c r="J10" s="919"/>
      <c r="K10" s="913"/>
      <c r="L10" s="913"/>
      <c r="M10" s="913"/>
      <c r="N10" s="89">
        <v>20</v>
      </c>
      <c r="O10" s="89" t="s">
        <v>226</v>
      </c>
      <c r="P10" s="89">
        <v>120</v>
      </c>
      <c r="Q10" s="89" t="s">
        <v>381</v>
      </c>
      <c r="R10" s="919"/>
      <c r="S10" s="948"/>
    </row>
    <row r="11" spans="1:19" ht="30.1" customHeight="1" x14ac:dyDescent="0.25">
      <c r="A11" s="917"/>
      <c r="B11" s="920"/>
      <c r="C11" s="920"/>
      <c r="D11" s="920"/>
      <c r="E11" s="923"/>
      <c r="F11" s="378" t="s">
        <v>362</v>
      </c>
      <c r="G11" s="920"/>
      <c r="H11" s="389" t="s">
        <v>9</v>
      </c>
      <c r="I11" s="920"/>
      <c r="J11" s="920"/>
      <c r="K11" s="914"/>
      <c r="L11" s="914"/>
      <c r="M11" s="914"/>
      <c r="N11" s="89">
        <v>20</v>
      </c>
      <c r="O11" s="89" t="s">
        <v>8</v>
      </c>
      <c r="P11" s="89">
        <v>120</v>
      </c>
      <c r="Q11" s="89" t="s">
        <v>398</v>
      </c>
      <c r="R11" s="920"/>
      <c r="S11" s="949"/>
    </row>
    <row r="12" spans="1:19" ht="30.1" customHeight="1" x14ac:dyDescent="0.25">
      <c r="A12" s="92">
        <v>6</v>
      </c>
      <c r="B12" s="143" t="s">
        <v>610</v>
      </c>
      <c r="C12" s="143" t="s">
        <v>611</v>
      </c>
      <c r="D12" s="89" t="s">
        <v>361</v>
      </c>
      <c r="E12" s="93">
        <v>78029710</v>
      </c>
      <c r="F12" s="380" t="s">
        <v>362</v>
      </c>
      <c r="G12" s="89" t="s">
        <v>612</v>
      </c>
      <c r="H12" s="391" t="s">
        <v>9</v>
      </c>
      <c r="I12" s="89" t="s">
        <v>1043</v>
      </c>
      <c r="J12" s="89" t="s">
        <v>613</v>
      </c>
      <c r="K12" s="94">
        <v>43384</v>
      </c>
      <c r="L12" s="94">
        <v>43385</v>
      </c>
      <c r="M12" s="94">
        <v>43566</v>
      </c>
      <c r="N12" s="89">
        <v>20</v>
      </c>
      <c r="O12" s="89" t="s">
        <v>4</v>
      </c>
      <c r="P12" s="89">
        <v>120</v>
      </c>
      <c r="Q12" s="89" t="s">
        <v>7</v>
      </c>
      <c r="R12" s="89" t="s">
        <v>614</v>
      </c>
      <c r="S12" s="89" t="s">
        <v>976</v>
      </c>
    </row>
    <row r="13" spans="1:19" ht="30.1" customHeight="1" x14ac:dyDescent="0.25">
      <c r="A13" s="915">
        <v>7</v>
      </c>
      <c r="B13" s="927" t="s">
        <v>702</v>
      </c>
      <c r="C13" s="918" t="s">
        <v>703</v>
      </c>
      <c r="D13" s="918" t="s">
        <v>371</v>
      </c>
      <c r="E13" s="921">
        <v>1138083910</v>
      </c>
      <c r="F13" s="378" t="s">
        <v>378</v>
      </c>
      <c r="G13" s="918" t="s">
        <v>704</v>
      </c>
      <c r="H13" s="389" t="s">
        <v>20</v>
      </c>
      <c r="I13" s="918" t="s">
        <v>701</v>
      </c>
      <c r="J13" s="918">
        <v>3108284745</v>
      </c>
      <c r="K13" s="912">
        <v>43420</v>
      </c>
      <c r="L13" s="912">
        <v>43423</v>
      </c>
      <c r="M13" s="912">
        <v>43603</v>
      </c>
      <c r="N13" s="89">
        <v>12</v>
      </c>
      <c r="O13" s="89" t="s">
        <v>4</v>
      </c>
      <c r="P13" s="89">
        <v>72</v>
      </c>
      <c r="Q13" s="89" t="s">
        <v>6</v>
      </c>
      <c r="R13" s="89"/>
      <c r="S13" s="90"/>
    </row>
    <row r="14" spans="1:19" ht="30.1" customHeight="1" x14ac:dyDescent="0.25">
      <c r="A14" s="916"/>
      <c r="B14" s="929"/>
      <c r="C14" s="919"/>
      <c r="D14" s="919"/>
      <c r="E14" s="922"/>
      <c r="F14" s="378" t="s">
        <v>378</v>
      </c>
      <c r="G14" s="919"/>
      <c r="H14" s="389" t="s">
        <v>20</v>
      </c>
      <c r="I14" s="919"/>
      <c r="J14" s="919"/>
      <c r="K14" s="913"/>
      <c r="L14" s="913"/>
      <c r="M14" s="913"/>
      <c r="N14" s="89">
        <v>12</v>
      </c>
      <c r="O14" s="89" t="s">
        <v>226</v>
      </c>
      <c r="P14" s="89">
        <v>72</v>
      </c>
      <c r="Q14" s="89" t="s">
        <v>679</v>
      </c>
      <c r="R14" s="89" t="s">
        <v>1650</v>
      </c>
      <c r="S14" s="90"/>
    </row>
    <row r="15" spans="1:19" ht="30.1" customHeight="1" x14ac:dyDescent="0.25">
      <c r="A15" s="917"/>
      <c r="B15" s="928"/>
      <c r="C15" s="920"/>
      <c r="D15" s="920"/>
      <c r="E15" s="923"/>
      <c r="F15" s="378" t="s">
        <v>378</v>
      </c>
      <c r="G15" s="920"/>
      <c r="H15" s="389" t="s">
        <v>20</v>
      </c>
      <c r="I15" s="920"/>
      <c r="J15" s="920"/>
      <c r="K15" s="914"/>
      <c r="L15" s="914"/>
      <c r="M15" s="914"/>
      <c r="N15" s="89">
        <v>12</v>
      </c>
      <c r="O15" s="89" t="s">
        <v>8</v>
      </c>
      <c r="P15" s="89">
        <v>72</v>
      </c>
      <c r="Q15" s="89" t="s">
        <v>390</v>
      </c>
      <c r="R15" s="89"/>
      <c r="S15" s="90"/>
    </row>
    <row r="16" spans="1:19" ht="30.1" customHeight="1" x14ac:dyDescent="0.25">
      <c r="A16" s="915">
        <v>8</v>
      </c>
      <c r="B16" s="927" t="s">
        <v>705</v>
      </c>
      <c r="C16" s="918" t="s">
        <v>706</v>
      </c>
      <c r="D16" s="918" t="s">
        <v>361</v>
      </c>
      <c r="E16" s="921">
        <v>6661737</v>
      </c>
      <c r="F16" s="378" t="s">
        <v>378</v>
      </c>
      <c r="G16" s="918" t="s">
        <v>520</v>
      </c>
      <c r="H16" s="389" t="s">
        <v>20</v>
      </c>
      <c r="I16" s="918" t="s">
        <v>707</v>
      </c>
      <c r="J16" s="918">
        <v>3145171319</v>
      </c>
      <c r="K16" s="912">
        <v>43469</v>
      </c>
      <c r="L16" s="912">
        <v>43473</v>
      </c>
      <c r="M16" s="912">
        <v>43562</v>
      </c>
      <c r="N16" s="207">
        <v>12</v>
      </c>
      <c r="O16" s="207" t="s">
        <v>4</v>
      </c>
      <c r="P16" s="207">
        <v>36</v>
      </c>
      <c r="Q16" s="207" t="s">
        <v>6</v>
      </c>
      <c r="R16" s="918" t="s">
        <v>839</v>
      </c>
      <c r="S16" s="945" t="s">
        <v>1066</v>
      </c>
    </row>
    <row r="17" spans="1:19" ht="30.1" customHeight="1" x14ac:dyDescent="0.25">
      <c r="A17" s="917"/>
      <c r="B17" s="928"/>
      <c r="C17" s="920"/>
      <c r="D17" s="920"/>
      <c r="E17" s="923"/>
      <c r="F17" s="378" t="s">
        <v>378</v>
      </c>
      <c r="G17" s="920"/>
      <c r="H17" s="389" t="s">
        <v>20</v>
      </c>
      <c r="I17" s="920"/>
      <c r="J17" s="920"/>
      <c r="K17" s="914"/>
      <c r="L17" s="914"/>
      <c r="M17" s="914"/>
      <c r="N17" s="89">
        <v>12</v>
      </c>
      <c r="O17" s="89" t="s">
        <v>226</v>
      </c>
      <c r="P17" s="89">
        <v>36</v>
      </c>
      <c r="Q17" s="89" t="s">
        <v>679</v>
      </c>
      <c r="R17" s="920"/>
      <c r="S17" s="946"/>
    </row>
    <row r="18" spans="1:19" ht="30.1" customHeight="1" x14ac:dyDescent="0.25">
      <c r="A18" s="92">
        <v>9</v>
      </c>
      <c r="B18" s="89" t="s">
        <v>708</v>
      </c>
      <c r="C18" s="89" t="s">
        <v>709</v>
      </c>
      <c r="D18" s="89" t="s">
        <v>361</v>
      </c>
      <c r="E18" s="93">
        <v>2809762</v>
      </c>
      <c r="F18" s="380" t="s">
        <v>378</v>
      </c>
      <c r="G18" s="89" t="s">
        <v>571</v>
      </c>
      <c r="H18" s="391" t="s">
        <v>684</v>
      </c>
      <c r="I18" s="89" t="s">
        <v>686</v>
      </c>
      <c r="J18" s="89" t="s">
        <v>710</v>
      </c>
      <c r="K18" s="94">
        <v>43427</v>
      </c>
      <c r="L18" s="94">
        <v>43430</v>
      </c>
      <c r="M18" s="94">
        <v>43549</v>
      </c>
      <c r="N18" s="89">
        <v>12</v>
      </c>
      <c r="O18" s="89" t="s">
        <v>4</v>
      </c>
      <c r="P18" s="89">
        <v>48</v>
      </c>
      <c r="Q18" s="89" t="s">
        <v>685</v>
      </c>
      <c r="R18" s="89">
        <v>0</v>
      </c>
      <c r="S18" s="90"/>
    </row>
    <row r="19" spans="1:19" ht="30.1" customHeight="1" x14ac:dyDescent="0.25">
      <c r="A19" s="915">
        <v>10</v>
      </c>
      <c r="B19" s="918" t="s">
        <v>888</v>
      </c>
      <c r="C19" s="918" t="s">
        <v>889</v>
      </c>
      <c r="D19" s="918" t="s">
        <v>361</v>
      </c>
      <c r="E19" s="921">
        <v>1063140920</v>
      </c>
      <c r="F19" s="378" t="s">
        <v>362</v>
      </c>
      <c r="G19" s="243"/>
      <c r="H19" s="389" t="s">
        <v>21</v>
      </c>
      <c r="I19" s="918" t="s">
        <v>890</v>
      </c>
      <c r="J19" s="918" t="s">
        <v>891</v>
      </c>
      <c r="K19" s="912">
        <v>43480</v>
      </c>
      <c r="L19" s="912">
        <v>43481</v>
      </c>
      <c r="M19" s="912">
        <v>43600</v>
      </c>
      <c r="N19" s="246">
        <v>20</v>
      </c>
      <c r="O19" s="246" t="s">
        <v>4</v>
      </c>
      <c r="P19" s="246">
        <v>80</v>
      </c>
      <c r="Q19" s="246" t="s">
        <v>586</v>
      </c>
      <c r="R19" s="918" t="s">
        <v>892</v>
      </c>
      <c r="S19" s="90"/>
    </row>
    <row r="20" spans="1:19" ht="30.1" customHeight="1" x14ac:dyDescent="0.25">
      <c r="A20" s="916"/>
      <c r="B20" s="919"/>
      <c r="C20" s="919"/>
      <c r="D20" s="919"/>
      <c r="E20" s="922"/>
      <c r="F20" s="378" t="s">
        <v>362</v>
      </c>
      <c r="G20" s="245"/>
      <c r="H20" s="389" t="s">
        <v>21</v>
      </c>
      <c r="I20" s="919"/>
      <c r="J20" s="919"/>
      <c r="K20" s="913"/>
      <c r="L20" s="913"/>
      <c r="M20" s="913"/>
      <c r="N20" s="246">
        <v>20</v>
      </c>
      <c r="O20" s="246" t="s">
        <v>8</v>
      </c>
      <c r="P20" s="246">
        <v>80</v>
      </c>
      <c r="Q20" s="246" t="s">
        <v>232</v>
      </c>
      <c r="R20" s="919"/>
      <c r="S20" s="90"/>
    </row>
    <row r="21" spans="1:19" ht="30.1" customHeight="1" x14ac:dyDescent="0.25">
      <c r="A21" s="917"/>
      <c r="B21" s="920"/>
      <c r="C21" s="920"/>
      <c r="D21" s="920"/>
      <c r="E21" s="923"/>
      <c r="F21" s="378" t="s">
        <v>362</v>
      </c>
      <c r="G21" s="244"/>
      <c r="H21" s="389" t="s">
        <v>21</v>
      </c>
      <c r="I21" s="920"/>
      <c r="J21" s="920"/>
      <c r="K21" s="914"/>
      <c r="L21" s="914"/>
      <c r="M21" s="914"/>
      <c r="N21" s="246">
        <v>12</v>
      </c>
      <c r="O21" s="246" t="s">
        <v>226</v>
      </c>
      <c r="P21" s="246">
        <v>48</v>
      </c>
      <c r="Q21" s="246" t="s">
        <v>397</v>
      </c>
      <c r="R21" s="920"/>
      <c r="S21" s="90"/>
    </row>
    <row r="22" spans="1:19" ht="30.1" customHeight="1" x14ac:dyDescent="0.25">
      <c r="A22" s="356">
        <v>11</v>
      </c>
      <c r="B22" s="343" t="s">
        <v>934</v>
      </c>
      <c r="C22" s="343" t="s">
        <v>935</v>
      </c>
      <c r="D22" s="343" t="s">
        <v>361</v>
      </c>
      <c r="E22" s="386">
        <v>15047735</v>
      </c>
      <c r="F22" s="343" t="s">
        <v>362</v>
      </c>
      <c r="G22" s="370" t="s">
        <v>936</v>
      </c>
      <c r="H22" s="343" t="s">
        <v>244</v>
      </c>
      <c r="I22" s="343" t="s">
        <v>937</v>
      </c>
      <c r="J22" s="343" t="s">
        <v>938</v>
      </c>
      <c r="K22" s="387">
        <v>43430</v>
      </c>
      <c r="L22" s="387">
        <v>43431</v>
      </c>
      <c r="M22" s="387">
        <v>43542</v>
      </c>
      <c r="N22" s="343">
        <v>20</v>
      </c>
      <c r="O22" s="343" t="s">
        <v>4</v>
      </c>
      <c r="P22" s="343">
        <v>20</v>
      </c>
      <c r="Q22" s="343" t="s">
        <v>939</v>
      </c>
      <c r="R22" s="343"/>
      <c r="S22" s="388" t="s">
        <v>1020</v>
      </c>
    </row>
    <row r="23" spans="1:19" ht="30.1" customHeight="1" x14ac:dyDescent="0.25">
      <c r="A23" s="915">
        <v>12</v>
      </c>
      <c r="B23" s="918" t="s">
        <v>1173</v>
      </c>
      <c r="C23" s="918" t="s">
        <v>1174</v>
      </c>
      <c r="D23" s="918" t="s">
        <v>361</v>
      </c>
      <c r="E23" s="921">
        <v>26023342</v>
      </c>
      <c r="F23" s="453" t="s">
        <v>1084</v>
      </c>
      <c r="G23" s="918" t="s">
        <v>520</v>
      </c>
      <c r="H23" s="453" t="s">
        <v>20</v>
      </c>
      <c r="I23" s="918" t="s">
        <v>1175</v>
      </c>
      <c r="J23" s="918" t="s">
        <v>1176</v>
      </c>
      <c r="K23" s="912">
        <v>43438</v>
      </c>
      <c r="L23" s="912">
        <v>43438</v>
      </c>
      <c r="M23" s="912">
        <v>43615</v>
      </c>
      <c r="N23" s="391">
        <v>20</v>
      </c>
      <c r="O23" s="391" t="s">
        <v>4</v>
      </c>
      <c r="P23" s="391">
        <v>120</v>
      </c>
      <c r="Q23" s="391" t="s">
        <v>6</v>
      </c>
      <c r="R23" s="918" t="s">
        <v>1177</v>
      </c>
      <c r="S23" s="924" t="s">
        <v>1178</v>
      </c>
    </row>
    <row r="24" spans="1:19" ht="30.1" customHeight="1" x14ac:dyDescent="0.25">
      <c r="A24" s="916"/>
      <c r="B24" s="919"/>
      <c r="C24" s="919"/>
      <c r="D24" s="919"/>
      <c r="E24" s="922"/>
      <c r="F24" s="453" t="s">
        <v>1084</v>
      </c>
      <c r="G24" s="919"/>
      <c r="H24" s="453" t="s">
        <v>20</v>
      </c>
      <c r="I24" s="919"/>
      <c r="J24" s="919"/>
      <c r="K24" s="913"/>
      <c r="L24" s="913"/>
      <c r="M24" s="913"/>
      <c r="N24" s="391">
        <v>20</v>
      </c>
      <c r="O24" s="391" t="s">
        <v>8</v>
      </c>
      <c r="P24" s="391">
        <v>120</v>
      </c>
      <c r="Q24" s="391" t="s">
        <v>390</v>
      </c>
      <c r="R24" s="919"/>
      <c r="S24" s="925"/>
    </row>
    <row r="25" spans="1:19" ht="30.1" customHeight="1" x14ac:dyDescent="0.25">
      <c r="A25" s="917"/>
      <c r="B25" s="920"/>
      <c r="C25" s="920"/>
      <c r="D25" s="920"/>
      <c r="E25" s="923"/>
      <c r="F25" s="453" t="s">
        <v>1084</v>
      </c>
      <c r="G25" s="920"/>
      <c r="H25" s="453" t="s">
        <v>20</v>
      </c>
      <c r="I25" s="920"/>
      <c r="J25" s="920"/>
      <c r="K25" s="914"/>
      <c r="L25" s="914"/>
      <c r="M25" s="914"/>
      <c r="N25" s="391">
        <v>20</v>
      </c>
      <c r="O25" s="391" t="s">
        <v>226</v>
      </c>
      <c r="P25" s="391">
        <v>120</v>
      </c>
      <c r="Q25" s="391" t="s">
        <v>679</v>
      </c>
      <c r="R25" s="920"/>
      <c r="S25" s="926"/>
    </row>
    <row r="26" spans="1:19" ht="30.1" customHeight="1" x14ac:dyDescent="0.25">
      <c r="A26" s="956">
        <v>13</v>
      </c>
      <c r="B26" s="954" t="s">
        <v>1179</v>
      </c>
      <c r="C26" s="954" t="s">
        <v>1180</v>
      </c>
      <c r="D26" s="954" t="s">
        <v>361</v>
      </c>
      <c r="E26" s="958">
        <v>33166064</v>
      </c>
      <c r="F26" s="751" t="s">
        <v>1084</v>
      </c>
      <c r="G26" s="954" t="s">
        <v>1181</v>
      </c>
      <c r="H26" s="751" t="s">
        <v>9</v>
      </c>
      <c r="I26" s="954" t="s">
        <v>1182</v>
      </c>
      <c r="J26" s="954" t="s">
        <v>1183</v>
      </c>
      <c r="K26" s="952">
        <v>43470</v>
      </c>
      <c r="L26" s="952">
        <v>43473</v>
      </c>
      <c r="M26" s="952">
        <v>43554</v>
      </c>
      <c r="N26" s="752">
        <v>12</v>
      </c>
      <c r="O26" s="752" t="s">
        <v>4</v>
      </c>
      <c r="P26" s="752">
        <v>36</v>
      </c>
      <c r="Q26" s="752" t="s">
        <v>7</v>
      </c>
      <c r="R26" s="753"/>
      <c r="S26" s="950" t="s">
        <v>1473</v>
      </c>
    </row>
    <row r="27" spans="1:19" ht="30.1" customHeight="1" x14ac:dyDescent="0.25">
      <c r="A27" s="957"/>
      <c r="B27" s="955"/>
      <c r="C27" s="955"/>
      <c r="D27" s="955"/>
      <c r="E27" s="959"/>
      <c r="F27" s="751" t="s">
        <v>1084</v>
      </c>
      <c r="G27" s="955"/>
      <c r="H27" s="751" t="s">
        <v>9</v>
      </c>
      <c r="I27" s="955"/>
      <c r="J27" s="955"/>
      <c r="K27" s="953"/>
      <c r="L27" s="953"/>
      <c r="M27" s="953"/>
      <c r="N27" s="752">
        <v>12</v>
      </c>
      <c r="O27" s="752" t="s">
        <v>226</v>
      </c>
      <c r="P27" s="752">
        <v>36</v>
      </c>
      <c r="Q27" s="752" t="s">
        <v>726</v>
      </c>
      <c r="R27" s="752"/>
      <c r="S27" s="951"/>
    </row>
    <row r="28" spans="1:19" s="91" customFormat="1" ht="35.35" customHeight="1" x14ac:dyDescent="0.25">
      <c r="A28" s="300">
        <v>14</v>
      </c>
      <c r="B28" s="391" t="s">
        <v>1184</v>
      </c>
      <c r="C28" s="391" t="s">
        <v>1185</v>
      </c>
      <c r="D28" s="391" t="s">
        <v>361</v>
      </c>
      <c r="E28" s="93">
        <v>34970856</v>
      </c>
      <c r="F28" s="391" t="s">
        <v>1084</v>
      </c>
      <c r="G28" s="391" t="s">
        <v>520</v>
      </c>
      <c r="H28" s="391" t="s">
        <v>9</v>
      </c>
      <c r="I28" s="391" t="s">
        <v>1186</v>
      </c>
      <c r="J28" s="391" t="s">
        <v>1187</v>
      </c>
      <c r="K28" s="301">
        <v>43525</v>
      </c>
      <c r="L28" s="301">
        <v>43525</v>
      </c>
      <c r="M28" s="301">
        <v>43539</v>
      </c>
      <c r="N28" s="391">
        <v>15</v>
      </c>
      <c r="O28" s="391" t="s">
        <v>4</v>
      </c>
      <c r="P28" s="391">
        <v>15</v>
      </c>
      <c r="Q28" s="391" t="s">
        <v>7</v>
      </c>
      <c r="R28" s="354" t="s">
        <v>1248</v>
      </c>
      <c r="S28" s="90"/>
    </row>
    <row r="29" spans="1:19" ht="30.1" customHeight="1" x14ac:dyDescent="0.25">
      <c r="A29" s="187">
        <v>15</v>
      </c>
      <c r="B29" s="188" t="s">
        <v>1235</v>
      </c>
      <c r="C29" s="188" t="s">
        <v>1236</v>
      </c>
      <c r="D29" s="188" t="s">
        <v>361</v>
      </c>
      <c r="E29" s="93">
        <v>78250092</v>
      </c>
      <c r="F29" s="380" t="s">
        <v>378</v>
      </c>
      <c r="G29" s="188" t="s">
        <v>1237</v>
      </c>
      <c r="H29" s="391" t="s">
        <v>821</v>
      </c>
      <c r="I29" s="188" t="s">
        <v>1238</v>
      </c>
      <c r="J29" s="188">
        <v>3209872611</v>
      </c>
      <c r="K29" s="189">
        <v>43528</v>
      </c>
      <c r="L29" s="189">
        <v>43529</v>
      </c>
      <c r="M29" s="189">
        <v>43620</v>
      </c>
      <c r="N29" s="188">
        <v>20</v>
      </c>
      <c r="O29" s="188" t="s">
        <v>4</v>
      </c>
      <c r="P29" s="188">
        <v>60</v>
      </c>
      <c r="Q29" s="188" t="s">
        <v>822</v>
      </c>
      <c r="R29" s="188"/>
      <c r="S29" s="90"/>
    </row>
    <row r="30" spans="1:19" ht="30.1" customHeight="1" x14ac:dyDescent="0.25">
      <c r="A30" s="915">
        <v>16</v>
      </c>
      <c r="B30" s="918" t="s">
        <v>1292</v>
      </c>
      <c r="C30" s="918" t="s">
        <v>1293</v>
      </c>
      <c r="D30" s="918" t="s">
        <v>361</v>
      </c>
      <c r="E30" s="921">
        <v>50955422</v>
      </c>
      <c r="F30" s="380" t="s">
        <v>1084</v>
      </c>
      <c r="G30" s="918" t="s">
        <v>536</v>
      </c>
      <c r="H30" s="391" t="s">
        <v>9</v>
      </c>
      <c r="I30" s="918" t="s">
        <v>1294</v>
      </c>
      <c r="J30" s="918">
        <v>3124502273</v>
      </c>
      <c r="K30" s="912">
        <v>43530</v>
      </c>
      <c r="L30" s="912">
        <v>43531</v>
      </c>
      <c r="M30" s="912">
        <v>43555</v>
      </c>
      <c r="N30" s="188">
        <v>12</v>
      </c>
      <c r="O30" s="188" t="s">
        <v>4</v>
      </c>
      <c r="P30" s="188">
        <v>12</v>
      </c>
      <c r="Q30" s="188" t="s">
        <v>7</v>
      </c>
      <c r="R30" s="188"/>
      <c r="S30" s="90"/>
    </row>
    <row r="31" spans="1:19" ht="30.1" customHeight="1" x14ac:dyDescent="0.25">
      <c r="A31" s="916"/>
      <c r="B31" s="919"/>
      <c r="C31" s="919"/>
      <c r="D31" s="919"/>
      <c r="E31" s="922"/>
      <c r="F31" s="380" t="s">
        <v>1084</v>
      </c>
      <c r="G31" s="919"/>
      <c r="H31" s="391" t="s">
        <v>9</v>
      </c>
      <c r="I31" s="919"/>
      <c r="J31" s="919"/>
      <c r="K31" s="913"/>
      <c r="L31" s="913"/>
      <c r="M31" s="913"/>
      <c r="N31" s="188">
        <v>12</v>
      </c>
      <c r="O31" s="188" t="s">
        <v>8</v>
      </c>
      <c r="P31" s="188">
        <v>12</v>
      </c>
      <c r="Q31" s="188" t="s">
        <v>398</v>
      </c>
      <c r="R31" s="188"/>
      <c r="S31" s="90"/>
    </row>
    <row r="32" spans="1:19" ht="30.1" customHeight="1" x14ac:dyDescent="0.25">
      <c r="A32" s="917"/>
      <c r="B32" s="920"/>
      <c r="C32" s="920"/>
      <c r="D32" s="920"/>
      <c r="E32" s="923"/>
      <c r="F32" s="380" t="s">
        <v>1084</v>
      </c>
      <c r="G32" s="920"/>
      <c r="H32" s="391" t="s">
        <v>9</v>
      </c>
      <c r="I32" s="920"/>
      <c r="J32" s="920"/>
      <c r="K32" s="914"/>
      <c r="L32" s="914"/>
      <c r="M32" s="914"/>
      <c r="N32" s="188">
        <v>12</v>
      </c>
      <c r="O32" s="188" t="s">
        <v>226</v>
      </c>
      <c r="P32" s="188">
        <v>12</v>
      </c>
      <c r="Q32" s="188" t="s">
        <v>45</v>
      </c>
      <c r="R32" s="188"/>
      <c r="S32" s="90"/>
    </row>
    <row r="33" spans="1:19" ht="30.1" customHeight="1" x14ac:dyDescent="0.25">
      <c r="A33" s="187">
        <v>17</v>
      </c>
      <c r="B33" s="877" t="s">
        <v>1398</v>
      </c>
      <c r="C33" s="188" t="s">
        <v>1399</v>
      </c>
      <c r="D33" s="188" t="s">
        <v>361</v>
      </c>
      <c r="E33" s="93">
        <v>11171736</v>
      </c>
      <c r="F33" s="380" t="s">
        <v>378</v>
      </c>
      <c r="G33" s="188" t="s">
        <v>1400</v>
      </c>
      <c r="H33" s="391" t="s">
        <v>379</v>
      </c>
      <c r="I33" s="188" t="s">
        <v>1401</v>
      </c>
      <c r="J33" s="188">
        <v>3126526117</v>
      </c>
      <c r="K33" s="189">
        <v>43531</v>
      </c>
      <c r="L33" s="189">
        <v>43532</v>
      </c>
      <c r="M33" s="189">
        <v>43555</v>
      </c>
      <c r="N33" s="188">
        <v>20</v>
      </c>
      <c r="O33" s="188" t="s">
        <v>4</v>
      </c>
      <c r="P33" s="188">
        <v>20</v>
      </c>
      <c r="Q33" s="188" t="s">
        <v>219</v>
      </c>
      <c r="R33" s="188"/>
      <c r="S33" s="90"/>
    </row>
    <row r="34" spans="1:19" ht="30.1" customHeight="1" x14ac:dyDescent="0.25">
      <c r="A34" s="915">
        <v>18</v>
      </c>
      <c r="B34" s="918" t="s">
        <v>1402</v>
      </c>
      <c r="C34" s="918" t="s">
        <v>1403</v>
      </c>
      <c r="D34" s="918" t="s">
        <v>361</v>
      </c>
      <c r="E34" s="921">
        <v>9305275</v>
      </c>
      <c r="F34" s="380" t="s">
        <v>1084</v>
      </c>
      <c r="G34" s="918" t="s">
        <v>529</v>
      </c>
      <c r="H34" s="391" t="s">
        <v>9</v>
      </c>
      <c r="I34" s="918" t="s">
        <v>1404</v>
      </c>
      <c r="J34" s="918">
        <v>3017463396</v>
      </c>
      <c r="K34" s="912">
        <v>43531</v>
      </c>
      <c r="L34" s="912">
        <v>43531</v>
      </c>
      <c r="M34" s="912">
        <v>43555</v>
      </c>
      <c r="N34" s="188">
        <v>20</v>
      </c>
      <c r="O34" s="188" t="s">
        <v>4</v>
      </c>
      <c r="P34" s="188">
        <v>20</v>
      </c>
      <c r="Q34" s="188" t="s">
        <v>823</v>
      </c>
      <c r="R34" s="188"/>
      <c r="S34" s="90"/>
    </row>
    <row r="35" spans="1:19" ht="30.1" customHeight="1" x14ac:dyDescent="0.25">
      <c r="A35" s="917"/>
      <c r="B35" s="920"/>
      <c r="C35" s="920"/>
      <c r="D35" s="920"/>
      <c r="E35" s="923"/>
      <c r="F35" s="391" t="s">
        <v>1084</v>
      </c>
      <c r="G35" s="920"/>
      <c r="H35" s="391" t="s">
        <v>9</v>
      </c>
      <c r="I35" s="920"/>
      <c r="J35" s="920"/>
      <c r="K35" s="914"/>
      <c r="L35" s="914"/>
      <c r="M35" s="914"/>
      <c r="N35" s="188">
        <v>15</v>
      </c>
      <c r="O35" s="188" t="s">
        <v>5</v>
      </c>
      <c r="P35" s="188">
        <v>15</v>
      </c>
      <c r="Q35" s="188" t="s">
        <v>7</v>
      </c>
      <c r="R35" s="188"/>
      <c r="S35" s="90"/>
    </row>
    <row r="36" spans="1:19" ht="30.1" customHeight="1" x14ac:dyDescent="0.25">
      <c r="A36" s="300">
        <v>19</v>
      </c>
      <c r="B36" s="391" t="s">
        <v>1421</v>
      </c>
      <c r="C36" s="391" t="s">
        <v>1422</v>
      </c>
      <c r="D36" s="391" t="s">
        <v>361</v>
      </c>
      <c r="E36" s="93">
        <v>25975119</v>
      </c>
      <c r="F36" s="391" t="s">
        <v>362</v>
      </c>
      <c r="G36" s="391" t="s">
        <v>529</v>
      </c>
      <c r="H36" s="391" t="s">
        <v>21</v>
      </c>
      <c r="I36" s="391" t="s">
        <v>1423</v>
      </c>
      <c r="J36" s="391">
        <v>3106943685</v>
      </c>
      <c r="K36" s="301">
        <v>43532</v>
      </c>
      <c r="L36" s="301">
        <v>43532</v>
      </c>
      <c r="M36" s="301">
        <v>43616</v>
      </c>
      <c r="N36" s="391">
        <v>12</v>
      </c>
      <c r="O36" s="391" t="s">
        <v>4</v>
      </c>
      <c r="P36" s="391">
        <v>36</v>
      </c>
      <c r="Q36" s="391" t="s">
        <v>586</v>
      </c>
      <c r="R36" s="391" t="s">
        <v>839</v>
      </c>
      <c r="S36" s="90"/>
    </row>
    <row r="37" spans="1:19" ht="30.1" customHeight="1" x14ac:dyDescent="0.25">
      <c r="A37" s="187">
        <v>20</v>
      </c>
      <c r="B37" s="188" t="s">
        <v>1455</v>
      </c>
      <c r="C37" s="188" t="s">
        <v>1456</v>
      </c>
      <c r="D37" s="188" t="s">
        <v>361</v>
      </c>
      <c r="E37" s="93">
        <v>26171121</v>
      </c>
      <c r="F37" s="380" t="s">
        <v>362</v>
      </c>
      <c r="G37" s="188" t="s">
        <v>1210</v>
      </c>
      <c r="H37" s="391" t="s">
        <v>9</v>
      </c>
      <c r="I37" s="188" t="s">
        <v>1457</v>
      </c>
      <c r="J37" s="188">
        <v>3143644420</v>
      </c>
      <c r="K37" s="189">
        <v>43535</v>
      </c>
      <c r="L37" s="189">
        <v>43535</v>
      </c>
      <c r="M37" s="189">
        <v>43540</v>
      </c>
      <c r="N37" s="188">
        <v>30</v>
      </c>
      <c r="O37" s="188" t="s">
        <v>5</v>
      </c>
      <c r="P37" s="188">
        <v>30</v>
      </c>
      <c r="Q37" s="188" t="s">
        <v>7</v>
      </c>
      <c r="R37" s="391" t="s">
        <v>1458</v>
      </c>
      <c r="S37" s="90"/>
    </row>
    <row r="38" spans="1:19" ht="42.8" customHeight="1" x14ac:dyDescent="0.25">
      <c r="A38" s="371">
        <v>21</v>
      </c>
      <c r="B38" s="372" t="s">
        <v>396</v>
      </c>
      <c r="C38" s="372" t="s">
        <v>395</v>
      </c>
      <c r="D38" s="372" t="s">
        <v>361</v>
      </c>
      <c r="E38" s="689">
        <v>25908304</v>
      </c>
      <c r="F38" s="372" t="s">
        <v>378</v>
      </c>
      <c r="G38" s="372" t="s">
        <v>533</v>
      </c>
      <c r="H38" s="372" t="s">
        <v>114</v>
      </c>
      <c r="I38" s="372" t="s">
        <v>1466</v>
      </c>
      <c r="J38" s="690" t="s">
        <v>1467</v>
      </c>
      <c r="K38" s="373"/>
      <c r="L38" s="373">
        <v>43508</v>
      </c>
      <c r="M38" s="373">
        <v>43688</v>
      </c>
      <c r="N38" s="690">
        <v>16</v>
      </c>
      <c r="O38" s="373" t="s">
        <v>4</v>
      </c>
      <c r="P38" s="372"/>
      <c r="Q38" s="372" t="s">
        <v>394</v>
      </c>
      <c r="R38" s="372" t="s">
        <v>1023</v>
      </c>
      <c r="S38" s="691" t="s">
        <v>1505</v>
      </c>
    </row>
    <row r="39" spans="1:19" ht="30.1" customHeight="1" x14ac:dyDescent="0.25">
      <c r="A39" s="187">
        <v>22</v>
      </c>
      <c r="B39" s="188" t="s">
        <v>1469</v>
      </c>
      <c r="C39" s="188" t="s">
        <v>1470</v>
      </c>
      <c r="D39" s="188" t="s">
        <v>361</v>
      </c>
      <c r="E39" s="93">
        <v>32270528</v>
      </c>
      <c r="F39" s="380" t="s">
        <v>378</v>
      </c>
      <c r="G39" s="188" t="s">
        <v>533</v>
      </c>
      <c r="H39" s="391" t="s">
        <v>20</v>
      </c>
      <c r="I39" s="188" t="s">
        <v>1471</v>
      </c>
      <c r="J39" s="698" t="s">
        <v>1472</v>
      </c>
      <c r="K39" s="189">
        <v>43536</v>
      </c>
      <c r="L39" s="189">
        <v>43537</v>
      </c>
      <c r="M39" s="189">
        <v>43568</v>
      </c>
      <c r="N39" s="188">
        <v>30</v>
      </c>
      <c r="O39" s="188" t="s">
        <v>4</v>
      </c>
      <c r="P39" s="188">
        <v>30</v>
      </c>
      <c r="Q39" s="188" t="s">
        <v>6</v>
      </c>
      <c r="R39" s="188"/>
      <c r="S39" s="90"/>
    </row>
    <row r="40" spans="1:19" ht="30.1" customHeight="1" x14ac:dyDescent="0.25">
      <c r="A40" s="187">
        <v>23</v>
      </c>
      <c r="B40" s="188" t="s">
        <v>1481</v>
      </c>
      <c r="C40" s="188" t="s">
        <v>496</v>
      </c>
      <c r="D40" s="188" t="s">
        <v>361</v>
      </c>
      <c r="E40" s="93">
        <v>50869963</v>
      </c>
      <c r="F40" s="380" t="s">
        <v>362</v>
      </c>
      <c r="G40" s="188" t="s">
        <v>1220</v>
      </c>
      <c r="H40" s="391" t="s">
        <v>20</v>
      </c>
      <c r="I40" s="188" t="s">
        <v>1482</v>
      </c>
      <c r="J40" s="188" t="s">
        <v>1483</v>
      </c>
      <c r="K40" s="189">
        <v>43538</v>
      </c>
      <c r="L40" s="189">
        <v>43538</v>
      </c>
      <c r="M40" s="189">
        <v>43545</v>
      </c>
      <c r="N40" s="188">
        <v>12</v>
      </c>
      <c r="O40" s="188" t="s">
        <v>5</v>
      </c>
      <c r="P40" s="188">
        <v>12</v>
      </c>
      <c r="Q40" s="188" t="s">
        <v>6</v>
      </c>
      <c r="R40" s="188" t="s">
        <v>1484</v>
      </c>
      <c r="S40" s="90"/>
    </row>
    <row r="41" spans="1:19" ht="30.1" customHeight="1" x14ac:dyDescent="0.25">
      <c r="A41" s="187">
        <v>24</v>
      </c>
      <c r="B41" s="188" t="s">
        <v>1513</v>
      </c>
      <c r="C41" s="188" t="s">
        <v>1514</v>
      </c>
      <c r="D41" s="188" t="s">
        <v>361</v>
      </c>
      <c r="E41" s="93">
        <v>26004098</v>
      </c>
      <c r="F41" s="380" t="s">
        <v>362</v>
      </c>
      <c r="G41" s="188"/>
      <c r="H41" s="391" t="s">
        <v>1515</v>
      </c>
      <c r="I41" s="188" t="s">
        <v>1516</v>
      </c>
      <c r="J41" s="188">
        <v>3045612274</v>
      </c>
      <c r="K41" s="189">
        <v>43539</v>
      </c>
      <c r="L41" s="189">
        <v>43539</v>
      </c>
      <c r="M41" s="189">
        <v>43549</v>
      </c>
      <c r="N41" s="188">
        <v>10</v>
      </c>
      <c r="O41" s="188" t="s">
        <v>5</v>
      </c>
      <c r="P41" s="188">
        <v>10</v>
      </c>
      <c r="Q41" s="188" t="s">
        <v>18</v>
      </c>
      <c r="R41" s="188" t="s">
        <v>1517</v>
      </c>
      <c r="S41" s="90"/>
    </row>
    <row r="42" spans="1:19" ht="30.1" customHeight="1" x14ac:dyDescent="0.25">
      <c r="A42" s="915">
        <v>25</v>
      </c>
      <c r="B42" s="918" t="s">
        <v>1540</v>
      </c>
      <c r="C42" s="918" t="s">
        <v>1541</v>
      </c>
      <c r="D42" s="918" t="s">
        <v>361</v>
      </c>
      <c r="E42" s="921">
        <v>25852297</v>
      </c>
      <c r="F42" s="852" t="s">
        <v>378</v>
      </c>
      <c r="G42" s="918" t="s">
        <v>533</v>
      </c>
      <c r="H42" s="852" t="s">
        <v>99</v>
      </c>
      <c r="I42" s="918" t="s">
        <v>1542</v>
      </c>
      <c r="J42" s="918" t="s">
        <v>1543</v>
      </c>
      <c r="K42" s="912">
        <v>43542</v>
      </c>
      <c r="L42" s="912">
        <v>43543</v>
      </c>
      <c r="M42" s="912">
        <v>43634</v>
      </c>
      <c r="N42" s="188">
        <v>12</v>
      </c>
      <c r="O42" s="188" t="s">
        <v>4</v>
      </c>
      <c r="P42" s="188">
        <v>36</v>
      </c>
      <c r="Q42" s="188" t="s">
        <v>1544</v>
      </c>
      <c r="R42" s="918" t="s">
        <v>1545</v>
      </c>
      <c r="S42" s="90"/>
    </row>
    <row r="43" spans="1:19" ht="30.1" customHeight="1" x14ac:dyDescent="0.25">
      <c r="A43" s="916"/>
      <c r="B43" s="919"/>
      <c r="C43" s="919"/>
      <c r="D43" s="919"/>
      <c r="E43" s="922"/>
      <c r="F43" s="852" t="s">
        <v>378</v>
      </c>
      <c r="G43" s="919"/>
      <c r="H43" s="852" t="s">
        <v>99</v>
      </c>
      <c r="I43" s="919"/>
      <c r="J43" s="919"/>
      <c r="K43" s="913"/>
      <c r="L43" s="913"/>
      <c r="M43" s="913"/>
      <c r="N43" s="391">
        <v>12</v>
      </c>
      <c r="O43" s="391" t="s">
        <v>8</v>
      </c>
      <c r="P43" s="391">
        <v>36</v>
      </c>
      <c r="Q43" s="188" t="s">
        <v>398</v>
      </c>
      <c r="R43" s="919"/>
      <c r="S43" s="90"/>
    </row>
    <row r="44" spans="1:19" ht="30.1" customHeight="1" x14ac:dyDescent="0.25">
      <c r="A44" s="917"/>
      <c r="B44" s="920"/>
      <c r="C44" s="920"/>
      <c r="D44" s="920"/>
      <c r="E44" s="923"/>
      <c r="F44" s="852" t="s">
        <v>378</v>
      </c>
      <c r="G44" s="920"/>
      <c r="H44" s="852" t="s">
        <v>99</v>
      </c>
      <c r="I44" s="920"/>
      <c r="J44" s="920"/>
      <c r="K44" s="914"/>
      <c r="L44" s="914"/>
      <c r="M44" s="914"/>
      <c r="N44" s="391">
        <v>12</v>
      </c>
      <c r="O44" s="391" t="s">
        <v>226</v>
      </c>
      <c r="P44" s="391">
        <v>36</v>
      </c>
      <c r="Q44" s="188" t="s">
        <v>45</v>
      </c>
      <c r="R44" s="920"/>
      <c r="S44" s="90"/>
    </row>
    <row r="45" spans="1:19" ht="30.1" customHeight="1" x14ac:dyDescent="0.25">
      <c r="A45" s="187">
        <v>26</v>
      </c>
      <c r="B45" s="839" t="s">
        <v>1564</v>
      </c>
      <c r="C45" s="839" t="s">
        <v>1565</v>
      </c>
      <c r="D45" s="839" t="s">
        <v>361</v>
      </c>
      <c r="E45" s="689">
        <v>26045672</v>
      </c>
      <c r="F45" s="839" t="s">
        <v>362</v>
      </c>
      <c r="G45" s="839" t="s">
        <v>533</v>
      </c>
      <c r="H45" s="839" t="s">
        <v>244</v>
      </c>
      <c r="I45" s="839" t="s">
        <v>1566</v>
      </c>
      <c r="J45" s="839">
        <v>3014628249</v>
      </c>
      <c r="K45" s="373">
        <v>43544</v>
      </c>
      <c r="L45" s="373">
        <v>43545</v>
      </c>
      <c r="M45" s="373">
        <v>43575</v>
      </c>
      <c r="N45" s="839">
        <v>30</v>
      </c>
      <c r="O45" s="839" t="s">
        <v>4</v>
      </c>
      <c r="P45" s="839">
        <v>30</v>
      </c>
      <c r="Q45" s="839" t="s">
        <v>939</v>
      </c>
      <c r="R45" s="839"/>
      <c r="S45" s="691" t="s">
        <v>1574</v>
      </c>
    </row>
    <row r="46" spans="1:19" ht="30.1" customHeight="1" x14ac:dyDescent="0.25">
      <c r="A46" s="187">
        <v>27</v>
      </c>
      <c r="B46" s="188" t="s">
        <v>1587</v>
      </c>
      <c r="C46" s="188" t="s">
        <v>1588</v>
      </c>
      <c r="D46" s="188" t="s">
        <v>361</v>
      </c>
      <c r="E46" s="93">
        <v>2816739</v>
      </c>
      <c r="F46" s="380" t="s">
        <v>378</v>
      </c>
      <c r="G46" s="188" t="s">
        <v>527</v>
      </c>
      <c r="H46" s="391" t="s">
        <v>223</v>
      </c>
      <c r="I46" s="188" t="s">
        <v>297</v>
      </c>
      <c r="J46" s="188" t="s">
        <v>1589</v>
      </c>
      <c r="K46" s="189">
        <v>43545</v>
      </c>
      <c r="L46" s="189">
        <v>43546</v>
      </c>
      <c r="M46" s="189">
        <v>43576</v>
      </c>
      <c r="N46" s="188">
        <v>20</v>
      </c>
      <c r="O46" s="188" t="s">
        <v>4</v>
      </c>
      <c r="P46" s="188">
        <v>20</v>
      </c>
      <c r="Q46" s="188" t="s">
        <v>1590</v>
      </c>
      <c r="R46" s="188" t="s">
        <v>1591</v>
      </c>
      <c r="S46" s="90"/>
    </row>
    <row r="47" spans="1:19" ht="30.1" customHeight="1" x14ac:dyDescent="0.25">
      <c r="A47" s="187">
        <v>28</v>
      </c>
      <c r="B47" s="188" t="s">
        <v>1596</v>
      </c>
      <c r="C47" s="188" t="s">
        <v>1597</v>
      </c>
      <c r="D47" s="188" t="s">
        <v>361</v>
      </c>
      <c r="E47" s="93">
        <v>11171255</v>
      </c>
      <c r="F47" s="380" t="s">
        <v>378</v>
      </c>
      <c r="G47" s="188" t="s">
        <v>1598</v>
      </c>
      <c r="H47" s="391" t="s">
        <v>223</v>
      </c>
      <c r="I47" s="188" t="s">
        <v>1599</v>
      </c>
      <c r="J47" s="188">
        <v>3108526214</v>
      </c>
      <c r="K47" s="189">
        <v>43546</v>
      </c>
      <c r="L47" s="189">
        <v>43547</v>
      </c>
      <c r="M47" s="189">
        <v>43577</v>
      </c>
      <c r="N47" s="188">
        <v>16</v>
      </c>
      <c r="O47" s="188" t="s">
        <v>4</v>
      </c>
      <c r="P47" s="188">
        <v>16</v>
      </c>
      <c r="Q47" s="188" t="s">
        <v>1590</v>
      </c>
      <c r="R47" s="391" t="s">
        <v>1591</v>
      </c>
      <c r="S47" s="90"/>
    </row>
    <row r="48" spans="1:19" ht="30.1" customHeight="1" x14ac:dyDescent="0.25">
      <c r="A48" s="915">
        <v>29</v>
      </c>
      <c r="B48" s="918" t="s">
        <v>1601</v>
      </c>
      <c r="C48" s="918" t="s">
        <v>1602</v>
      </c>
      <c r="D48" s="918" t="s">
        <v>361</v>
      </c>
      <c r="E48" s="921">
        <v>10980083</v>
      </c>
      <c r="F48" s="380" t="s">
        <v>1084</v>
      </c>
      <c r="G48" s="918" t="s">
        <v>533</v>
      </c>
      <c r="H48" s="391" t="s">
        <v>21</v>
      </c>
      <c r="I48" s="918" t="s">
        <v>1603</v>
      </c>
      <c r="J48" s="918" t="s">
        <v>1604</v>
      </c>
      <c r="K48" s="912">
        <v>43546</v>
      </c>
      <c r="L48" s="912">
        <v>43550</v>
      </c>
      <c r="M48" s="912">
        <v>43580</v>
      </c>
      <c r="N48" s="188">
        <v>20</v>
      </c>
      <c r="O48" s="188" t="s">
        <v>4</v>
      </c>
      <c r="P48" s="188">
        <v>20</v>
      </c>
      <c r="Q48" s="188" t="s">
        <v>818</v>
      </c>
      <c r="R48" s="391"/>
      <c r="S48" s="90"/>
    </row>
    <row r="49" spans="1:19" ht="30.1" customHeight="1" x14ac:dyDescent="0.25">
      <c r="A49" s="916"/>
      <c r="B49" s="919"/>
      <c r="C49" s="919"/>
      <c r="D49" s="919"/>
      <c r="E49" s="922"/>
      <c r="F49" s="391" t="s">
        <v>1084</v>
      </c>
      <c r="G49" s="919"/>
      <c r="H49" s="391" t="s">
        <v>21</v>
      </c>
      <c r="I49" s="919"/>
      <c r="J49" s="919"/>
      <c r="K49" s="913"/>
      <c r="L49" s="913"/>
      <c r="M49" s="913"/>
      <c r="N49" s="188">
        <v>20</v>
      </c>
      <c r="O49" s="188" t="s">
        <v>226</v>
      </c>
      <c r="P49" s="188">
        <v>20</v>
      </c>
      <c r="Q49" s="188" t="s">
        <v>45</v>
      </c>
      <c r="R49" s="853">
        <v>20</v>
      </c>
      <c r="S49" s="90"/>
    </row>
    <row r="50" spans="1:19" ht="30.1" customHeight="1" x14ac:dyDescent="0.25">
      <c r="A50" s="917"/>
      <c r="B50" s="920"/>
      <c r="C50" s="920"/>
      <c r="D50" s="920"/>
      <c r="E50" s="923"/>
      <c r="F50" s="391" t="s">
        <v>1084</v>
      </c>
      <c r="G50" s="920"/>
      <c r="H50" s="391" t="s">
        <v>21</v>
      </c>
      <c r="I50" s="920"/>
      <c r="J50" s="920"/>
      <c r="K50" s="914"/>
      <c r="L50" s="914"/>
      <c r="M50" s="914"/>
      <c r="N50" s="188">
        <v>20</v>
      </c>
      <c r="O50" s="188" t="s">
        <v>8</v>
      </c>
      <c r="P50" s="188">
        <v>20</v>
      </c>
      <c r="Q50" s="188" t="s">
        <v>398</v>
      </c>
      <c r="R50" s="391"/>
      <c r="S50" s="90"/>
    </row>
    <row r="51" spans="1:19" ht="30.1" customHeight="1" x14ac:dyDescent="0.25">
      <c r="A51" s="187">
        <v>30</v>
      </c>
      <c r="B51" s="188" t="s">
        <v>1619</v>
      </c>
      <c r="C51" s="188" t="s">
        <v>1620</v>
      </c>
      <c r="D51" s="188" t="s">
        <v>361</v>
      </c>
      <c r="E51" s="93">
        <v>2721146</v>
      </c>
      <c r="F51" s="380" t="s">
        <v>378</v>
      </c>
      <c r="G51" s="188" t="s">
        <v>1223</v>
      </c>
      <c r="H51" s="391" t="s">
        <v>20</v>
      </c>
      <c r="I51" s="188" t="s">
        <v>1621</v>
      </c>
      <c r="J51" s="188">
        <v>3134047173</v>
      </c>
      <c r="K51" s="189">
        <v>43550</v>
      </c>
      <c r="L51" s="189">
        <v>43550</v>
      </c>
      <c r="M51" s="189">
        <v>43565</v>
      </c>
      <c r="N51" s="188">
        <v>15</v>
      </c>
      <c r="O51" s="188" t="s">
        <v>5</v>
      </c>
      <c r="P51" s="188">
        <v>15</v>
      </c>
      <c r="Q51" s="188" t="s">
        <v>6</v>
      </c>
      <c r="R51" s="188" t="s">
        <v>1623</v>
      </c>
      <c r="S51" s="90"/>
    </row>
    <row r="52" spans="1:19" s="91" customFormat="1" ht="30.1" customHeight="1" x14ac:dyDescent="0.25">
      <c r="A52" s="915">
        <v>31</v>
      </c>
      <c r="B52" s="918" t="s">
        <v>1629</v>
      </c>
      <c r="C52" s="918" t="s">
        <v>1630</v>
      </c>
      <c r="D52" s="918" t="s">
        <v>361</v>
      </c>
      <c r="E52" s="921">
        <v>26192132</v>
      </c>
      <c r="F52" s="391" t="s">
        <v>1084</v>
      </c>
      <c r="G52" s="918" t="s">
        <v>1631</v>
      </c>
      <c r="H52" s="391" t="s">
        <v>9</v>
      </c>
      <c r="I52" s="918" t="s">
        <v>1632</v>
      </c>
      <c r="J52" s="918" t="s">
        <v>1633</v>
      </c>
      <c r="K52" s="912">
        <v>43550</v>
      </c>
      <c r="L52" s="912">
        <v>43551</v>
      </c>
      <c r="M52" s="912">
        <v>43642</v>
      </c>
      <c r="N52" s="391">
        <v>30</v>
      </c>
      <c r="O52" s="391" t="s">
        <v>4</v>
      </c>
      <c r="P52" s="391">
        <v>90</v>
      </c>
      <c r="Q52" s="391" t="s">
        <v>823</v>
      </c>
      <c r="R52" s="918" t="s">
        <v>1634</v>
      </c>
      <c r="S52" s="90"/>
    </row>
    <row r="53" spans="1:19" ht="30.1" customHeight="1" x14ac:dyDescent="0.25">
      <c r="A53" s="917"/>
      <c r="B53" s="920"/>
      <c r="C53" s="920"/>
      <c r="D53" s="920"/>
      <c r="E53" s="923"/>
      <c r="F53" s="391" t="s">
        <v>1084</v>
      </c>
      <c r="G53" s="920"/>
      <c r="H53" s="391" t="s">
        <v>9</v>
      </c>
      <c r="I53" s="920"/>
      <c r="J53" s="920"/>
      <c r="K53" s="914"/>
      <c r="L53" s="914"/>
      <c r="M53" s="914"/>
      <c r="N53" s="188">
        <v>30</v>
      </c>
      <c r="O53" s="188" t="s">
        <v>5</v>
      </c>
      <c r="P53" s="188">
        <v>90</v>
      </c>
      <c r="Q53" s="188" t="s">
        <v>823</v>
      </c>
      <c r="R53" s="920"/>
      <c r="S53" s="90"/>
    </row>
    <row r="54" spans="1:19" ht="30.1" customHeight="1" x14ac:dyDescent="0.25">
      <c r="A54" s="187">
        <v>32</v>
      </c>
      <c r="B54" s="188" t="s">
        <v>1645</v>
      </c>
      <c r="C54" s="188" t="s">
        <v>1646</v>
      </c>
      <c r="D54" s="188" t="s">
        <v>361</v>
      </c>
      <c r="E54" s="93">
        <v>15675775</v>
      </c>
      <c r="F54" s="380" t="s">
        <v>378</v>
      </c>
      <c r="G54" s="188" t="s">
        <v>1647</v>
      </c>
      <c r="H54" s="391" t="s">
        <v>20</v>
      </c>
      <c r="I54" s="188" t="s">
        <v>1648</v>
      </c>
      <c r="J54" s="188" t="s">
        <v>1649</v>
      </c>
      <c r="K54" s="189">
        <v>43551</v>
      </c>
      <c r="L54" s="189">
        <v>43552</v>
      </c>
      <c r="M54" s="189">
        <v>43583</v>
      </c>
      <c r="N54" s="188">
        <v>30</v>
      </c>
      <c r="O54" s="188" t="s">
        <v>4</v>
      </c>
      <c r="P54" s="188">
        <v>30</v>
      </c>
      <c r="Q54" s="188" t="s">
        <v>6</v>
      </c>
      <c r="R54" s="188"/>
      <c r="S54" s="90"/>
    </row>
    <row r="55" spans="1:19" ht="30.1" customHeight="1" x14ac:dyDescent="0.25">
      <c r="A55" s="187"/>
      <c r="B55" s="188"/>
      <c r="C55" s="188"/>
      <c r="D55" s="188"/>
      <c r="E55" s="93"/>
      <c r="F55" s="380"/>
      <c r="G55" s="188"/>
      <c r="H55" s="391"/>
      <c r="I55" s="188"/>
      <c r="J55" s="188"/>
      <c r="K55" s="189"/>
      <c r="L55" s="189"/>
      <c r="M55" s="189"/>
      <c r="N55" s="188"/>
      <c r="O55" s="188"/>
      <c r="P55" s="188"/>
      <c r="Q55" s="188"/>
      <c r="R55" s="188"/>
      <c r="S55" s="90"/>
    </row>
    <row r="56" spans="1:19" ht="30.1" customHeight="1" x14ac:dyDescent="0.25">
      <c r="A56" s="300"/>
      <c r="B56" s="391"/>
      <c r="C56" s="391"/>
      <c r="D56" s="391"/>
      <c r="E56" s="93"/>
      <c r="F56" s="391"/>
      <c r="G56" s="391"/>
      <c r="H56" s="391"/>
      <c r="I56" s="391"/>
      <c r="J56" s="391"/>
      <c r="K56" s="301"/>
      <c r="L56" s="301"/>
      <c r="M56" s="301"/>
      <c r="N56" s="391"/>
      <c r="O56" s="391"/>
      <c r="P56" s="391"/>
      <c r="Q56" s="391"/>
      <c r="R56" s="391"/>
      <c r="S56" s="90"/>
    </row>
    <row r="57" spans="1:19" ht="30.1" customHeight="1" x14ac:dyDescent="0.25">
      <c r="A57" s="300"/>
      <c r="B57" s="391"/>
      <c r="C57" s="391"/>
      <c r="D57" s="391"/>
      <c r="E57" s="93"/>
      <c r="F57" s="391"/>
      <c r="G57" s="391"/>
      <c r="H57" s="391"/>
      <c r="I57" s="391"/>
      <c r="J57" s="391"/>
      <c r="K57" s="301"/>
      <c r="L57" s="301"/>
      <c r="M57" s="301"/>
      <c r="N57" s="391"/>
      <c r="O57" s="391"/>
      <c r="P57" s="391"/>
      <c r="Q57" s="391"/>
      <c r="R57" s="391"/>
      <c r="S57" s="90"/>
    </row>
    <row r="58" spans="1:19" ht="30.1" customHeight="1" x14ac:dyDescent="0.25">
      <c r="A58" s="300"/>
      <c r="B58" s="391"/>
      <c r="C58" s="391"/>
      <c r="D58" s="391"/>
      <c r="E58" s="93"/>
      <c r="F58" s="391"/>
      <c r="G58" s="391"/>
      <c r="H58" s="391"/>
      <c r="I58" s="391"/>
      <c r="J58" s="391"/>
      <c r="K58" s="301"/>
      <c r="L58" s="301"/>
      <c r="M58" s="301"/>
      <c r="N58" s="391"/>
      <c r="O58" s="391"/>
      <c r="P58" s="391"/>
      <c r="Q58" s="391"/>
      <c r="R58" s="391"/>
      <c r="S58" s="90"/>
    </row>
    <row r="59" spans="1:19" ht="30.1" customHeight="1" x14ac:dyDescent="0.25">
      <c r="A59" s="300"/>
      <c r="B59" s="391"/>
      <c r="C59" s="391"/>
      <c r="D59" s="391"/>
      <c r="E59" s="93"/>
      <c r="F59" s="391"/>
      <c r="G59" s="391"/>
      <c r="H59" s="391"/>
      <c r="I59" s="391"/>
      <c r="J59" s="391"/>
      <c r="K59" s="301"/>
      <c r="L59" s="301"/>
      <c r="M59" s="301"/>
      <c r="N59" s="391"/>
      <c r="O59" s="391"/>
      <c r="P59" s="391"/>
      <c r="Q59" s="391"/>
      <c r="R59" s="391"/>
      <c r="S59" s="90"/>
    </row>
    <row r="60" spans="1:19" ht="30.1" customHeight="1" x14ac:dyDescent="0.25">
      <c r="A60" s="300"/>
      <c r="B60" s="391"/>
      <c r="C60" s="391"/>
      <c r="D60" s="391"/>
      <c r="E60" s="93"/>
      <c r="F60" s="391"/>
      <c r="G60" s="391"/>
      <c r="H60" s="391"/>
      <c r="I60" s="391"/>
      <c r="J60" s="391"/>
      <c r="K60" s="301"/>
      <c r="L60" s="301"/>
      <c r="M60" s="301"/>
      <c r="N60" s="391"/>
      <c r="O60" s="391"/>
      <c r="P60" s="391"/>
      <c r="Q60" s="391"/>
      <c r="R60" s="391"/>
      <c r="S60" s="90"/>
    </row>
    <row r="61" spans="1:19" ht="30.1" customHeight="1" x14ac:dyDescent="0.25">
      <c r="A61" s="300"/>
      <c r="B61" s="391"/>
      <c r="C61" s="391"/>
      <c r="D61" s="391"/>
      <c r="E61" s="93"/>
      <c r="F61" s="391"/>
      <c r="G61" s="391"/>
      <c r="H61" s="391"/>
      <c r="I61" s="391"/>
      <c r="J61" s="391"/>
      <c r="K61" s="301"/>
      <c r="L61" s="301"/>
      <c r="M61" s="301"/>
      <c r="N61" s="391"/>
      <c r="O61" s="391"/>
      <c r="P61" s="391"/>
      <c r="Q61" s="391"/>
      <c r="R61" s="391"/>
      <c r="S61" s="90"/>
    </row>
    <row r="62" spans="1:19" ht="30.1" customHeight="1" x14ac:dyDescent="0.25">
      <c r="A62" s="300"/>
      <c r="B62" s="391"/>
      <c r="C62" s="391"/>
      <c r="D62" s="391"/>
      <c r="E62" s="93"/>
      <c r="F62" s="391"/>
      <c r="G62" s="391"/>
      <c r="H62" s="391"/>
      <c r="I62" s="391"/>
      <c r="J62" s="391"/>
      <c r="K62" s="301"/>
      <c r="L62" s="301"/>
      <c r="M62" s="301"/>
      <c r="N62" s="391"/>
      <c r="O62" s="391"/>
      <c r="P62" s="391"/>
      <c r="Q62" s="391"/>
      <c r="R62" s="391"/>
      <c r="S62" s="90"/>
    </row>
    <row r="63" spans="1:19" ht="30.1" customHeight="1" x14ac:dyDescent="0.25">
      <c r="A63" s="300"/>
      <c r="B63" s="391"/>
      <c r="C63" s="391"/>
      <c r="D63" s="391"/>
      <c r="E63" s="93"/>
      <c r="F63" s="391"/>
      <c r="G63" s="391"/>
      <c r="H63" s="391"/>
      <c r="I63" s="391"/>
      <c r="J63" s="391"/>
      <c r="K63" s="301"/>
      <c r="L63" s="301"/>
      <c r="M63" s="301"/>
      <c r="N63" s="391"/>
      <c r="O63" s="391"/>
      <c r="P63" s="391"/>
      <c r="Q63" s="391"/>
      <c r="R63" s="391"/>
      <c r="S63" s="90"/>
    </row>
  </sheetData>
  <autoFilter ref="B1:T54"/>
  <mergeCells count="143">
    <mergeCell ref="L52:L53"/>
    <mergeCell ref="M52:M53"/>
    <mergeCell ref="R52:R53"/>
    <mergeCell ref="A52:A53"/>
    <mergeCell ref="B52:B53"/>
    <mergeCell ref="C52:C53"/>
    <mergeCell ref="D52:D53"/>
    <mergeCell ref="E52:E53"/>
    <mergeCell ref="G52:G53"/>
    <mergeCell ref="I52:I53"/>
    <mergeCell ref="J52:J53"/>
    <mergeCell ref="K52:K53"/>
    <mergeCell ref="S26:S27"/>
    <mergeCell ref="A30:A32"/>
    <mergeCell ref="B30:B32"/>
    <mergeCell ref="C30:C32"/>
    <mergeCell ref="D30:D32"/>
    <mergeCell ref="E30:E32"/>
    <mergeCell ref="M30:M32"/>
    <mergeCell ref="G30:G32"/>
    <mergeCell ref="I30:I32"/>
    <mergeCell ref="J30:J32"/>
    <mergeCell ref="K30:K32"/>
    <mergeCell ref="L30:L32"/>
    <mergeCell ref="M26:M27"/>
    <mergeCell ref="G26:G27"/>
    <mergeCell ref="I26:I27"/>
    <mergeCell ref="J26:J27"/>
    <mergeCell ref="K26:K27"/>
    <mergeCell ref="L26:L27"/>
    <mergeCell ref="A26:A27"/>
    <mergeCell ref="B26:B27"/>
    <mergeCell ref="C26:C27"/>
    <mergeCell ref="D26:D27"/>
    <mergeCell ref="E26:E27"/>
    <mergeCell ref="M9:M11"/>
    <mergeCell ref="S16:S17"/>
    <mergeCell ref="R16:R17"/>
    <mergeCell ref="L16:L17"/>
    <mergeCell ref="M16:M17"/>
    <mergeCell ref="L13:L15"/>
    <mergeCell ref="M13:M15"/>
    <mergeCell ref="R9:R11"/>
    <mergeCell ref="K9:K11"/>
    <mergeCell ref="S9:S11"/>
    <mergeCell ref="A2:A5"/>
    <mergeCell ref="A9:A11"/>
    <mergeCell ref="K13:K15"/>
    <mergeCell ref="L9:L11"/>
    <mergeCell ref="S2:S5"/>
    <mergeCell ref="R2:R5"/>
    <mergeCell ref="L2:L5"/>
    <mergeCell ref="D2:D5"/>
    <mergeCell ref="E2:E5"/>
    <mergeCell ref="K2:K5"/>
    <mergeCell ref="J2:J5"/>
    <mergeCell ref="M2:M5"/>
    <mergeCell ref="I2:I5"/>
    <mergeCell ref="G2:G5"/>
    <mergeCell ref="A13:A15"/>
    <mergeCell ref="G13:G15"/>
    <mergeCell ref="B2:B5"/>
    <mergeCell ref="C2:C5"/>
    <mergeCell ref="I13:I15"/>
    <mergeCell ref="J13:J15"/>
    <mergeCell ref="B9:B11"/>
    <mergeCell ref="C9:C11"/>
    <mergeCell ref="D9:D11"/>
    <mergeCell ref="E9:E11"/>
    <mergeCell ref="G9:G11"/>
    <mergeCell ref="I9:I11"/>
    <mergeCell ref="J9:J11"/>
    <mergeCell ref="E13:E15"/>
    <mergeCell ref="D13:D15"/>
    <mergeCell ref="D16:D17"/>
    <mergeCell ref="E16:E17"/>
    <mergeCell ref="G16:G17"/>
    <mergeCell ref="C13:C15"/>
    <mergeCell ref="A16:A17"/>
    <mergeCell ref="B16:B17"/>
    <mergeCell ref="C16:C17"/>
    <mergeCell ref="I16:I17"/>
    <mergeCell ref="J16:J17"/>
    <mergeCell ref="B13:B15"/>
    <mergeCell ref="R19:R21"/>
    <mergeCell ref="A19:A21"/>
    <mergeCell ref="B19:B21"/>
    <mergeCell ref="C19:C21"/>
    <mergeCell ref="D19:D21"/>
    <mergeCell ref="E19:E21"/>
    <mergeCell ref="I19:I21"/>
    <mergeCell ref="J19:J21"/>
    <mergeCell ref="L19:L21"/>
    <mergeCell ref="M19:M21"/>
    <mergeCell ref="K19:K21"/>
    <mergeCell ref="K16:K17"/>
    <mergeCell ref="M23:M25"/>
    <mergeCell ref="R23:R25"/>
    <mergeCell ref="S23:S25"/>
    <mergeCell ref="G23:G25"/>
    <mergeCell ref="I23:I25"/>
    <mergeCell ref="J23:J25"/>
    <mergeCell ref="K23:K25"/>
    <mergeCell ref="L23:L25"/>
    <mergeCell ref="A23:A25"/>
    <mergeCell ref="B23:B25"/>
    <mergeCell ref="C23:C25"/>
    <mergeCell ref="D23:D25"/>
    <mergeCell ref="E23:E25"/>
    <mergeCell ref="A34:A35"/>
    <mergeCell ref="G34:G35"/>
    <mergeCell ref="E34:E35"/>
    <mergeCell ref="D34:D35"/>
    <mergeCell ref="C34:C35"/>
    <mergeCell ref="B34:B35"/>
    <mergeCell ref="M34:M35"/>
    <mergeCell ref="L34:L35"/>
    <mergeCell ref="K34:K35"/>
    <mergeCell ref="J34:J35"/>
    <mergeCell ref="I34:I35"/>
    <mergeCell ref="J42:J44"/>
    <mergeCell ref="K42:K44"/>
    <mergeCell ref="L42:L44"/>
    <mergeCell ref="M42:M44"/>
    <mergeCell ref="R42:R44"/>
    <mergeCell ref="A42:A44"/>
    <mergeCell ref="B42:B44"/>
    <mergeCell ref="C42:C44"/>
    <mergeCell ref="D42:D44"/>
    <mergeCell ref="E42:E44"/>
    <mergeCell ref="G42:G44"/>
    <mergeCell ref="I42:I44"/>
    <mergeCell ref="L48:L50"/>
    <mergeCell ref="M48:M50"/>
    <mergeCell ref="A48:A50"/>
    <mergeCell ref="B48:B50"/>
    <mergeCell ref="C48:C50"/>
    <mergeCell ref="D48:D50"/>
    <mergeCell ref="E48:E50"/>
    <mergeCell ref="G48:G50"/>
    <mergeCell ref="I48:I50"/>
    <mergeCell ref="J48:J50"/>
    <mergeCell ref="K48:K50"/>
  </mergeCells>
  <pageMargins left="0.25" right="0.25" top="0.75" bottom="0.75" header="0.3" footer="0.3"/>
  <pageSetup scale="4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67"/>
  <sheetViews>
    <sheetView zoomScaleNormal="100" workbookViewId="0">
      <pane ySplit="1" topLeftCell="A2" activePane="bottomLeft" state="frozen"/>
      <selection pane="bottomLeft" activeCell="C9" sqref="C9:C12"/>
    </sheetView>
  </sheetViews>
  <sheetFormatPr baseColWidth="10" defaultColWidth="11.375" defaultRowHeight="20.05" customHeight="1" x14ac:dyDescent="0.25"/>
  <cols>
    <col min="1" max="1" width="13.75" style="255" customWidth="1"/>
    <col min="2" max="2" width="24" style="280" customWidth="1"/>
    <col min="3" max="3" width="22.875" style="280" customWidth="1"/>
    <col min="4" max="4" width="12.75" style="427" customWidth="1"/>
    <col min="5" max="5" width="15.375" style="2" customWidth="1"/>
    <col min="6" max="6" width="12.375" style="2" customWidth="1"/>
    <col min="7" max="7" width="12" style="2" customWidth="1"/>
    <col min="8" max="8" width="13.75" style="2" customWidth="1"/>
    <col min="9" max="9" width="6.75" style="2" customWidth="1"/>
    <col min="10" max="10" width="6.625" style="2" customWidth="1"/>
    <col min="11" max="11" width="18.875" style="2" hidden="1" customWidth="1"/>
    <col min="12" max="12" width="28.625" style="2" hidden="1" customWidth="1"/>
    <col min="13" max="13" width="20.625" style="2" customWidth="1"/>
    <col min="14" max="14" width="20.875" style="16" customWidth="1"/>
    <col min="15" max="15" width="23.375" style="16" customWidth="1"/>
    <col min="16" max="16384" width="11.375" style="16"/>
  </cols>
  <sheetData>
    <row r="1" spans="1:15" ht="20.05" customHeight="1" thickBot="1" x14ac:dyDescent="0.3">
      <c r="A1" s="144" t="s">
        <v>12</v>
      </c>
      <c r="B1" s="352" t="s">
        <v>27</v>
      </c>
      <c r="C1" s="262" t="s">
        <v>11</v>
      </c>
      <c r="D1" s="407" t="s">
        <v>1050</v>
      </c>
      <c r="E1" s="145" t="s">
        <v>534</v>
      </c>
      <c r="F1" s="146" t="s">
        <v>1</v>
      </c>
      <c r="G1" s="146" t="s">
        <v>2</v>
      </c>
      <c r="H1" s="145" t="s">
        <v>28</v>
      </c>
      <c r="I1" s="145" t="s">
        <v>13</v>
      </c>
      <c r="J1" s="145" t="s">
        <v>30</v>
      </c>
      <c r="K1" s="145" t="s">
        <v>0</v>
      </c>
      <c r="L1" s="145" t="s">
        <v>233</v>
      </c>
      <c r="M1" s="145" t="s">
        <v>29</v>
      </c>
      <c r="N1" s="145" t="s">
        <v>3</v>
      </c>
      <c r="O1" s="145" t="s">
        <v>573</v>
      </c>
    </row>
    <row r="2" spans="1:15" ht="20.05" customHeight="1" x14ac:dyDescent="0.25">
      <c r="A2" s="1035" t="s">
        <v>9</v>
      </c>
      <c r="B2" s="272" t="s">
        <v>31</v>
      </c>
      <c r="C2" s="264" t="s">
        <v>32</v>
      </c>
      <c r="D2" s="413"/>
      <c r="E2" s="19" t="s">
        <v>532</v>
      </c>
      <c r="F2" s="466">
        <v>43528</v>
      </c>
      <c r="G2" s="466">
        <v>43555</v>
      </c>
      <c r="H2" s="484" t="s">
        <v>33</v>
      </c>
      <c r="I2" s="484">
        <v>12</v>
      </c>
      <c r="J2" s="484" t="s">
        <v>4</v>
      </c>
      <c r="K2" s="19">
        <v>3116680252</v>
      </c>
      <c r="L2" s="104" t="s">
        <v>268</v>
      </c>
      <c r="M2" s="509" t="s">
        <v>7</v>
      </c>
      <c r="N2" s="21"/>
      <c r="O2" s="22"/>
    </row>
    <row r="3" spans="1:15" ht="18" customHeight="1" x14ac:dyDescent="0.25">
      <c r="A3" s="1036"/>
      <c r="B3" s="265" t="s">
        <v>37</v>
      </c>
      <c r="C3" s="266" t="s">
        <v>38</v>
      </c>
      <c r="D3" s="414">
        <v>25838966</v>
      </c>
      <c r="E3" s="20" t="s">
        <v>553</v>
      </c>
      <c r="F3" s="466">
        <v>43528</v>
      </c>
      <c r="G3" s="466">
        <v>43555</v>
      </c>
      <c r="H3" s="484" t="s">
        <v>33</v>
      </c>
      <c r="I3" s="484">
        <v>12</v>
      </c>
      <c r="J3" s="484" t="s">
        <v>4</v>
      </c>
      <c r="K3" s="20">
        <v>3015457772</v>
      </c>
      <c r="L3" s="102" t="s">
        <v>271</v>
      </c>
      <c r="M3" s="258" t="s">
        <v>823</v>
      </c>
      <c r="N3" s="25"/>
      <c r="O3" s="24"/>
    </row>
    <row r="4" spans="1:15" ht="18" customHeight="1" x14ac:dyDescent="0.25">
      <c r="A4" s="1036"/>
      <c r="B4" s="265" t="s">
        <v>844</v>
      </c>
      <c r="C4" s="266" t="s">
        <v>101</v>
      </c>
      <c r="D4" s="414">
        <v>2799853</v>
      </c>
      <c r="E4" s="219" t="s">
        <v>845</v>
      </c>
      <c r="F4" s="466">
        <v>43528</v>
      </c>
      <c r="G4" s="466">
        <v>43555</v>
      </c>
      <c r="H4" s="484" t="s">
        <v>33</v>
      </c>
      <c r="I4" s="484">
        <v>12</v>
      </c>
      <c r="J4" s="484" t="s">
        <v>4</v>
      </c>
      <c r="K4" s="219">
        <v>3205465544</v>
      </c>
      <c r="L4" s="220" t="s">
        <v>846</v>
      </c>
      <c r="M4" s="258" t="s">
        <v>823</v>
      </c>
      <c r="N4" s="25"/>
      <c r="O4" s="84"/>
    </row>
    <row r="5" spans="1:15" ht="18" customHeight="1" x14ac:dyDescent="0.25">
      <c r="A5" s="1036"/>
      <c r="B5" s="265" t="s">
        <v>788</v>
      </c>
      <c r="C5" s="266" t="s">
        <v>789</v>
      </c>
      <c r="D5" s="414">
        <v>1548835</v>
      </c>
      <c r="E5" s="175" t="s">
        <v>571</v>
      </c>
      <c r="F5" s="329"/>
      <c r="G5" s="329"/>
      <c r="H5" s="17"/>
      <c r="I5" s="17"/>
      <c r="J5" s="17"/>
      <c r="K5" s="175"/>
      <c r="L5" s="177"/>
      <c r="M5" s="258" t="s">
        <v>823</v>
      </c>
      <c r="N5" s="25"/>
      <c r="O5" s="84"/>
    </row>
    <row r="6" spans="1:15" ht="20.05" customHeight="1" x14ac:dyDescent="0.25">
      <c r="A6" s="1036"/>
      <c r="B6" s="265" t="s">
        <v>39</v>
      </c>
      <c r="C6" s="266" t="s">
        <v>40</v>
      </c>
      <c r="D6" s="414">
        <v>78017207</v>
      </c>
      <c r="E6" s="13" t="s">
        <v>554</v>
      </c>
      <c r="F6" s="466">
        <v>43528</v>
      </c>
      <c r="G6" s="466">
        <v>43555</v>
      </c>
      <c r="H6" s="484" t="s">
        <v>33</v>
      </c>
      <c r="I6" s="484">
        <v>12</v>
      </c>
      <c r="J6" s="484" t="s">
        <v>4</v>
      </c>
      <c r="K6" s="20">
        <v>3215292829</v>
      </c>
      <c r="L6" s="102" t="s">
        <v>267</v>
      </c>
      <c r="M6" s="258" t="s">
        <v>823</v>
      </c>
      <c r="N6" s="23"/>
      <c r="O6" s="24"/>
    </row>
    <row r="7" spans="1:15" ht="20.05" customHeight="1" x14ac:dyDescent="0.25">
      <c r="A7" s="1036"/>
      <c r="B7" s="265" t="s">
        <v>905</v>
      </c>
      <c r="C7" s="266" t="s">
        <v>904</v>
      </c>
      <c r="D7" s="518">
        <v>1065009516</v>
      </c>
      <c r="E7" s="250" t="s">
        <v>518</v>
      </c>
      <c r="F7" s="466">
        <v>43528</v>
      </c>
      <c r="G7" s="466">
        <v>43555</v>
      </c>
      <c r="H7" s="484" t="s">
        <v>33</v>
      </c>
      <c r="I7" s="484">
        <v>12</v>
      </c>
      <c r="J7" s="484" t="s">
        <v>4</v>
      </c>
      <c r="K7" s="248">
        <v>3022796452</v>
      </c>
      <c r="L7" s="230" t="s">
        <v>906</v>
      </c>
      <c r="M7" s="258" t="s">
        <v>7</v>
      </c>
      <c r="N7" s="23"/>
      <c r="O7" s="84"/>
    </row>
    <row r="8" spans="1:15" ht="20.05" customHeight="1" x14ac:dyDescent="0.25">
      <c r="A8" s="1036"/>
      <c r="B8" s="265" t="s">
        <v>41</v>
      </c>
      <c r="C8" s="266" t="s">
        <v>42</v>
      </c>
      <c r="D8" s="414">
        <v>6859684</v>
      </c>
      <c r="E8" s="20" t="s">
        <v>555</v>
      </c>
      <c r="F8" s="466">
        <v>43528</v>
      </c>
      <c r="G8" s="466">
        <v>43555</v>
      </c>
      <c r="H8" s="484" t="s">
        <v>33</v>
      </c>
      <c r="I8" s="484">
        <v>12</v>
      </c>
      <c r="J8" s="484" t="s">
        <v>4</v>
      </c>
      <c r="K8" s="20">
        <v>3207658456</v>
      </c>
      <c r="L8" s="102" t="s">
        <v>272</v>
      </c>
      <c r="M8" s="258" t="s">
        <v>823</v>
      </c>
      <c r="N8" s="23"/>
      <c r="O8" s="24"/>
    </row>
    <row r="9" spans="1:15" ht="20.05" customHeight="1" x14ac:dyDescent="0.25">
      <c r="A9" s="1036"/>
      <c r="B9" s="974" t="s">
        <v>43</v>
      </c>
      <c r="C9" s="996" t="s">
        <v>44</v>
      </c>
      <c r="D9" s="1021">
        <v>35113315</v>
      </c>
      <c r="E9" s="985" t="s">
        <v>520</v>
      </c>
      <c r="F9" s="466">
        <v>43528</v>
      </c>
      <c r="G9" s="466">
        <v>43555</v>
      </c>
      <c r="H9" s="484" t="s">
        <v>33</v>
      </c>
      <c r="I9" s="484">
        <v>12</v>
      </c>
      <c r="J9" s="484" t="s">
        <v>8</v>
      </c>
      <c r="K9" s="985">
        <v>3017683908</v>
      </c>
      <c r="L9" s="985" t="s">
        <v>249</v>
      </c>
      <c r="M9" s="258" t="s">
        <v>224</v>
      </c>
      <c r="N9" s="23"/>
      <c r="O9" s="24"/>
    </row>
    <row r="10" spans="1:15" ht="20.05" customHeight="1" x14ac:dyDescent="0.25">
      <c r="A10" s="1036"/>
      <c r="B10" s="995"/>
      <c r="C10" s="997"/>
      <c r="D10" s="1045"/>
      <c r="E10" s="1031"/>
      <c r="F10" s="1050">
        <v>43526</v>
      </c>
      <c r="G10" s="1050">
        <v>43555</v>
      </c>
      <c r="H10" s="1046" t="s">
        <v>765</v>
      </c>
      <c r="I10" s="474">
        <v>8</v>
      </c>
      <c r="J10" s="474" t="s">
        <v>4</v>
      </c>
      <c r="K10" s="1031"/>
      <c r="L10" s="1031"/>
      <c r="M10" s="258" t="s">
        <v>823</v>
      </c>
      <c r="N10" s="23"/>
      <c r="O10" s="24"/>
    </row>
    <row r="11" spans="1:15" ht="20.05" customHeight="1" x14ac:dyDescent="0.25">
      <c r="A11" s="1036"/>
      <c r="B11" s="995"/>
      <c r="C11" s="997"/>
      <c r="D11" s="1045"/>
      <c r="E11" s="1031"/>
      <c r="F11" s="1050"/>
      <c r="G11" s="1050"/>
      <c r="H11" s="1046"/>
      <c r="I11" s="474">
        <v>20</v>
      </c>
      <c r="J11" s="474" t="s">
        <v>226</v>
      </c>
      <c r="K11" s="1031"/>
      <c r="L11" s="1031"/>
      <c r="M11" s="258" t="s">
        <v>45</v>
      </c>
      <c r="N11" s="23"/>
      <c r="O11" s="84"/>
    </row>
    <row r="12" spans="1:15" ht="20.05" customHeight="1" x14ac:dyDescent="0.25">
      <c r="A12" s="1036"/>
      <c r="B12" s="975"/>
      <c r="C12" s="998"/>
      <c r="D12" s="1039"/>
      <c r="E12" s="986"/>
      <c r="F12" s="339"/>
      <c r="G12" s="339"/>
      <c r="H12" s="340"/>
      <c r="I12" s="17"/>
      <c r="J12" s="17"/>
      <c r="K12" s="986"/>
      <c r="L12" s="986"/>
      <c r="M12" s="258" t="s">
        <v>224</v>
      </c>
      <c r="N12" s="23"/>
      <c r="O12" s="84"/>
    </row>
    <row r="13" spans="1:15" ht="20.05" customHeight="1" x14ac:dyDescent="0.25">
      <c r="A13" s="1036"/>
      <c r="B13" s="265" t="s">
        <v>174</v>
      </c>
      <c r="C13" s="267" t="s">
        <v>175</v>
      </c>
      <c r="D13" s="549">
        <v>26137148</v>
      </c>
      <c r="E13" s="209" t="s">
        <v>567</v>
      </c>
      <c r="F13" s="541">
        <v>43528</v>
      </c>
      <c r="G13" s="541">
        <v>43555</v>
      </c>
      <c r="H13" s="542" t="s">
        <v>33</v>
      </c>
      <c r="I13" s="542">
        <v>12</v>
      </c>
      <c r="J13" s="542" t="s">
        <v>4</v>
      </c>
      <c r="K13" s="209">
        <v>3204248994</v>
      </c>
      <c r="L13" s="209" t="s">
        <v>833</v>
      </c>
      <c r="M13" s="497" t="s">
        <v>7</v>
      </c>
      <c r="N13" s="218"/>
      <c r="O13" s="218"/>
    </row>
    <row r="14" spans="1:15" ht="20.05" customHeight="1" x14ac:dyDescent="0.25">
      <c r="A14" s="1036"/>
      <c r="B14" s="263" t="s">
        <v>96</v>
      </c>
      <c r="C14" s="264" t="s">
        <v>659</v>
      </c>
      <c r="D14" s="413">
        <v>2786537</v>
      </c>
      <c r="E14" s="13" t="s">
        <v>644</v>
      </c>
      <c r="F14" s="466">
        <v>43528</v>
      </c>
      <c r="G14" s="466">
        <v>43555</v>
      </c>
      <c r="H14" s="484" t="s">
        <v>33</v>
      </c>
      <c r="I14" s="484">
        <v>12</v>
      </c>
      <c r="J14" s="484" t="s">
        <v>4</v>
      </c>
      <c r="K14" s="70">
        <v>2786537</v>
      </c>
      <c r="L14" s="100" t="s">
        <v>660</v>
      </c>
      <c r="M14" s="497" t="s">
        <v>823</v>
      </c>
      <c r="N14" s="23"/>
      <c r="O14" s="71"/>
    </row>
    <row r="15" spans="1:15" ht="20.05" customHeight="1" x14ac:dyDescent="0.25">
      <c r="A15" s="1036"/>
      <c r="B15" s="344" t="s">
        <v>616</v>
      </c>
      <c r="C15" s="317" t="s">
        <v>617</v>
      </c>
      <c r="D15" s="416">
        <v>12717896</v>
      </c>
      <c r="E15" s="316" t="s">
        <v>618</v>
      </c>
      <c r="F15" s="320"/>
      <c r="G15" s="320"/>
      <c r="H15" s="17"/>
      <c r="I15" s="17"/>
      <c r="J15" s="17"/>
      <c r="K15" s="316">
        <v>3145486334</v>
      </c>
      <c r="L15" s="316" t="s">
        <v>619</v>
      </c>
      <c r="M15" s="507" t="s">
        <v>818</v>
      </c>
      <c r="N15" s="26"/>
      <c r="O15" s="84"/>
    </row>
    <row r="16" spans="1:15" ht="20.05" customHeight="1" x14ac:dyDescent="0.25">
      <c r="A16" s="1036"/>
      <c r="B16" s="974" t="s">
        <v>206</v>
      </c>
      <c r="C16" s="1029" t="s">
        <v>207</v>
      </c>
      <c r="D16" s="416">
        <v>6573756</v>
      </c>
      <c r="E16" s="1032" t="s">
        <v>520</v>
      </c>
      <c r="F16" s="466">
        <v>43528</v>
      </c>
      <c r="G16" s="466">
        <v>43555</v>
      </c>
      <c r="H16" s="519" t="s">
        <v>33</v>
      </c>
      <c r="I16" s="519">
        <v>12</v>
      </c>
      <c r="J16" s="519" t="s">
        <v>4</v>
      </c>
      <c r="K16" s="985">
        <v>3106165564</v>
      </c>
      <c r="L16" s="985" t="s">
        <v>269</v>
      </c>
      <c r="M16" s="507" t="s">
        <v>823</v>
      </c>
      <c r="N16" s="23"/>
      <c r="O16" s="24"/>
    </row>
    <row r="17" spans="1:15" ht="20.05" customHeight="1" x14ac:dyDescent="0.25">
      <c r="A17" s="1036"/>
      <c r="B17" s="975"/>
      <c r="C17" s="1030"/>
      <c r="D17" s="413"/>
      <c r="E17" s="1032"/>
      <c r="F17" s="320"/>
      <c r="G17" s="320"/>
      <c r="H17" s="321"/>
      <c r="I17" s="321"/>
      <c r="J17" s="321"/>
      <c r="K17" s="986"/>
      <c r="L17" s="986"/>
      <c r="M17" s="507" t="s">
        <v>45</v>
      </c>
      <c r="N17" s="23"/>
      <c r="O17" s="24"/>
    </row>
    <row r="18" spans="1:15" ht="20.05" customHeight="1" x14ac:dyDescent="0.25">
      <c r="A18" s="1036"/>
      <c r="B18" s="265" t="s">
        <v>641</v>
      </c>
      <c r="C18" s="267" t="s">
        <v>642</v>
      </c>
      <c r="D18" s="417">
        <v>25837220</v>
      </c>
      <c r="E18" s="13" t="s">
        <v>533</v>
      </c>
      <c r="F18" s="466">
        <v>43528</v>
      </c>
      <c r="G18" s="466">
        <v>43555</v>
      </c>
      <c r="H18" s="519" t="s">
        <v>33</v>
      </c>
      <c r="I18" s="519">
        <v>12</v>
      </c>
      <c r="J18" s="519" t="s">
        <v>4</v>
      </c>
      <c r="K18" s="65">
        <v>3107271568</v>
      </c>
      <c r="L18" s="101" t="s">
        <v>643</v>
      </c>
      <c r="M18" s="497" t="s">
        <v>823</v>
      </c>
      <c r="N18" s="23"/>
      <c r="O18" s="66"/>
    </row>
    <row r="19" spans="1:15" ht="20.05" customHeight="1" x14ac:dyDescent="0.25">
      <c r="A19" s="1036"/>
      <c r="B19" s="265" t="s">
        <v>638</v>
      </c>
      <c r="C19" s="267" t="s">
        <v>639</v>
      </c>
      <c r="D19" s="417">
        <v>34959760</v>
      </c>
      <c r="E19" s="65" t="s">
        <v>520</v>
      </c>
      <c r="F19" s="466">
        <v>43528</v>
      </c>
      <c r="G19" s="466">
        <v>43555</v>
      </c>
      <c r="H19" s="519" t="s">
        <v>33</v>
      </c>
      <c r="I19" s="519">
        <v>12</v>
      </c>
      <c r="J19" s="519" t="s">
        <v>4</v>
      </c>
      <c r="K19" s="65">
        <v>-3126400798</v>
      </c>
      <c r="L19" s="108" t="s">
        <v>640</v>
      </c>
      <c r="M19" s="497" t="s">
        <v>823</v>
      </c>
      <c r="N19" s="23"/>
      <c r="O19" s="66"/>
    </row>
    <row r="20" spans="1:15" ht="20.05" customHeight="1" x14ac:dyDescent="0.25">
      <c r="A20" s="1036"/>
      <c r="B20" s="974" t="s">
        <v>208</v>
      </c>
      <c r="C20" s="1029" t="s">
        <v>209</v>
      </c>
      <c r="D20" s="1021">
        <v>25839748</v>
      </c>
      <c r="E20" s="1032" t="s">
        <v>532</v>
      </c>
      <c r="F20" s="490">
        <v>43526</v>
      </c>
      <c r="G20" s="490">
        <v>43555</v>
      </c>
      <c r="H20" s="491" t="s">
        <v>765</v>
      </c>
      <c r="I20" s="491">
        <v>12</v>
      </c>
      <c r="J20" s="491" t="s">
        <v>4</v>
      </c>
      <c r="K20" s="985">
        <v>3168676337</v>
      </c>
      <c r="L20" s="985" t="s">
        <v>270</v>
      </c>
      <c r="M20" s="507" t="s">
        <v>823</v>
      </c>
      <c r="N20" s="1121"/>
      <c r="O20" s="24"/>
    </row>
    <row r="21" spans="1:15" ht="20.05" customHeight="1" x14ac:dyDescent="0.25">
      <c r="A21" s="1036"/>
      <c r="B21" s="995"/>
      <c r="C21" s="999"/>
      <c r="D21" s="1045"/>
      <c r="E21" s="1032"/>
      <c r="F21" s="466">
        <v>43528</v>
      </c>
      <c r="G21" s="466">
        <v>43555</v>
      </c>
      <c r="H21" s="519" t="s">
        <v>33</v>
      </c>
      <c r="I21" s="519">
        <v>12</v>
      </c>
      <c r="J21" s="519" t="s">
        <v>226</v>
      </c>
      <c r="K21" s="1031"/>
      <c r="L21" s="1031"/>
      <c r="M21" s="507" t="s">
        <v>726</v>
      </c>
      <c r="N21" s="1122"/>
      <c r="O21" s="84"/>
    </row>
    <row r="22" spans="1:15" ht="20.05" customHeight="1" x14ac:dyDescent="0.25">
      <c r="A22" s="1036"/>
      <c r="B22" s="975"/>
      <c r="C22" s="1030"/>
      <c r="D22" s="1039"/>
      <c r="E22" s="1032"/>
      <c r="F22" s="320"/>
      <c r="G22" s="320"/>
      <c r="H22" s="321"/>
      <c r="I22" s="321"/>
      <c r="J22" s="321"/>
      <c r="K22" s="986"/>
      <c r="L22" s="986"/>
      <c r="M22" s="507"/>
      <c r="N22" s="1123"/>
      <c r="O22" s="24"/>
    </row>
    <row r="23" spans="1:15" ht="20.05" customHeight="1" x14ac:dyDescent="0.25">
      <c r="A23" s="1036"/>
      <c r="B23" s="1043" t="s">
        <v>210</v>
      </c>
      <c r="C23" s="996" t="s">
        <v>211</v>
      </c>
      <c r="D23" s="668">
        <v>1547104</v>
      </c>
      <c r="E23" s="1051" t="s">
        <v>537</v>
      </c>
      <c r="F23" s="649">
        <v>43528</v>
      </c>
      <c r="G23" s="649">
        <v>43555</v>
      </c>
      <c r="H23" s="652" t="s">
        <v>33</v>
      </c>
      <c r="I23" s="652">
        <v>12</v>
      </c>
      <c r="J23" s="652" t="s">
        <v>4</v>
      </c>
      <c r="K23" s="985" t="s">
        <v>265</v>
      </c>
      <c r="L23" s="985" t="s">
        <v>266</v>
      </c>
      <c r="M23" s="681" t="s">
        <v>823</v>
      </c>
      <c r="N23" s="704"/>
      <c r="O23" s="84"/>
    </row>
    <row r="24" spans="1:15" ht="20.05" customHeight="1" thickBot="1" x14ac:dyDescent="0.3">
      <c r="A24" s="983"/>
      <c r="B24" s="1044"/>
      <c r="C24" s="1007"/>
      <c r="D24" s="674"/>
      <c r="E24" s="1052"/>
      <c r="F24" s="331"/>
      <c r="G24" s="331"/>
      <c r="H24" s="705"/>
      <c r="I24" s="705"/>
      <c r="J24" s="705"/>
      <c r="K24" s="1020"/>
      <c r="L24" s="1020"/>
      <c r="M24" s="672" t="s">
        <v>726</v>
      </c>
      <c r="N24" s="706"/>
      <c r="O24" s="24"/>
    </row>
    <row r="25" spans="1:15" ht="18" customHeight="1" thickBot="1" x14ac:dyDescent="0.3">
      <c r="A25" s="978" t="s">
        <v>99</v>
      </c>
      <c r="B25" s="699" t="s">
        <v>100</v>
      </c>
      <c r="C25" s="700" t="s">
        <v>101</v>
      </c>
      <c r="D25" s="701">
        <v>1073821697</v>
      </c>
      <c r="E25" s="702" t="s">
        <v>548</v>
      </c>
      <c r="F25" s="650">
        <v>43528</v>
      </c>
      <c r="G25" s="650">
        <v>43555</v>
      </c>
      <c r="H25" s="679" t="s">
        <v>33</v>
      </c>
      <c r="I25" s="679">
        <v>12</v>
      </c>
      <c r="J25" s="679" t="s">
        <v>4</v>
      </c>
      <c r="K25" s="703">
        <v>3125614051</v>
      </c>
      <c r="L25" s="703" t="s">
        <v>273</v>
      </c>
      <c r="M25" s="648" t="s">
        <v>36</v>
      </c>
      <c r="N25" s="1124" t="s">
        <v>217</v>
      </c>
      <c r="O25" s="38"/>
    </row>
    <row r="26" spans="1:15" ht="20.05" customHeight="1" thickBot="1" x14ac:dyDescent="0.3">
      <c r="A26" s="978"/>
      <c r="B26" s="665" t="s">
        <v>34</v>
      </c>
      <c r="C26" s="659" t="s">
        <v>35</v>
      </c>
      <c r="D26" s="408">
        <v>1577229</v>
      </c>
      <c r="E26" s="39" t="s">
        <v>533</v>
      </c>
      <c r="F26" s="649">
        <v>43528</v>
      </c>
      <c r="G26" s="649">
        <v>43555</v>
      </c>
      <c r="H26" s="669" t="s">
        <v>33</v>
      </c>
      <c r="I26" s="669">
        <v>12</v>
      </c>
      <c r="J26" s="669" t="s">
        <v>4</v>
      </c>
      <c r="K26" s="671">
        <v>3205316814</v>
      </c>
      <c r="L26" s="40" t="s">
        <v>274</v>
      </c>
      <c r="M26" s="671" t="s">
        <v>36</v>
      </c>
      <c r="N26" s="1125"/>
      <c r="O26" s="38"/>
    </row>
    <row r="27" spans="1:15" ht="20.05" customHeight="1" thickBot="1" x14ac:dyDescent="0.3">
      <c r="A27" s="978"/>
      <c r="B27" s="962" t="s">
        <v>1073</v>
      </c>
      <c r="C27" s="965" t="s">
        <v>1074</v>
      </c>
      <c r="D27" s="968">
        <v>26188481</v>
      </c>
      <c r="E27" s="971" t="s">
        <v>571</v>
      </c>
      <c r="F27" s="1017">
        <v>43528</v>
      </c>
      <c r="G27" s="1017">
        <v>43555</v>
      </c>
      <c r="H27" s="1053" t="s">
        <v>66</v>
      </c>
      <c r="I27" s="491">
        <v>20</v>
      </c>
      <c r="J27" s="491" t="s">
        <v>226</v>
      </c>
      <c r="K27" s="965" t="s">
        <v>1076</v>
      </c>
      <c r="L27" s="965" t="s">
        <v>1075</v>
      </c>
      <c r="M27" s="671" t="s">
        <v>45</v>
      </c>
      <c r="N27" s="680"/>
      <c r="O27" s="38"/>
    </row>
    <row r="28" spans="1:15" ht="20.05" customHeight="1" thickBot="1" x14ac:dyDescent="0.3">
      <c r="A28" s="978"/>
      <c r="B28" s="963"/>
      <c r="C28" s="966"/>
      <c r="D28" s="969"/>
      <c r="E28" s="972"/>
      <c r="F28" s="1018"/>
      <c r="G28" s="1018"/>
      <c r="H28" s="1054"/>
      <c r="I28" s="491">
        <v>20</v>
      </c>
      <c r="J28" s="491" t="s">
        <v>4</v>
      </c>
      <c r="K28" s="966"/>
      <c r="L28" s="966"/>
      <c r="M28" s="671" t="s">
        <v>823</v>
      </c>
      <c r="N28" s="680"/>
      <c r="O28" s="38"/>
    </row>
    <row r="29" spans="1:15" ht="20.05" customHeight="1" thickBot="1" x14ac:dyDescent="0.3">
      <c r="A29" s="978"/>
      <c r="B29" s="964"/>
      <c r="C29" s="967"/>
      <c r="D29" s="970"/>
      <c r="E29" s="973"/>
      <c r="F29" s="1019"/>
      <c r="G29" s="1019"/>
      <c r="H29" s="1055"/>
      <c r="I29" s="491">
        <v>20</v>
      </c>
      <c r="J29" s="491" t="s">
        <v>5</v>
      </c>
      <c r="K29" s="967"/>
      <c r="L29" s="967"/>
      <c r="M29" s="671" t="s">
        <v>823</v>
      </c>
      <c r="N29" s="680"/>
      <c r="O29" s="38"/>
    </row>
    <row r="30" spans="1:15" ht="20.05" customHeight="1" thickBot="1" x14ac:dyDescent="0.3">
      <c r="A30" s="978"/>
      <c r="B30" s="1040" t="s">
        <v>102</v>
      </c>
      <c r="C30" s="1047" t="s">
        <v>103</v>
      </c>
      <c r="D30" s="408"/>
      <c r="E30" s="1014" t="s">
        <v>531</v>
      </c>
      <c r="F30" s="675">
        <v>43528</v>
      </c>
      <c r="G30" s="675">
        <v>43555</v>
      </c>
      <c r="H30" s="491" t="s">
        <v>33</v>
      </c>
      <c r="I30" s="491">
        <v>12</v>
      </c>
      <c r="J30" s="491" t="s">
        <v>4</v>
      </c>
      <c r="K30" s="1057" t="s">
        <v>276</v>
      </c>
      <c r="L30" s="965" t="s">
        <v>256</v>
      </c>
      <c r="M30" s="671" t="s">
        <v>823</v>
      </c>
      <c r="N30" s="680"/>
      <c r="O30" s="38"/>
    </row>
    <row r="31" spans="1:15" ht="20.05" customHeight="1" thickBot="1" x14ac:dyDescent="0.3">
      <c r="A31" s="978"/>
      <c r="B31" s="1041"/>
      <c r="C31" s="1048"/>
      <c r="D31" s="409">
        <v>7374838</v>
      </c>
      <c r="E31" s="1014"/>
      <c r="F31" s="1017">
        <v>43531</v>
      </c>
      <c r="G31" s="1017">
        <v>43555</v>
      </c>
      <c r="H31" s="1033" t="s">
        <v>765</v>
      </c>
      <c r="I31" s="669">
        <v>20</v>
      </c>
      <c r="J31" s="669" t="s">
        <v>226</v>
      </c>
      <c r="K31" s="1058"/>
      <c r="L31" s="966"/>
      <c r="M31" s="671" t="s">
        <v>45</v>
      </c>
      <c r="N31" s="680"/>
      <c r="O31" s="38"/>
    </row>
    <row r="32" spans="1:15" ht="19.55" customHeight="1" thickBot="1" x14ac:dyDescent="0.3">
      <c r="A32" s="978"/>
      <c r="B32" s="1042"/>
      <c r="C32" s="1049"/>
      <c r="D32" s="410"/>
      <c r="E32" s="1014"/>
      <c r="F32" s="1019"/>
      <c r="G32" s="1019"/>
      <c r="H32" s="1034"/>
      <c r="I32" s="669">
        <v>20</v>
      </c>
      <c r="J32" s="669" t="s">
        <v>8</v>
      </c>
      <c r="K32" s="1059"/>
      <c r="L32" s="967"/>
      <c r="M32" s="671" t="s">
        <v>224</v>
      </c>
      <c r="N32" s="42"/>
      <c r="O32" s="38"/>
    </row>
    <row r="33" spans="1:15" ht="19.55" customHeight="1" thickBot="1" x14ac:dyDescent="0.4">
      <c r="A33" s="978"/>
      <c r="B33" s="797" t="s">
        <v>631</v>
      </c>
      <c r="C33" s="798" t="s">
        <v>632</v>
      </c>
      <c r="D33" s="422">
        <v>26192149</v>
      </c>
      <c r="E33" s="796" t="s">
        <v>633</v>
      </c>
      <c r="F33" s="675">
        <v>43528</v>
      </c>
      <c r="G33" s="675">
        <v>43555</v>
      </c>
      <c r="H33" s="491" t="s">
        <v>33</v>
      </c>
      <c r="I33" s="491">
        <v>12</v>
      </c>
      <c r="J33" s="491" t="s">
        <v>4</v>
      </c>
      <c r="K33" s="795">
        <v>3116797960</v>
      </c>
      <c r="L33" s="795" t="s">
        <v>1464</v>
      </c>
      <c r="M33" s="795" t="s">
        <v>1544</v>
      </c>
      <c r="N33" s="806"/>
      <c r="O33" s="806"/>
    </row>
    <row r="34" spans="1:15" ht="20.05" customHeight="1" thickBot="1" x14ac:dyDescent="0.3">
      <c r="A34" s="978"/>
      <c r="B34" s="664" t="s">
        <v>104</v>
      </c>
      <c r="C34" s="271" t="s">
        <v>105</v>
      </c>
      <c r="D34" s="656">
        <v>35114652</v>
      </c>
      <c r="E34" s="663" t="s">
        <v>522</v>
      </c>
      <c r="F34" s="678">
        <v>43528</v>
      </c>
      <c r="G34" s="678">
        <v>43555</v>
      </c>
      <c r="H34" s="708" t="s">
        <v>33</v>
      </c>
      <c r="I34" s="708">
        <v>12</v>
      </c>
      <c r="J34" s="708" t="s">
        <v>4</v>
      </c>
      <c r="K34" s="663">
        <v>3218701120</v>
      </c>
      <c r="L34" s="109" t="s">
        <v>275</v>
      </c>
      <c r="M34" s="43" t="s">
        <v>36</v>
      </c>
      <c r="N34" s="709"/>
      <c r="O34" s="710"/>
    </row>
    <row r="35" spans="1:15" ht="20.05" customHeight="1" thickBot="1" x14ac:dyDescent="0.3">
      <c r="A35" s="983" t="s">
        <v>244</v>
      </c>
      <c r="B35" s="660" t="s">
        <v>628</v>
      </c>
      <c r="C35" s="658" t="s">
        <v>629</v>
      </c>
      <c r="D35" s="413">
        <v>26042329</v>
      </c>
      <c r="E35" s="62" t="s">
        <v>532</v>
      </c>
      <c r="F35" s="651">
        <v>43528</v>
      </c>
      <c r="G35" s="651">
        <v>43555</v>
      </c>
      <c r="H35" s="653" t="s">
        <v>33</v>
      </c>
      <c r="I35" s="653">
        <v>12</v>
      </c>
      <c r="J35" s="653" t="s">
        <v>4</v>
      </c>
      <c r="K35" s="62">
        <v>3014746332</v>
      </c>
      <c r="L35" s="104" t="s">
        <v>630</v>
      </c>
      <c r="M35" s="682" t="s">
        <v>49</v>
      </c>
      <c r="N35" s="32"/>
      <c r="O35" s="707"/>
    </row>
    <row r="36" spans="1:15" ht="20.05" customHeight="1" thickBot="1" x14ac:dyDescent="0.3">
      <c r="A36" s="984"/>
      <c r="B36" s="265" t="s">
        <v>637</v>
      </c>
      <c r="C36" s="266" t="s">
        <v>48</v>
      </c>
      <c r="D36" s="414">
        <v>26042064</v>
      </c>
      <c r="E36" s="20" t="s">
        <v>532</v>
      </c>
      <c r="F36" s="490">
        <v>43528</v>
      </c>
      <c r="G36" s="490">
        <v>43555</v>
      </c>
      <c r="H36" s="491" t="s">
        <v>33</v>
      </c>
      <c r="I36" s="491">
        <v>12</v>
      </c>
      <c r="J36" s="491" t="s">
        <v>4</v>
      </c>
      <c r="K36" s="20">
        <v>3106029445</v>
      </c>
      <c r="L36" s="102" t="s">
        <v>285</v>
      </c>
      <c r="M36" s="258" t="s">
        <v>49</v>
      </c>
      <c r="N36" s="29"/>
      <c r="O36" s="33"/>
    </row>
    <row r="37" spans="1:15" ht="20.05" customHeight="1" thickBot="1" x14ac:dyDescent="0.3">
      <c r="A37" s="984"/>
      <c r="B37" s="1005" t="s">
        <v>50</v>
      </c>
      <c r="C37" s="988" t="s">
        <v>51</v>
      </c>
      <c r="D37" s="1021">
        <v>1556973</v>
      </c>
      <c r="E37" s="985" t="s">
        <v>542</v>
      </c>
      <c r="F37" s="490">
        <v>43528</v>
      </c>
      <c r="G37" s="490">
        <v>43555</v>
      </c>
      <c r="H37" s="491" t="s">
        <v>33</v>
      </c>
      <c r="I37" s="491">
        <v>12</v>
      </c>
      <c r="J37" s="491" t="s">
        <v>4</v>
      </c>
      <c r="K37" s="20">
        <v>3012274296</v>
      </c>
      <c r="L37" s="102" t="s">
        <v>282</v>
      </c>
      <c r="M37" s="258" t="s">
        <v>47</v>
      </c>
      <c r="N37" s="29"/>
      <c r="O37" s="33"/>
    </row>
    <row r="38" spans="1:15" ht="20.05" customHeight="1" thickBot="1" x14ac:dyDescent="0.3">
      <c r="A38" s="984"/>
      <c r="B38" s="1005"/>
      <c r="C38" s="988"/>
      <c r="D38" s="1039"/>
      <c r="E38" s="986"/>
      <c r="F38" s="556">
        <v>43531</v>
      </c>
      <c r="G38" s="556">
        <v>43555</v>
      </c>
      <c r="H38" s="557" t="s">
        <v>765</v>
      </c>
      <c r="I38" s="557">
        <v>20</v>
      </c>
      <c r="J38" s="557" t="s">
        <v>226</v>
      </c>
      <c r="K38" s="20">
        <v>3012274296</v>
      </c>
      <c r="L38" s="101" t="s">
        <v>248</v>
      </c>
      <c r="M38" s="497" t="s">
        <v>134</v>
      </c>
      <c r="N38" s="29"/>
      <c r="O38" s="33"/>
    </row>
    <row r="39" spans="1:15" ht="20.05" customHeight="1" thickBot="1" x14ac:dyDescent="0.3">
      <c r="A39" s="984"/>
      <c r="B39" s="1005" t="s">
        <v>52</v>
      </c>
      <c r="C39" s="988" t="s">
        <v>53</v>
      </c>
      <c r="D39" s="1021">
        <v>26075082</v>
      </c>
      <c r="E39" s="985" t="s">
        <v>682</v>
      </c>
      <c r="F39" s="490">
        <v>43528</v>
      </c>
      <c r="G39" s="490">
        <v>43555</v>
      </c>
      <c r="H39" s="491" t="s">
        <v>765</v>
      </c>
      <c r="I39" s="491">
        <v>12</v>
      </c>
      <c r="J39" s="491" t="s">
        <v>226</v>
      </c>
      <c r="K39" s="20">
        <v>7778385</v>
      </c>
      <c r="L39" s="101" t="s">
        <v>283</v>
      </c>
      <c r="M39" s="497" t="s">
        <v>134</v>
      </c>
      <c r="N39" s="29"/>
      <c r="O39" s="33"/>
    </row>
    <row r="40" spans="1:15" ht="20.05" customHeight="1" thickBot="1" x14ac:dyDescent="0.3">
      <c r="A40" s="984"/>
      <c r="B40" s="1005"/>
      <c r="C40" s="988"/>
      <c r="D40" s="1039"/>
      <c r="E40" s="986"/>
      <c r="F40" s="556">
        <v>43531</v>
      </c>
      <c r="G40" s="556">
        <v>43555</v>
      </c>
      <c r="H40" s="491" t="s">
        <v>33</v>
      </c>
      <c r="I40" s="491">
        <v>12</v>
      </c>
      <c r="J40" s="491" t="s">
        <v>4</v>
      </c>
      <c r="K40" s="20">
        <v>7778385</v>
      </c>
      <c r="L40" s="101" t="s">
        <v>247</v>
      </c>
      <c r="M40" s="497" t="s">
        <v>49</v>
      </c>
      <c r="N40" s="29"/>
      <c r="O40" s="33"/>
    </row>
    <row r="41" spans="1:15" ht="20.05" customHeight="1" thickBot="1" x14ac:dyDescent="0.3">
      <c r="A41" s="984"/>
      <c r="B41" s="265" t="s">
        <v>865</v>
      </c>
      <c r="C41" s="266" t="s">
        <v>866</v>
      </c>
      <c r="D41" s="413">
        <v>6638982</v>
      </c>
      <c r="E41" s="225" t="s">
        <v>571</v>
      </c>
      <c r="F41" s="490">
        <v>43528</v>
      </c>
      <c r="G41" s="490">
        <v>43555</v>
      </c>
      <c r="H41" s="491" t="s">
        <v>33</v>
      </c>
      <c r="I41" s="491">
        <v>12</v>
      </c>
      <c r="J41" s="491" t="s">
        <v>4</v>
      </c>
      <c r="K41" s="224">
        <v>3002628025</v>
      </c>
      <c r="L41" s="234" t="s">
        <v>887</v>
      </c>
      <c r="M41" s="497" t="s">
        <v>49</v>
      </c>
      <c r="N41" s="29"/>
      <c r="O41" s="33"/>
    </row>
    <row r="42" spans="1:15" ht="20.05" customHeight="1" thickBot="1" x14ac:dyDescent="0.3">
      <c r="A42" s="984"/>
      <c r="B42" s="1005" t="s">
        <v>240</v>
      </c>
      <c r="C42" s="988" t="s">
        <v>241</v>
      </c>
      <c r="D42" s="1021">
        <v>1545837</v>
      </c>
      <c r="E42" s="1032" t="s">
        <v>681</v>
      </c>
      <c r="F42" s="490">
        <v>43528</v>
      </c>
      <c r="G42" s="490">
        <v>43555</v>
      </c>
      <c r="H42" s="491" t="s">
        <v>33</v>
      </c>
      <c r="I42" s="491">
        <v>12</v>
      </c>
      <c r="J42" s="491" t="s">
        <v>226</v>
      </c>
      <c r="K42" s="985">
        <v>3006314857</v>
      </c>
      <c r="L42" s="985" t="s">
        <v>242</v>
      </c>
      <c r="M42" s="497" t="s">
        <v>134</v>
      </c>
      <c r="N42" s="29"/>
      <c r="O42" s="33"/>
    </row>
    <row r="43" spans="1:15" ht="20.05" customHeight="1" thickBot="1" x14ac:dyDescent="0.3">
      <c r="A43" s="984"/>
      <c r="B43" s="1005"/>
      <c r="C43" s="988"/>
      <c r="D43" s="1039"/>
      <c r="E43" s="1032"/>
      <c r="F43" s="329"/>
      <c r="G43" s="329"/>
      <c r="H43" s="17"/>
      <c r="I43" s="17"/>
      <c r="J43" s="17"/>
      <c r="K43" s="986"/>
      <c r="L43" s="986"/>
      <c r="M43" s="497" t="s">
        <v>49</v>
      </c>
      <c r="N43" s="29"/>
      <c r="O43" s="33"/>
    </row>
    <row r="44" spans="1:15" ht="20.05" customHeight="1" thickBot="1" x14ac:dyDescent="0.3">
      <c r="A44" s="984"/>
      <c r="B44" s="520" t="s">
        <v>653</v>
      </c>
      <c r="C44" s="521" t="s">
        <v>654</v>
      </c>
      <c r="D44" s="522">
        <v>15036751</v>
      </c>
      <c r="E44" s="523"/>
      <c r="F44" s="524">
        <v>43528</v>
      </c>
      <c r="G44" s="524">
        <v>43555</v>
      </c>
      <c r="H44" s="357" t="s">
        <v>33</v>
      </c>
      <c r="I44" s="525"/>
      <c r="J44" s="525"/>
      <c r="K44" s="488" t="s">
        <v>791</v>
      </c>
      <c r="L44" s="523" t="s">
        <v>790</v>
      </c>
      <c r="M44" s="523" t="s">
        <v>49</v>
      </c>
      <c r="N44" s="1114" t="s">
        <v>1253</v>
      </c>
      <c r="O44" s="1115"/>
    </row>
    <row r="45" spans="1:15" ht="20.05" customHeight="1" thickBot="1" x14ac:dyDescent="0.3">
      <c r="A45" s="984"/>
      <c r="B45" s="265" t="s">
        <v>487</v>
      </c>
      <c r="C45" s="266" t="s">
        <v>488</v>
      </c>
      <c r="D45" s="414">
        <v>26043116</v>
      </c>
      <c r="E45" s="20" t="s">
        <v>530</v>
      </c>
      <c r="F45" s="490">
        <v>43528</v>
      </c>
      <c r="G45" s="490">
        <v>43555</v>
      </c>
      <c r="H45" s="486" t="s">
        <v>33</v>
      </c>
      <c r="I45" s="484">
        <v>12</v>
      </c>
      <c r="J45" s="484" t="s">
        <v>4</v>
      </c>
      <c r="K45" s="19">
        <v>3012214454</v>
      </c>
      <c r="L45" s="100" t="s">
        <v>489</v>
      </c>
      <c r="M45" s="496" t="s">
        <v>47</v>
      </c>
      <c r="N45" s="29"/>
      <c r="O45" s="33"/>
    </row>
    <row r="46" spans="1:15" ht="20.05" customHeight="1" thickBot="1" x14ac:dyDescent="0.3">
      <c r="A46" s="984"/>
      <c r="B46" s="265" t="s">
        <v>907</v>
      </c>
      <c r="C46" s="266" t="s">
        <v>908</v>
      </c>
      <c r="D46" s="416">
        <v>26066173</v>
      </c>
      <c r="E46" s="247" t="s">
        <v>647</v>
      </c>
      <c r="F46" s="320"/>
      <c r="G46" s="320"/>
      <c r="H46" s="330"/>
      <c r="I46" s="330"/>
      <c r="J46" s="321"/>
      <c r="K46" s="249" t="s">
        <v>909</v>
      </c>
      <c r="L46" s="251" t="s">
        <v>910</v>
      </c>
      <c r="M46" s="509" t="s">
        <v>49</v>
      </c>
      <c r="N46" s="29"/>
      <c r="O46" s="33"/>
    </row>
    <row r="47" spans="1:15" ht="20.05" customHeight="1" thickBot="1" x14ac:dyDescent="0.3">
      <c r="A47" s="984"/>
      <c r="B47" s="1005" t="s">
        <v>54</v>
      </c>
      <c r="C47" s="988" t="s">
        <v>55</v>
      </c>
      <c r="D47" s="1021">
        <v>22839023</v>
      </c>
      <c r="E47" s="1037" t="s">
        <v>537</v>
      </c>
      <c r="F47" s="490">
        <v>43530</v>
      </c>
      <c r="G47" s="490">
        <v>43555</v>
      </c>
      <c r="H47" s="486" t="s">
        <v>765</v>
      </c>
      <c r="I47" s="484">
        <v>20</v>
      </c>
      <c r="J47" s="484" t="s">
        <v>4</v>
      </c>
      <c r="K47" s="20">
        <v>3007858514</v>
      </c>
      <c r="L47" s="102" t="s">
        <v>245</v>
      </c>
      <c r="M47" s="258" t="s">
        <v>47</v>
      </c>
      <c r="N47" s="1112"/>
      <c r="O47" s="33"/>
    </row>
    <row r="48" spans="1:15" ht="20.05" customHeight="1" thickBot="1" x14ac:dyDescent="0.3">
      <c r="A48" s="984"/>
      <c r="B48" s="1005"/>
      <c r="C48" s="988"/>
      <c r="D48" s="1039"/>
      <c r="E48" s="1038"/>
      <c r="F48" s="543">
        <v>43528</v>
      </c>
      <c r="G48" s="543">
        <v>43555</v>
      </c>
      <c r="H48" s="544" t="s">
        <v>33</v>
      </c>
      <c r="I48" s="542">
        <v>12</v>
      </c>
      <c r="J48" s="542" t="s">
        <v>226</v>
      </c>
      <c r="K48" s="20">
        <v>3007858514</v>
      </c>
      <c r="L48" s="102" t="s">
        <v>277</v>
      </c>
      <c r="M48" s="258" t="s">
        <v>134</v>
      </c>
      <c r="N48" s="1113"/>
      <c r="O48" s="33"/>
    </row>
    <row r="49" spans="1:15" ht="20.05" customHeight="1" thickBot="1" x14ac:dyDescent="0.3">
      <c r="A49" s="984"/>
      <c r="B49" s="1005" t="s">
        <v>56</v>
      </c>
      <c r="C49" s="988" t="s">
        <v>57</v>
      </c>
      <c r="D49" s="1021">
        <v>26043629</v>
      </c>
      <c r="E49" s="985" t="s">
        <v>538</v>
      </c>
      <c r="F49" s="466">
        <v>43526</v>
      </c>
      <c r="G49" s="466">
        <v>43555</v>
      </c>
      <c r="H49" s="474" t="s">
        <v>765</v>
      </c>
      <c r="I49" s="474">
        <v>12</v>
      </c>
      <c r="J49" s="474" t="s">
        <v>8</v>
      </c>
      <c r="K49" s="985">
        <v>3008054183</v>
      </c>
      <c r="L49" s="985" t="s">
        <v>250</v>
      </c>
      <c r="M49" s="258" t="s">
        <v>69</v>
      </c>
      <c r="N49" s="29"/>
      <c r="O49" s="33"/>
    </row>
    <row r="50" spans="1:15" ht="20.05" customHeight="1" thickBot="1" x14ac:dyDescent="0.3">
      <c r="A50" s="984"/>
      <c r="B50" s="1005"/>
      <c r="C50" s="988"/>
      <c r="D50" s="1039"/>
      <c r="E50" s="986"/>
      <c r="F50" s="490">
        <v>43528</v>
      </c>
      <c r="G50" s="490">
        <v>43555</v>
      </c>
      <c r="H50" s="486" t="s">
        <v>33</v>
      </c>
      <c r="I50" s="484">
        <v>12</v>
      </c>
      <c r="J50" s="484" t="s">
        <v>4</v>
      </c>
      <c r="K50" s="986"/>
      <c r="L50" s="986"/>
      <c r="M50" s="258" t="s">
        <v>47</v>
      </c>
      <c r="N50" s="29"/>
      <c r="O50" s="33"/>
    </row>
    <row r="51" spans="1:15" ht="20.05" customHeight="1" thickBot="1" x14ac:dyDescent="0.3">
      <c r="A51" s="984"/>
      <c r="B51" s="1005" t="s">
        <v>827</v>
      </c>
      <c r="C51" s="988" t="s">
        <v>828</v>
      </c>
      <c r="D51" s="1021" t="s">
        <v>1420</v>
      </c>
      <c r="E51" s="985" t="s">
        <v>829</v>
      </c>
      <c r="F51" s="1026"/>
      <c r="G51" s="1026"/>
      <c r="H51" s="985"/>
      <c r="I51" s="326"/>
      <c r="J51" s="326"/>
      <c r="K51" s="985">
        <v>3224911438</v>
      </c>
      <c r="L51" s="985" t="s">
        <v>830</v>
      </c>
      <c r="M51" s="497" t="s">
        <v>69</v>
      </c>
      <c r="N51" s="1096" t="s">
        <v>948</v>
      </c>
      <c r="O51" s="334"/>
    </row>
    <row r="52" spans="1:15" ht="20.05" customHeight="1" thickBot="1" x14ac:dyDescent="0.3">
      <c r="A52" s="984"/>
      <c r="B52" s="1005"/>
      <c r="C52" s="988"/>
      <c r="D52" s="1045"/>
      <c r="E52" s="1031"/>
      <c r="F52" s="1027"/>
      <c r="G52" s="1027"/>
      <c r="H52" s="1031"/>
      <c r="I52" s="326"/>
      <c r="J52" s="326"/>
      <c r="K52" s="1031"/>
      <c r="L52" s="1031"/>
      <c r="M52" s="258" t="s">
        <v>134</v>
      </c>
      <c r="N52" s="1097"/>
      <c r="O52" s="335"/>
    </row>
    <row r="53" spans="1:15" ht="20.05" customHeight="1" thickBot="1" x14ac:dyDescent="0.3">
      <c r="A53" s="984"/>
      <c r="B53" s="1005"/>
      <c r="C53" s="988"/>
      <c r="D53" s="1039"/>
      <c r="E53" s="986"/>
      <c r="F53" s="1028"/>
      <c r="G53" s="1028"/>
      <c r="H53" s="986"/>
      <c r="I53" s="326"/>
      <c r="J53" s="326"/>
      <c r="K53" s="986"/>
      <c r="L53" s="986"/>
      <c r="M53" s="497" t="s">
        <v>47</v>
      </c>
      <c r="N53" s="1098"/>
      <c r="O53" s="336"/>
    </row>
    <row r="54" spans="1:15" ht="20.05" customHeight="1" thickBot="1" x14ac:dyDescent="0.3">
      <c r="A54" s="984"/>
      <c r="B54" s="1005" t="s">
        <v>58</v>
      </c>
      <c r="C54" s="988" t="s">
        <v>59</v>
      </c>
      <c r="D54" s="1021">
        <v>22859615</v>
      </c>
      <c r="E54" s="985" t="s">
        <v>532</v>
      </c>
      <c r="F54" s="490">
        <v>43528</v>
      </c>
      <c r="G54" s="490">
        <v>43555</v>
      </c>
      <c r="H54" s="486" t="s">
        <v>33</v>
      </c>
      <c r="I54" s="484">
        <v>12</v>
      </c>
      <c r="J54" s="484" t="s">
        <v>4</v>
      </c>
      <c r="K54" s="985">
        <v>3146017015</v>
      </c>
      <c r="L54" s="985" t="s">
        <v>278</v>
      </c>
      <c r="M54" s="258" t="s">
        <v>47</v>
      </c>
      <c r="N54" s="1099" t="s">
        <v>620</v>
      </c>
      <c r="O54" s="1094"/>
    </row>
    <row r="55" spans="1:15" ht="20.05" customHeight="1" thickBot="1" x14ac:dyDescent="0.3">
      <c r="A55" s="984"/>
      <c r="B55" s="1005"/>
      <c r="C55" s="988"/>
      <c r="D55" s="1045"/>
      <c r="E55" s="1031"/>
      <c r="F55" s="1017">
        <v>43530</v>
      </c>
      <c r="G55" s="1017">
        <v>43555</v>
      </c>
      <c r="H55" s="1033" t="s">
        <v>765</v>
      </c>
      <c r="I55" s="544">
        <v>20</v>
      </c>
      <c r="J55" s="544" t="s">
        <v>226</v>
      </c>
      <c r="K55" s="1031"/>
      <c r="L55" s="1031"/>
      <c r="M55" s="507" t="s">
        <v>134</v>
      </c>
      <c r="N55" s="1100"/>
      <c r="O55" s="1095"/>
    </row>
    <row r="56" spans="1:15" ht="20.05" customHeight="1" thickBot="1" x14ac:dyDescent="0.3">
      <c r="A56" s="984"/>
      <c r="B56" s="1005"/>
      <c r="C56" s="988"/>
      <c r="D56" s="1039"/>
      <c r="E56" s="986"/>
      <c r="F56" s="1019"/>
      <c r="G56" s="1019"/>
      <c r="H56" s="1034"/>
      <c r="I56" s="544">
        <v>12</v>
      </c>
      <c r="J56" s="544" t="s">
        <v>4</v>
      </c>
      <c r="K56" s="986"/>
      <c r="L56" s="986"/>
      <c r="M56" s="507" t="s">
        <v>47</v>
      </c>
      <c r="N56" s="1101"/>
      <c r="O56" s="33"/>
    </row>
    <row r="57" spans="1:15" ht="20.05" customHeight="1" thickBot="1" x14ac:dyDescent="0.3">
      <c r="A57" s="984"/>
      <c r="B57" s="974" t="s">
        <v>60</v>
      </c>
      <c r="C57" s="1029" t="s">
        <v>61</v>
      </c>
      <c r="D57" s="416">
        <v>26045071</v>
      </c>
      <c r="E57" s="985" t="s">
        <v>532</v>
      </c>
      <c r="F57" s="490">
        <v>43528</v>
      </c>
      <c r="G57" s="490">
        <v>43555</v>
      </c>
      <c r="H57" s="486" t="s">
        <v>33</v>
      </c>
      <c r="I57" s="484">
        <v>12</v>
      </c>
      <c r="J57" s="484" t="s">
        <v>226</v>
      </c>
      <c r="K57" s="985">
        <v>3013563598</v>
      </c>
      <c r="L57" s="985" t="s">
        <v>243</v>
      </c>
      <c r="M57" s="497" t="s">
        <v>134</v>
      </c>
      <c r="N57" s="29"/>
      <c r="O57" s="33"/>
    </row>
    <row r="58" spans="1:15" ht="20.25" customHeight="1" thickBot="1" x14ac:dyDescent="0.3">
      <c r="A58" s="984"/>
      <c r="B58" s="975"/>
      <c r="C58" s="1030"/>
      <c r="D58" s="413"/>
      <c r="E58" s="986"/>
      <c r="F58" s="543">
        <v>43530</v>
      </c>
      <c r="G58" s="543">
        <v>43555</v>
      </c>
      <c r="H58" s="544" t="s">
        <v>765</v>
      </c>
      <c r="I58" s="542">
        <v>20</v>
      </c>
      <c r="J58" s="542" t="s">
        <v>4</v>
      </c>
      <c r="K58" s="986"/>
      <c r="L58" s="986"/>
      <c r="M58" s="507" t="s">
        <v>47</v>
      </c>
      <c r="N58" s="29"/>
      <c r="O58" s="33"/>
    </row>
    <row r="59" spans="1:15" ht="20.05" customHeight="1" thickBot="1" x14ac:dyDescent="0.3">
      <c r="A59" s="984"/>
      <c r="B59" s="1005" t="s">
        <v>62</v>
      </c>
      <c r="C59" s="988" t="s">
        <v>63</v>
      </c>
      <c r="D59" s="416"/>
      <c r="E59" s="985" t="s">
        <v>529</v>
      </c>
      <c r="F59" s="490">
        <v>43530</v>
      </c>
      <c r="G59" s="490">
        <v>43555</v>
      </c>
      <c r="H59" s="486" t="s">
        <v>765</v>
      </c>
      <c r="I59" s="484">
        <v>20</v>
      </c>
      <c r="J59" s="484" t="s">
        <v>226</v>
      </c>
      <c r="K59" s="985">
        <v>3002101210</v>
      </c>
      <c r="L59" s="985" t="s">
        <v>237</v>
      </c>
      <c r="M59" s="497" t="s">
        <v>134</v>
      </c>
      <c r="N59" s="29"/>
      <c r="O59" s="33"/>
    </row>
    <row r="60" spans="1:15" ht="20.05" customHeight="1" thickBot="1" x14ac:dyDescent="0.3">
      <c r="A60" s="984"/>
      <c r="B60" s="1005"/>
      <c r="C60" s="988"/>
      <c r="D60" s="418">
        <v>6639070</v>
      </c>
      <c r="E60" s="1031"/>
      <c r="F60" s="543">
        <v>43528</v>
      </c>
      <c r="G60" s="543">
        <v>43555</v>
      </c>
      <c r="H60" s="544" t="s">
        <v>33</v>
      </c>
      <c r="I60" s="542">
        <v>12</v>
      </c>
      <c r="J60" s="542" t="s">
        <v>4</v>
      </c>
      <c r="K60" s="1031"/>
      <c r="L60" s="1031"/>
      <c r="M60" s="258" t="s">
        <v>47</v>
      </c>
      <c r="N60" s="29"/>
      <c r="O60" s="33"/>
    </row>
    <row r="61" spans="1:15" ht="20.05" customHeight="1" thickBot="1" x14ac:dyDescent="0.3">
      <c r="A61" s="984"/>
      <c r="B61" s="1005"/>
      <c r="C61" s="988"/>
      <c r="D61" s="413"/>
      <c r="E61" s="986"/>
      <c r="F61" s="341"/>
      <c r="G61" s="341"/>
      <c r="H61" s="342"/>
      <c r="I61" s="17"/>
      <c r="J61" s="17"/>
      <c r="K61" s="986"/>
      <c r="L61" s="986"/>
      <c r="M61" s="497" t="s">
        <v>69</v>
      </c>
      <c r="N61" s="29"/>
      <c r="O61" s="33"/>
    </row>
    <row r="62" spans="1:15" ht="20.05" customHeight="1" thickBot="1" x14ac:dyDescent="0.3">
      <c r="A62" s="984"/>
      <c r="B62" s="974" t="s">
        <v>655</v>
      </c>
      <c r="C62" s="996" t="s">
        <v>656</v>
      </c>
      <c r="D62" s="411">
        <v>6638667</v>
      </c>
      <c r="E62" s="1051" t="s">
        <v>657</v>
      </c>
      <c r="F62" s="490">
        <v>43528</v>
      </c>
      <c r="G62" s="490">
        <v>43555</v>
      </c>
      <c r="H62" s="486" t="s">
        <v>765</v>
      </c>
      <c r="I62" s="484">
        <v>12</v>
      </c>
      <c r="J62" s="484" t="s">
        <v>4</v>
      </c>
      <c r="K62" s="231">
        <v>3187147033</v>
      </c>
      <c r="L62" s="232" t="s">
        <v>973</v>
      </c>
      <c r="M62" s="258" t="s">
        <v>47</v>
      </c>
      <c r="N62" s="29"/>
      <c r="O62" s="33"/>
    </row>
    <row r="63" spans="1:15" ht="20.05" customHeight="1" thickBot="1" x14ac:dyDescent="0.3">
      <c r="A63" s="984"/>
      <c r="B63" s="975"/>
      <c r="C63" s="998"/>
      <c r="D63" s="412"/>
      <c r="E63" s="1060"/>
      <c r="F63" s="541">
        <v>43530</v>
      </c>
      <c r="G63" s="541">
        <v>43555</v>
      </c>
      <c r="H63" s="544" t="s">
        <v>33</v>
      </c>
      <c r="I63" s="544">
        <v>12</v>
      </c>
      <c r="J63" s="544" t="s">
        <v>226</v>
      </c>
      <c r="K63" s="70">
        <v>3187147033</v>
      </c>
      <c r="L63" s="104" t="s">
        <v>658</v>
      </c>
      <c r="M63" s="258" t="s">
        <v>134</v>
      </c>
      <c r="N63" s="29"/>
      <c r="O63" s="33"/>
    </row>
    <row r="64" spans="1:15" ht="20.05" customHeight="1" thickBot="1" x14ac:dyDescent="0.3">
      <c r="A64" s="984"/>
      <c r="B64" s="826" t="s">
        <v>1568</v>
      </c>
      <c r="C64" s="829" t="s">
        <v>48</v>
      </c>
      <c r="D64" s="413">
        <v>1069472211</v>
      </c>
      <c r="E64" s="827" t="s">
        <v>1569</v>
      </c>
      <c r="F64" s="824">
        <v>43544</v>
      </c>
      <c r="G64" s="824">
        <v>43555</v>
      </c>
      <c r="H64" s="828" t="s">
        <v>33</v>
      </c>
      <c r="I64" s="828">
        <v>12</v>
      </c>
      <c r="J64" s="828" t="s">
        <v>4</v>
      </c>
      <c r="K64" s="825">
        <v>3017606406</v>
      </c>
      <c r="L64" s="830" t="s">
        <v>1570</v>
      </c>
      <c r="M64" s="258" t="s">
        <v>49</v>
      </c>
      <c r="N64" s="29"/>
      <c r="O64" s="33"/>
    </row>
    <row r="65" spans="1:15" ht="20.05" customHeight="1" thickBot="1" x14ac:dyDescent="0.3">
      <c r="A65" s="984"/>
      <c r="B65" s="265" t="s">
        <v>836</v>
      </c>
      <c r="C65" s="266" t="s">
        <v>837</v>
      </c>
      <c r="D65" s="413">
        <v>15036413</v>
      </c>
      <c r="E65" s="210" t="s">
        <v>555</v>
      </c>
      <c r="F65" s="555">
        <v>43531</v>
      </c>
      <c r="G65" s="555">
        <v>43555</v>
      </c>
      <c r="H65" s="558" t="s">
        <v>33</v>
      </c>
      <c r="I65" s="558">
        <v>12</v>
      </c>
      <c r="J65" s="558" t="s">
        <v>4</v>
      </c>
      <c r="K65" s="208">
        <v>3126107679</v>
      </c>
      <c r="L65" s="212" t="s">
        <v>838</v>
      </c>
      <c r="M65" s="258" t="s">
        <v>47</v>
      </c>
      <c r="N65" s="29"/>
      <c r="O65" s="33"/>
    </row>
    <row r="66" spans="1:15" ht="20.05" customHeight="1" thickBot="1" x14ac:dyDescent="0.3">
      <c r="A66" s="984"/>
      <c r="B66" s="810" t="s">
        <v>1550</v>
      </c>
      <c r="C66" s="811" t="s">
        <v>1551</v>
      </c>
      <c r="D66" s="414">
        <v>32730039</v>
      </c>
      <c r="E66" s="250" t="s">
        <v>1552</v>
      </c>
      <c r="F66" s="807">
        <v>43542</v>
      </c>
      <c r="G66" s="807">
        <v>43555</v>
      </c>
      <c r="H66" s="808" t="s">
        <v>33</v>
      </c>
      <c r="I66" s="808">
        <v>12</v>
      </c>
      <c r="J66" s="808" t="s">
        <v>4</v>
      </c>
      <c r="K66" s="809">
        <v>3116830390</v>
      </c>
      <c r="L66" s="250" t="s">
        <v>1553</v>
      </c>
      <c r="M66" s="809" t="s">
        <v>47</v>
      </c>
      <c r="N66" s="819"/>
      <c r="O66" s="819"/>
    </row>
    <row r="67" spans="1:15" ht="20.05" customHeight="1" thickBot="1" x14ac:dyDescent="0.3">
      <c r="A67" s="984"/>
      <c r="B67" s="520" t="s">
        <v>1048</v>
      </c>
      <c r="C67" s="521" t="s">
        <v>1049</v>
      </c>
      <c r="D67" s="522">
        <v>6638689</v>
      </c>
      <c r="E67" s="488" t="s">
        <v>1051</v>
      </c>
      <c r="F67" s="524">
        <v>43528</v>
      </c>
      <c r="G67" s="524">
        <v>43555</v>
      </c>
      <c r="H67" s="357" t="s">
        <v>33</v>
      </c>
      <c r="I67" s="525"/>
      <c r="J67" s="525" t="s">
        <v>4</v>
      </c>
      <c r="K67" s="523">
        <v>3116632470</v>
      </c>
      <c r="L67" s="781" t="s">
        <v>1053</v>
      </c>
      <c r="M67" s="771" t="s">
        <v>47</v>
      </c>
      <c r="N67" s="1119" t="s">
        <v>1524</v>
      </c>
      <c r="O67" s="1120"/>
    </row>
    <row r="68" spans="1:15" ht="20.05" customHeight="1" thickBot="1" x14ac:dyDescent="0.3">
      <c r="A68" s="984"/>
      <c r="B68" s="265" t="s">
        <v>969</v>
      </c>
      <c r="C68" s="324" t="s">
        <v>970</v>
      </c>
      <c r="D68" s="413">
        <v>1564765</v>
      </c>
      <c r="E68" s="325" t="s">
        <v>971</v>
      </c>
      <c r="F68" s="490">
        <v>43528</v>
      </c>
      <c r="G68" s="490">
        <v>43555</v>
      </c>
      <c r="H68" s="486" t="s">
        <v>33</v>
      </c>
      <c r="I68" s="484">
        <v>12</v>
      </c>
      <c r="J68" s="484" t="s">
        <v>4</v>
      </c>
      <c r="K68" s="323">
        <v>3168398130</v>
      </c>
      <c r="L68" s="251" t="s">
        <v>972</v>
      </c>
      <c r="M68" s="258" t="s">
        <v>47</v>
      </c>
      <c r="N68" s="29"/>
      <c r="O68" s="33"/>
    </row>
    <row r="69" spans="1:15" ht="20.05" customHeight="1" thickBot="1" x14ac:dyDescent="0.3">
      <c r="A69" s="984"/>
      <c r="B69" s="265" t="s">
        <v>758</v>
      </c>
      <c r="C69" s="266" t="s">
        <v>759</v>
      </c>
      <c r="D69" s="413">
        <v>3870651</v>
      </c>
      <c r="E69" s="118" t="s">
        <v>647</v>
      </c>
      <c r="F69" s="320"/>
      <c r="G69" s="320"/>
      <c r="H69" s="17"/>
      <c r="I69" s="17"/>
      <c r="J69" s="17"/>
      <c r="K69" s="116">
        <v>3107083190</v>
      </c>
      <c r="L69" s="117" t="s">
        <v>760</v>
      </c>
      <c r="M69" s="258" t="s">
        <v>47</v>
      </c>
      <c r="N69" s="29"/>
      <c r="O69" s="33"/>
    </row>
    <row r="70" spans="1:15" ht="20.05" customHeight="1" thickBot="1" x14ac:dyDescent="0.3">
      <c r="A70" s="984"/>
      <c r="B70" s="265" t="s">
        <v>645</v>
      </c>
      <c r="C70" s="266" t="s">
        <v>646</v>
      </c>
      <c r="D70" s="413">
        <v>26041064</v>
      </c>
      <c r="E70" s="68" t="s">
        <v>647</v>
      </c>
      <c r="F70" s="466">
        <v>43528</v>
      </c>
      <c r="G70" s="466">
        <v>43555</v>
      </c>
      <c r="H70" s="486" t="s">
        <v>33</v>
      </c>
      <c r="I70" s="486">
        <v>12</v>
      </c>
      <c r="J70" s="486" t="s">
        <v>4</v>
      </c>
      <c r="K70" s="68">
        <v>3103611868</v>
      </c>
      <c r="L70" s="104" t="s">
        <v>648</v>
      </c>
      <c r="M70" s="258" t="s">
        <v>49</v>
      </c>
      <c r="N70" s="29"/>
      <c r="O70" s="33"/>
    </row>
    <row r="71" spans="1:15" ht="20.05" customHeight="1" thickBot="1" x14ac:dyDescent="0.3">
      <c r="A71" s="984"/>
      <c r="B71" s="786" t="s">
        <v>1527</v>
      </c>
      <c r="C71" s="787" t="s">
        <v>1528</v>
      </c>
      <c r="D71" s="413">
        <v>1565386</v>
      </c>
      <c r="E71" s="783" t="s">
        <v>515</v>
      </c>
      <c r="F71" s="782">
        <v>43542</v>
      </c>
      <c r="G71" s="782">
        <v>43555</v>
      </c>
      <c r="H71" s="784" t="s">
        <v>33</v>
      </c>
      <c r="I71" s="784">
        <v>12</v>
      </c>
      <c r="J71" s="784" t="s">
        <v>4</v>
      </c>
      <c r="K71" s="783">
        <v>3052921710</v>
      </c>
      <c r="L71" s="785" t="s">
        <v>1529</v>
      </c>
      <c r="M71" s="258" t="s">
        <v>47</v>
      </c>
      <c r="N71" s="29"/>
      <c r="O71" s="33"/>
    </row>
    <row r="72" spans="1:15" ht="20.05" customHeight="1" thickBot="1" x14ac:dyDescent="0.3">
      <c r="A72" s="984"/>
      <c r="B72" s="265" t="s">
        <v>261</v>
      </c>
      <c r="C72" s="266" t="s">
        <v>262</v>
      </c>
      <c r="D72" s="414">
        <v>26044294</v>
      </c>
      <c r="E72" s="216" t="s">
        <v>840</v>
      </c>
      <c r="F72" s="466">
        <v>43528</v>
      </c>
      <c r="G72" s="466">
        <v>43555</v>
      </c>
      <c r="H72" s="486" t="s">
        <v>33</v>
      </c>
      <c r="I72" s="486">
        <v>12</v>
      </c>
      <c r="J72" s="486" t="s">
        <v>4</v>
      </c>
      <c r="K72" s="19">
        <v>3014761148</v>
      </c>
      <c r="L72" s="102" t="s">
        <v>263</v>
      </c>
      <c r="M72" s="258" t="s">
        <v>49</v>
      </c>
      <c r="N72" s="29"/>
      <c r="O72" s="33"/>
    </row>
    <row r="73" spans="1:15" ht="20.05" customHeight="1" thickBot="1" x14ac:dyDescent="0.3">
      <c r="A73" s="984"/>
      <c r="B73" s="974" t="s">
        <v>64</v>
      </c>
      <c r="C73" s="1029" t="s">
        <v>65</v>
      </c>
      <c r="D73" s="416"/>
      <c r="E73" s="985" t="s">
        <v>571</v>
      </c>
      <c r="F73" s="1017">
        <v>43528</v>
      </c>
      <c r="G73" s="1017">
        <v>43555</v>
      </c>
      <c r="H73" s="1033" t="s">
        <v>66</v>
      </c>
      <c r="I73" s="486">
        <v>20</v>
      </c>
      <c r="J73" s="486" t="s">
        <v>4</v>
      </c>
      <c r="K73" s="985">
        <v>3012411824</v>
      </c>
      <c r="L73" s="985" t="s">
        <v>687</v>
      </c>
      <c r="M73" s="258" t="s">
        <v>47</v>
      </c>
      <c r="N73" s="1102"/>
      <c r="O73" s="33"/>
    </row>
    <row r="74" spans="1:15" ht="20.05" customHeight="1" thickBot="1" x14ac:dyDescent="0.3">
      <c r="A74" s="984"/>
      <c r="B74" s="995"/>
      <c r="C74" s="999"/>
      <c r="D74" s="418">
        <v>26045596</v>
      </c>
      <c r="E74" s="1031"/>
      <c r="F74" s="1018"/>
      <c r="G74" s="1018"/>
      <c r="H74" s="1056"/>
      <c r="I74" s="486">
        <v>20</v>
      </c>
      <c r="J74" s="486" t="s">
        <v>226</v>
      </c>
      <c r="K74" s="1031"/>
      <c r="L74" s="1031"/>
      <c r="M74" s="258" t="s">
        <v>134</v>
      </c>
      <c r="N74" s="1102"/>
      <c r="O74" s="33"/>
    </row>
    <row r="75" spans="1:15" ht="20.05" customHeight="1" thickBot="1" x14ac:dyDescent="0.3">
      <c r="A75" s="984"/>
      <c r="B75" s="975"/>
      <c r="C75" s="1030"/>
      <c r="D75" s="413"/>
      <c r="E75" s="986"/>
      <c r="F75" s="1019"/>
      <c r="G75" s="1019"/>
      <c r="H75" s="1034"/>
      <c r="I75" s="486">
        <v>20</v>
      </c>
      <c r="J75" s="486" t="s">
        <v>8</v>
      </c>
      <c r="K75" s="986"/>
      <c r="L75" s="986"/>
      <c r="M75" s="258" t="s">
        <v>69</v>
      </c>
      <c r="N75" s="1102"/>
      <c r="O75" s="33"/>
    </row>
    <row r="76" spans="1:15" ht="20.05" customHeight="1" thickBot="1" x14ac:dyDescent="0.3">
      <c r="A76" s="984"/>
      <c r="B76" s="263" t="s">
        <v>484</v>
      </c>
      <c r="C76" s="264" t="s">
        <v>485</v>
      </c>
      <c r="D76" s="413">
        <v>26044308</v>
      </c>
      <c r="E76" s="20" t="s">
        <v>520</v>
      </c>
      <c r="F76" s="466">
        <v>43528</v>
      </c>
      <c r="G76" s="466">
        <v>43555</v>
      </c>
      <c r="H76" s="486" t="s">
        <v>33</v>
      </c>
      <c r="I76" s="486">
        <v>12</v>
      </c>
      <c r="J76" s="486" t="s">
        <v>4</v>
      </c>
      <c r="K76" s="20">
        <v>3123045347</v>
      </c>
      <c r="L76" s="102" t="s">
        <v>486</v>
      </c>
      <c r="M76" s="258" t="s">
        <v>47</v>
      </c>
      <c r="N76" s="29"/>
      <c r="O76" s="33"/>
    </row>
    <row r="77" spans="1:15" ht="20.05" customHeight="1" thickBot="1" x14ac:dyDescent="0.3">
      <c r="A77" s="984"/>
      <c r="B77" s="833" t="s">
        <v>874</v>
      </c>
      <c r="C77" s="834" t="s">
        <v>875</v>
      </c>
      <c r="D77" s="522">
        <v>26042055</v>
      </c>
      <c r="E77" s="357" t="s">
        <v>647</v>
      </c>
      <c r="F77" s="524"/>
      <c r="G77" s="524"/>
      <c r="H77" s="835"/>
      <c r="I77" s="836"/>
      <c r="J77" s="525"/>
      <c r="K77" s="357">
        <v>3135460801</v>
      </c>
      <c r="L77" s="831" t="s">
        <v>876</v>
      </c>
      <c r="M77" s="831" t="s">
        <v>49</v>
      </c>
      <c r="N77" s="1107" t="s">
        <v>1567</v>
      </c>
      <c r="O77" s="1108"/>
    </row>
    <row r="78" spans="1:15" ht="20.05" customHeight="1" thickBot="1" x14ac:dyDescent="0.3">
      <c r="A78" s="984"/>
      <c r="B78" s="265" t="s">
        <v>67</v>
      </c>
      <c r="C78" s="266" t="s">
        <v>68</v>
      </c>
      <c r="D78" s="518">
        <v>1003504175</v>
      </c>
      <c r="E78" s="20" t="s">
        <v>683</v>
      </c>
      <c r="F78" s="466">
        <v>43528</v>
      </c>
      <c r="G78" s="466">
        <v>43555</v>
      </c>
      <c r="H78" s="486" t="s">
        <v>33</v>
      </c>
      <c r="I78" s="486">
        <v>12</v>
      </c>
      <c r="J78" s="486" t="s">
        <v>8</v>
      </c>
      <c r="K78" s="20">
        <v>3107361726</v>
      </c>
      <c r="L78" s="102" t="s">
        <v>286</v>
      </c>
      <c r="M78" s="258" t="s">
        <v>69</v>
      </c>
      <c r="N78" s="29"/>
      <c r="O78" s="33"/>
    </row>
    <row r="79" spans="1:15" ht="20.05" customHeight="1" thickBot="1" x14ac:dyDescent="0.3">
      <c r="A79" s="984"/>
      <c r="B79" s="974" t="s">
        <v>212</v>
      </c>
      <c r="C79" s="996" t="s">
        <v>213</v>
      </c>
      <c r="D79" s="411"/>
      <c r="E79" s="985" t="s">
        <v>532</v>
      </c>
      <c r="F79" s="466">
        <v>43528</v>
      </c>
      <c r="G79" s="466">
        <v>43555</v>
      </c>
      <c r="H79" s="486" t="s">
        <v>33</v>
      </c>
      <c r="I79" s="486">
        <v>12</v>
      </c>
      <c r="J79" s="486" t="s">
        <v>4</v>
      </c>
      <c r="K79" s="170"/>
      <c r="L79" s="171"/>
      <c r="M79" s="258" t="s">
        <v>49</v>
      </c>
      <c r="N79" s="29"/>
      <c r="O79" s="33"/>
    </row>
    <row r="80" spans="1:15" ht="20.05" customHeight="1" thickBot="1" x14ac:dyDescent="0.3">
      <c r="A80" s="984"/>
      <c r="B80" s="995"/>
      <c r="C80" s="997"/>
      <c r="D80" s="415">
        <v>15035104</v>
      </c>
      <c r="E80" s="1031"/>
      <c r="F80" s="1017">
        <v>43530</v>
      </c>
      <c r="G80" s="1017">
        <v>43555</v>
      </c>
      <c r="H80" s="1033" t="s">
        <v>765</v>
      </c>
      <c r="I80" s="544">
        <v>12</v>
      </c>
      <c r="J80" s="544" t="s">
        <v>8</v>
      </c>
      <c r="K80" s="119"/>
      <c r="L80" s="120"/>
      <c r="M80" s="258" t="s">
        <v>69</v>
      </c>
      <c r="N80" s="29"/>
      <c r="O80" s="33"/>
    </row>
    <row r="81" spans="1:15" ht="20.05" customHeight="1" thickBot="1" x14ac:dyDescent="0.3">
      <c r="A81" s="984"/>
      <c r="B81" s="975"/>
      <c r="C81" s="998"/>
      <c r="D81" s="412"/>
      <c r="E81" s="986"/>
      <c r="F81" s="1019"/>
      <c r="G81" s="1019"/>
      <c r="H81" s="1034"/>
      <c r="I81" s="544">
        <v>12</v>
      </c>
      <c r="J81" s="544" t="s">
        <v>226</v>
      </c>
      <c r="K81" s="98">
        <v>3017673247</v>
      </c>
      <c r="L81" s="99" t="s">
        <v>279</v>
      </c>
      <c r="M81" s="258" t="s">
        <v>134</v>
      </c>
      <c r="N81" s="29"/>
      <c r="O81" s="33"/>
    </row>
    <row r="82" spans="1:15" ht="20.05" customHeight="1" thickBot="1" x14ac:dyDescent="0.3">
      <c r="A82" s="984"/>
      <c r="B82" s="344" t="s">
        <v>70</v>
      </c>
      <c r="C82" s="269" t="s">
        <v>347</v>
      </c>
      <c r="D82" s="416">
        <v>28183374</v>
      </c>
      <c r="E82" s="69" t="s">
        <v>539</v>
      </c>
      <c r="F82" s="528">
        <v>43518</v>
      </c>
      <c r="G82" s="528">
        <v>43539</v>
      </c>
      <c r="H82" s="374" t="s">
        <v>765</v>
      </c>
      <c r="I82" s="529">
        <v>12</v>
      </c>
      <c r="J82" s="374" t="s">
        <v>4</v>
      </c>
      <c r="K82" s="64">
        <v>3012874416</v>
      </c>
      <c r="L82" s="102"/>
      <c r="M82" s="258" t="s">
        <v>47</v>
      </c>
      <c r="N82" s="61"/>
      <c r="O82" s="33"/>
    </row>
    <row r="83" spans="1:15" ht="20.05" customHeight="1" thickBot="1" x14ac:dyDescent="0.3">
      <c r="A83" s="984"/>
      <c r="B83" s="974" t="s">
        <v>71</v>
      </c>
      <c r="C83" s="1029" t="s">
        <v>72</v>
      </c>
      <c r="D83" s="416"/>
      <c r="E83" s="985" t="s">
        <v>954</v>
      </c>
      <c r="F83" s="1088"/>
      <c r="G83" s="1088"/>
      <c r="H83" s="1116"/>
      <c r="I83" s="17"/>
      <c r="J83" s="530"/>
      <c r="K83" s="985">
        <v>3017000093</v>
      </c>
      <c r="L83" s="985" t="s">
        <v>281</v>
      </c>
      <c r="M83" s="258" t="s">
        <v>134</v>
      </c>
      <c r="N83" s="1102"/>
      <c r="O83" s="33"/>
    </row>
    <row r="84" spans="1:15" ht="20.05" customHeight="1" thickBot="1" x14ac:dyDescent="0.3">
      <c r="A84" s="984"/>
      <c r="B84" s="995"/>
      <c r="C84" s="999"/>
      <c r="D84" s="418">
        <v>15042891</v>
      </c>
      <c r="E84" s="1031"/>
      <c r="F84" s="1089"/>
      <c r="G84" s="1089"/>
      <c r="H84" s="1117"/>
      <c r="I84" s="17"/>
      <c r="J84" s="530"/>
      <c r="K84" s="1031"/>
      <c r="L84" s="1031"/>
      <c r="M84" s="258" t="s">
        <v>69</v>
      </c>
      <c r="N84" s="1102"/>
      <c r="O84" s="33"/>
    </row>
    <row r="85" spans="1:15" ht="20.05" customHeight="1" thickBot="1" x14ac:dyDescent="0.3">
      <c r="A85" s="984"/>
      <c r="B85" s="975"/>
      <c r="C85" s="1030"/>
      <c r="D85" s="413"/>
      <c r="E85" s="986"/>
      <c r="F85" s="1090"/>
      <c r="G85" s="1090"/>
      <c r="H85" s="1118"/>
      <c r="I85" s="17"/>
      <c r="J85" s="530"/>
      <c r="K85" s="986"/>
      <c r="L85" s="986"/>
      <c r="M85" s="508" t="s">
        <v>49</v>
      </c>
      <c r="N85" s="1102"/>
      <c r="O85" s="33"/>
    </row>
    <row r="86" spans="1:15" ht="20.05" customHeight="1" thickBot="1" x14ac:dyDescent="0.3">
      <c r="A86" s="984"/>
      <c r="B86" s="974" t="s">
        <v>214</v>
      </c>
      <c r="C86" s="996" t="s">
        <v>215</v>
      </c>
      <c r="D86" s="411">
        <v>53514</v>
      </c>
      <c r="E86" s="985" t="s">
        <v>564</v>
      </c>
      <c r="F86" s="516">
        <v>43528</v>
      </c>
      <c r="G86" s="516">
        <v>43555</v>
      </c>
      <c r="H86" s="487" t="s">
        <v>33</v>
      </c>
      <c r="I86" s="484">
        <v>12</v>
      </c>
      <c r="J86" s="484" t="s">
        <v>226</v>
      </c>
      <c r="K86" s="985">
        <v>3162225917</v>
      </c>
      <c r="L86" s="985" t="s">
        <v>284</v>
      </c>
      <c r="M86" s="497" t="s">
        <v>134</v>
      </c>
      <c r="N86" s="35"/>
      <c r="O86" s="33"/>
    </row>
    <row r="87" spans="1:15" ht="20.05" customHeight="1" thickBot="1" x14ac:dyDescent="0.3">
      <c r="A87" s="984"/>
      <c r="B87" s="1004"/>
      <c r="C87" s="1007"/>
      <c r="D87" s="419"/>
      <c r="E87" s="1020"/>
      <c r="F87" s="331"/>
      <c r="G87" s="331"/>
      <c r="H87" s="332"/>
      <c r="I87" s="332"/>
      <c r="J87" s="332"/>
      <c r="K87" s="1020"/>
      <c r="L87" s="1020"/>
      <c r="M87" s="499" t="s">
        <v>49</v>
      </c>
      <c r="N87" s="31"/>
      <c r="O87" s="33"/>
    </row>
    <row r="88" spans="1:15" ht="20.05" customHeight="1" thickBot="1" x14ac:dyDescent="0.3">
      <c r="A88" s="980" t="s">
        <v>24</v>
      </c>
      <c r="B88" s="1001" t="s">
        <v>132</v>
      </c>
      <c r="C88" s="1015" t="s">
        <v>133</v>
      </c>
      <c r="D88" s="409">
        <v>6618729</v>
      </c>
      <c r="E88" s="1013" t="s">
        <v>520</v>
      </c>
      <c r="F88" s="517">
        <v>43530</v>
      </c>
      <c r="G88" s="517">
        <v>43555</v>
      </c>
      <c r="H88" s="512" t="s">
        <v>765</v>
      </c>
      <c r="I88" s="498">
        <v>12</v>
      </c>
      <c r="J88" s="498" t="s">
        <v>226</v>
      </c>
      <c r="K88" s="966">
        <v>3215473774</v>
      </c>
      <c r="L88" s="966" t="s">
        <v>260</v>
      </c>
      <c r="M88" s="494" t="s">
        <v>134</v>
      </c>
      <c r="N88" s="46"/>
      <c r="O88" s="38"/>
    </row>
    <row r="89" spans="1:15" ht="20.05" customHeight="1" thickBot="1" x14ac:dyDescent="0.3">
      <c r="A89" s="980"/>
      <c r="B89" s="992"/>
      <c r="C89" s="1016"/>
      <c r="D89" s="410"/>
      <c r="E89" s="967"/>
      <c r="F89" s="541">
        <v>43528</v>
      </c>
      <c r="G89" s="541">
        <v>43555</v>
      </c>
      <c r="H89" s="542" t="s">
        <v>33</v>
      </c>
      <c r="I89" s="542">
        <v>12</v>
      </c>
      <c r="J89" s="542" t="s">
        <v>4</v>
      </c>
      <c r="K89" s="967"/>
      <c r="L89" s="967"/>
      <c r="M89" s="501" t="s">
        <v>131</v>
      </c>
      <c r="N89" s="48"/>
      <c r="O89" s="38"/>
    </row>
    <row r="90" spans="1:15" ht="20.05" customHeight="1" thickBot="1" x14ac:dyDescent="0.3">
      <c r="A90" s="980"/>
      <c r="B90" s="1000" t="s">
        <v>300</v>
      </c>
      <c r="C90" s="1012" t="s">
        <v>61</v>
      </c>
      <c r="D90" s="408">
        <v>25910937</v>
      </c>
      <c r="E90" s="1014" t="s">
        <v>520</v>
      </c>
      <c r="F90" s="1017">
        <v>43528</v>
      </c>
      <c r="G90" s="1017">
        <v>43555</v>
      </c>
      <c r="H90" s="1033" t="s">
        <v>66</v>
      </c>
      <c r="I90" s="498">
        <v>24</v>
      </c>
      <c r="J90" s="498" t="s">
        <v>4</v>
      </c>
      <c r="K90" s="965">
        <v>3014889526</v>
      </c>
      <c r="L90" s="965" t="s">
        <v>301</v>
      </c>
      <c r="M90" s="501" t="s">
        <v>131</v>
      </c>
      <c r="N90" s="52"/>
      <c r="O90" s="38"/>
    </row>
    <row r="91" spans="1:15" ht="20.05" customHeight="1" thickBot="1" x14ac:dyDescent="0.3">
      <c r="A91" s="980"/>
      <c r="B91" s="1001"/>
      <c r="C91" s="1015"/>
      <c r="D91" s="410"/>
      <c r="E91" s="1014"/>
      <c r="F91" s="1019"/>
      <c r="G91" s="1019"/>
      <c r="H91" s="1034"/>
      <c r="I91" s="498">
        <v>24</v>
      </c>
      <c r="J91" s="498" t="s">
        <v>5</v>
      </c>
      <c r="K91" s="967"/>
      <c r="L91" s="967"/>
      <c r="M91" s="501" t="s">
        <v>131</v>
      </c>
      <c r="N91" s="52"/>
      <c r="O91" s="38"/>
    </row>
    <row r="92" spans="1:15" ht="20.05" customHeight="1" thickBot="1" x14ac:dyDescent="0.3">
      <c r="A92" s="980"/>
      <c r="B92" s="1000" t="s">
        <v>218</v>
      </c>
      <c r="C92" s="1012" t="s">
        <v>597</v>
      </c>
      <c r="D92" s="968">
        <v>25910625</v>
      </c>
      <c r="E92" s="965" t="s">
        <v>1255</v>
      </c>
      <c r="F92" s="675">
        <v>43528</v>
      </c>
      <c r="G92" s="675">
        <v>43555</v>
      </c>
      <c r="H92" s="669" t="s">
        <v>765</v>
      </c>
      <c r="I92" s="669">
        <v>12</v>
      </c>
      <c r="J92" s="669" t="s">
        <v>226</v>
      </c>
      <c r="K92" s="965">
        <v>3177537668</v>
      </c>
      <c r="L92" s="965" t="s">
        <v>299</v>
      </c>
      <c r="M92" s="493" t="s">
        <v>134</v>
      </c>
      <c r="N92" s="52"/>
      <c r="O92" s="38"/>
    </row>
    <row r="93" spans="1:15" ht="20.05" customHeight="1" thickBot="1" x14ac:dyDescent="0.3">
      <c r="A93" s="980"/>
      <c r="B93" s="1002"/>
      <c r="C93" s="1008"/>
      <c r="D93" s="1011"/>
      <c r="E93" s="1025"/>
      <c r="F93" s="759">
        <v>43539</v>
      </c>
      <c r="G93" s="759">
        <v>43555</v>
      </c>
      <c r="H93" s="760" t="s">
        <v>33</v>
      </c>
      <c r="I93" s="760">
        <v>12</v>
      </c>
      <c r="J93" s="760" t="s">
        <v>4</v>
      </c>
      <c r="K93" s="1025"/>
      <c r="L93" s="1025"/>
      <c r="M93" s="502" t="s">
        <v>131</v>
      </c>
      <c r="N93" s="50"/>
      <c r="O93" s="38"/>
    </row>
    <row r="94" spans="1:15" ht="20.05" customHeight="1" thickBot="1" x14ac:dyDescent="0.3">
      <c r="A94" s="977" t="s">
        <v>22</v>
      </c>
      <c r="B94" s="272" t="s">
        <v>86</v>
      </c>
      <c r="C94" s="273" t="s">
        <v>87</v>
      </c>
      <c r="D94" s="515">
        <v>32514767</v>
      </c>
      <c r="E94" s="202" t="s">
        <v>557</v>
      </c>
      <c r="F94" s="650">
        <v>43528</v>
      </c>
      <c r="G94" s="650">
        <v>43555</v>
      </c>
      <c r="H94" s="679" t="s">
        <v>33</v>
      </c>
      <c r="I94" s="679">
        <v>12</v>
      </c>
      <c r="J94" s="679" t="s">
        <v>4</v>
      </c>
      <c r="K94" s="198">
        <v>3135237669</v>
      </c>
      <c r="L94" s="201" t="s">
        <v>294</v>
      </c>
      <c r="M94" s="509" t="s">
        <v>23</v>
      </c>
      <c r="N94" s="32"/>
      <c r="O94" s="33"/>
    </row>
    <row r="95" spans="1:15" ht="20.05" customHeight="1" thickBot="1" x14ac:dyDescent="0.3">
      <c r="A95" s="977"/>
      <c r="B95" s="974" t="s">
        <v>88</v>
      </c>
      <c r="C95" s="996" t="s">
        <v>89</v>
      </c>
      <c r="D95" s="514">
        <v>25871327</v>
      </c>
      <c r="E95" s="985" t="s">
        <v>558</v>
      </c>
      <c r="F95" s="513">
        <v>43528</v>
      </c>
      <c r="G95" s="513">
        <v>43555</v>
      </c>
      <c r="H95" s="498" t="s">
        <v>33</v>
      </c>
      <c r="I95" s="498">
        <v>12</v>
      </c>
      <c r="J95" s="498" t="s">
        <v>4</v>
      </c>
      <c r="K95" s="985">
        <v>3114225165</v>
      </c>
      <c r="L95" s="985" t="s">
        <v>258</v>
      </c>
      <c r="M95" s="509" t="s">
        <v>23</v>
      </c>
      <c r="N95" s="32"/>
      <c r="O95" s="33"/>
    </row>
    <row r="96" spans="1:15" ht="20.05" customHeight="1" thickBot="1" x14ac:dyDescent="0.3">
      <c r="A96" s="977"/>
      <c r="B96" s="975"/>
      <c r="C96" s="998"/>
      <c r="D96" s="412"/>
      <c r="E96" s="986"/>
      <c r="F96" s="329"/>
      <c r="G96" s="329"/>
      <c r="H96" s="17"/>
      <c r="I96" s="17"/>
      <c r="J96" s="17"/>
      <c r="K96" s="986"/>
      <c r="L96" s="986"/>
      <c r="M96" s="258" t="s">
        <v>252</v>
      </c>
      <c r="N96" s="29"/>
      <c r="O96" s="33"/>
    </row>
    <row r="97" spans="1:15" ht="20.05" customHeight="1" thickBot="1" x14ac:dyDescent="0.3">
      <c r="A97" s="977"/>
      <c r="B97" s="989" t="s">
        <v>999</v>
      </c>
      <c r="C97" s="985" t="s">
        <v>1000</v>
      </c>
      <c r="D97" s="514">
        <v>1550335</v>
      </c>
      <c r="E97" s="985" t="s">
        <v>533</v>
      </c>
      <c r="F97" s="513">
        <v>43528</v>
      </c>
      <c r="G97" s="513">
        <v>43555</v>
      </c>
      <c r="H97" s="498" t="s">
        <v>33</v>
      </c>
      <c r="I97" s="498">
        <v>12</v>
      </c>
      <c r="J97" s="498" t="s">
        <v>4</v>
      </c>
      <c r="K97" s="985">
        <v>3126137243</v>
      </c>
      <c r="L97" s="985" t="s">
        <v>998</v>
      </c>
      <c r="M97" s="258" t="s">
        <v>23</v>
      </c>
      <c r="N97" s="1103" t="s">
        <v>1024</v>
      </c>
      <c r="O97" s="33"/>
    </row>
    <row r="98" spans="1:15" ht="20.05" customHeight="1" thickBot="1" x14ac:dyDescent="0.3">
      <c r="A98" s="977"/>
      <c r="B98" s="990"/>
      <c r="C98" s="986"/>
      <c r="D98" s="412"/>
      <c r="E98" s="986"/>
      <c r="F98" s="531"/>
      <c r="G98" s="531"/>
      <c r="H98" s="530"/>
      <c r="I98" s="530"/>
      <c r="J98" s="530"/>
      <c r="K98" s="986"/>
      <c r="L98" s="986"/>
      <c r="M98" s="258" t="s">
        <v>23</v>
      </c>
      <c r="N98" s="1104"/>
      <c r="O98" s="33"/>
    </row>
    <row r="99" spans="1:15" ht="20.05" customHeight="1" thickBot="1" x14ac:dyDescent="0.3">
      <c r="A99" s="977"/>
      <c r="B99" s="265" t="s">
        <v>90</v>
      </c>
      <c r="C99" s="267" t="s">
        <v>91</v>
      </c>
      <c r="D99" s="417">
        <v>26045221</v>
      </c>
      <c r="E99" s="69" t="s">
        <v>559</v>
      </c>
      <c r="F99" s="513">
        <v>43528</v>
      </c>
      <c r="G99" s="513">
        <v>43555</v>
      </c>
      <c r="H99" s="498" t="s">
        <v>33</v>
      </c>
      <c r="I99" s="498">
        <v>12</v>
      </c>
      <c r="J99" s="498" t="s">
        <v>4</v>
      </c>
      <c r="K99" s="199">
        <v>3106433323</v>
      </c>
      <c r="L99" s="203" t="s">
        <v>295</v>
      </c>
      <c r="M99" s="258" t="s">
        <v>23</v>
      </c>
      <c r="N99" s="34"/>
      <c r="O99" s="33"/>
    </row>
    <row r="100" spans="1:15" ht="20.05" customHeight="1" thickBot="1" x14ac:dyDescent="0.3">
      <c r="A100" s="977"/>
      <c r="B100" s="1005" t="s">
        <v>97</v>
      </c>
      <c r="C100" s="1023" t="s">
        <v>98</v>
      </c>
      <c r="D100" s="1021">
        <v>6808268</v>
      </c>
      <c r="E100" s="1032" t="s">
        <v>532</v>
      </c>
      <c r="F100" s="466">
        <v>43526</v>
      </c>
      <c r="G100" s="466">
        <v>43555</v>
      </c>
      <c r="H100" s="474" t="s">
        <v>765</v>
      </c>
      <c r="I100" s="474">
        <v>20</v>
      </c>
      <c r="J100" s="474" t="s">
        <v>226</v>
      </c>
      <c r="K100" s="985">
        <v>3124569870</v>
      </c>
      <c r="L100" s="985" t="s">
        <v>251</v>
      </c>
      <c r="M100" s="497" t="s">
        <v>252</v>
      </c>
      <c r="N100" s="29"/>
      <c r="O100" s="33"/>
    </row>
    <row r="101" spans="1:15" ht="20.05" customHeight="1" thickBot="1" x14ac:dyDescent="0.3">
      <c r="A101" s="977"/>
      <c r="B101" s="1006"/>
      <c r="C101" s="1024"/>
      <c r="D101" s="1022"/>
      <c r="E101" s="1091"/>
      <c r="F101" s="678">
        <v>43528</v>
      </c>
      <c r="G101" s="678">
        <v>43555</v>
      </c>
      <c r="H101" s="685" t="s">
        <v>33</v>
      </c>
      <c r="I101" s="685">
        <v>12</v>
      </c>
      <c r="J101" s="685" t="s">
        <v>4</v>
      </c>
      <c r="K101" s="1020"/>
      <c r="L101" s="1020"/>
      <c r="M101" s="499" t="s">
        <v>23</v>
      </c>
      <c r="N101" s="31"/>
      <c r="O101" s="33"/>
    </row>
    <row r="102" spans="1:15" ht="20.05" customHeight="1" thickBot="1" x14ac:dyDescent="0.3">
      <c r="A102" s="981" t="s">
        <v>227</v>
      </c>
      <c r="B102" s="1002" t="s">
        <v>228</v>
      </c>
      <c r="C102" s="1008" t="s">
        <v>229</v>
      </c>
      <c r="D102" s="1010">
        <v>50954763</v>
      </c>
      <c r="E102" s="966" t="s">
        <v>558</v>
      </c>
      <c r="F102" s="1084"/>
      <c r="G102" s="1084"/>
      <c r="H102" s="1086"/>
      <c r="I102" s="711"/>
      <c r="J102" s="711"/>
      <c r="K102" s="1082">
        <v>3012840976</v>
      </c>
      <c r="L102" s="1082" t="s">
        <v>227</v>
      </c>
      <c r="M102" s="1082" t="s">
        <v>23</v>
      </c>
      <c r="N102" s="1105" t="s">
        <v>997</v>
      </c>
      <c r="O102" s="1092"/>
    </row>
    <row r="103" spans="1:15" ht="20.05" customHeight="1" thickBot="1" x14ac:dyDescent="0.3">
      <c r="A103" s="981"/>
      <c r="B103" s="1003"/>
      <c r="C103" s="1009"/>
      <c r="D103" s="1011"/>
      <c r="E103" s="1025"/>
      <c r="F103" s="1085"/>
      <c r="G103" s="1085"/>
      <c r="H103" s="1087"/>
      <c r="I103" s="533"/>
      <c r="J103" s="534"/>
      <c r="K103" s="1083"/>
      <c r="L103" s="1083"/>
      <c r="M103" s="1083"/>
      <c r="N103" s="1106"/>
      <c r="O103" s="1093"/>
    </row>
    <row r="104" spans="1:15" ht="20.05" customHeight="1" thickBot="1" x14ac:dyDescent="0.3">
      <c r="A104" s="976" t="s">
        <v>21</v>
      </c>
      <c r="B104" s="994" t="s">
        <v>46</v>
      </c>
      <c r="C104" s="999" t="s">
        <v>73</v>
      </c>
      <c r="D104" s="418"/>
      <c r="E104" s="1079" t="s">
        <v>520</v>
      </c>
      <c r="F104" s="563">
        <v>43528</v>
      </c>
      <c r="G104" s="563">
        <v>43555</v>
      </c>
      <c r="H104" s="565" t="s">
        <v>33</v>
      </c>
      <c r="I104" s="679">
        <v>12</v>
      </c>
      <c r="J104" s="679" t="s">
        <v>4</v>
      </c>
      <c r="K104" s="1079">
        <v>3005070309</v>
      </c>
      <c r="L104" s="1031" t="s">
        <v>255</v>
      </c>
      <c r="M104" s="505" t="s">
        <v>586</v>
      </c>
      <c r="N104" s="28"/>
      <c r="O104" s="33"/>
    </row>
    <row r="105" spans="1:15" ht="20.05" customHeight="1" thickBot="1" x14ac:dyDescent="0.3">
      <c r="A105" s="976"/>
      <c r="B105" s="995"/>
      <c r="C105" s="999"/>
      <c r="D105" s="418">
        <v>15020332</v>
      </c>
      <c r="E105" s="1031"/>
      <c r="F105" s="1017">
        <v>43530</v>
      </c>
      <c r="G105" s="1017">
        <v>31</v>
      </c>
      <c r="H105" s="1033" t="s">
        <v>765</v>
      </c>
      <c r="I105" s="542">
        <v>12</v>
      </c>
      <c r="J105" s="542" t="s">
        <v>226</v>
      </c>
      <c r="K105" s="1031"/>
      <c r="L105" s="1031"/>
      <c r="M105" s="509" t="s">
        <v>216</v>
      </c>
      <c r="N105" s="32"/>
      <c r="O105" s="33"/>
    </row>
    <row r="106" spans="1:15" ht="18" customHeight="1" thickBot="1" x14ac:dyDescent="0.3">
      <c r="A106" s="976"/>
      <c r="B106" s="995"/>
      <c r="C106" s="999"/>
      <c r="D106" s="418"/>
      <c r="E106" s="986"/>
      <c r="F106" s="1019"/>
      <c r="G106" s="1019"/>
      <c r="H106" s="1034"/>
      <c r="I106" s="544">
        <v>12</v>
      </c>
      <c r="J106" s="544" t="s">
        <v>8</v>
      </c>
      <c r="K106" s="1031"/>
      <c r="L106" s="1031"/>
      <c r="M106" s="509" t="s">
        <v>232</v>
      </c>
      <c r="N106" s="32"/>
      <c r="O106" s="33"/>
    </row>
    <row r="107" spans="1:15" ht="20.05" customHeight="1" thickBot="1" x14ac:dyDescent="0.3">
      <c r="A107" s="976"/>
      <c r="B107" s="974" t="s">
        <v>74</v>
      </c>
      <c r="C107" s="996" t="s">
        <v>75</v>
      </c>
      <c r="D107" s="411"/>
      <c r="E107" s="1037" t="s">
        <v>680</v>
      </c>
      <c r="F107" s="466">
        <v>43528</v>
      </c>
      <c r="G107" s="466">
        <v>43555</v>
      </c>
      <c r="H107" s="484" t="s">
        <v>33</v>
      </c>
      <c r="I107" s="484">
        <v>12</v>
      </c>
      <c r="J107" s="484" t="s">
        <v>4</v>
      </c>
      <c r="K107" s="985">
        <v>3163811202</v>
      </c>
      <c r="L107" s="985" t="s">
        <v>234</v>
      </c>
      <c r="M107" s="258" t="s">
        <v>348</v>
      </c>
      <c r="N107" s="1075"/>
      <c r="O107" s="33"/>
    </row>
    <row r="108" spans="1:15" ht="20.05" customHeight="1" thickBot="1" x14ac:dyDescent="0.3">
      <c r="A108" s="976"/>
      <c r="B108" s="995"/>
      <c r="C108" s="997"/>
      <c r="D108" s="415">
        <v>6878955</v>
      </c>
      <c r="E108" s="1130"/>
      <c r="F108" s="1017">
        <v>43531</v>
      </c>
      <c r="G108" s="1017">
        <v>43555</v>
      </c>
      <c r="H108" s="1033" t="s">
        <v>765</v>
      </c>
      <c r="I108" s="558">
        <v>8</v>
      </c>
      <c r="J108" s="558" t="s">
        <v>4</v>
      </c>
      <c r="K108" s="1031"/>
      <c r="L108" s="1031"/>
      <c r="M108" s="258" t="s">
        <v>348</v>
      </c>
      <c r="N108" s="1076"/>
      <c r="O108" s="33"/>
    </row>
    <row r="109" spans="1:15" ht="20.05" customHeight="1" thickBot="1" x14ac:dyDescent="0.3">
      <c r="A109" s="976"/>
      <c r="B109" s="975"/>
      <c r="C109" s="998"/>
      <c r="D109" s="412"/>
      <c r="E109" s="1038"/>
      <c r="F109" s="1019"/>
      <c r="G109" s="1019"/>
      <c r="H109" s="1034"/>
      <c r="I109" s="557">
        <v>20</v>
      </c>
      <c r="J109" s="557" t="s">
        <v>8</v>
      </c>
      <c r="K109" s="83"/>
      <c r="L109" s="30"/>
      <c r="M109" s="258" t="s">
        <v>232</v>
      </c>
      <c r="N109" s="1077"/>
      <c r="O109" s="33"/>
    </row>
    <row r="110" spans="1:15" ht="20.05" customHeight="1" thickBot="1" x14ac:dyDescent="0.3">
      <c r="A110" s="976"/>
      <c r="B110" s="265" t="s">
        <v>76</v>
      </c>
      <c r="C110" s="266" t="s">
        <v>77</v>
      </c>
      <c r="D110" s="414">
        <v>15028127</v>
      </c>
      <c r="E110" s="20" t="s">
        <v>520</v>
      </c>
      <c r="F110" s="466">
        <v>43528</v>
      </c>
      <c r="G110" s="466">
        <v>43555</v>
      </c>
      <c r="H110" s="484" t="s">
        <v>33</v>
      </c>
      <c r="I110" s="484">
        <v>12</v>
      </c>
      <c r="J110" s="484" t="s">
        <v>4</v>
      </c>
      <c r="K110" s="20">
        <v>3205946501</v>
      </c>
      <c r="L110" s="102" t="s">
        <v>288</v>
      </c>
      <c r="M110" s="258" t="s">
        <v>586</v>
      </c>
      <c r="N110" s="29"/>
      <c r="O110" s="33"/>
    </row>
    <row r="111" spans="1:15" ht="20.05" customHeight="1" thickBot="1" x14ac:dyDescent="0.3">
      <c r="A111" s="976"/>
      <c r="B111" s="265" t="s">
        <v>858</v>
      </c>
      <c r="C111" s="266" t="s">
        <v>859</v>
      </c>
      <c r="D111" s="414">
        <v>25949310</v>
      </c>
      <c r="E111" s="226" t="s">
        <v>538</v>
      </c>
      <c r="F111" s="320"/>
      <c r="G111" s="320"/>
      <c r="H111" s="321"/>
      <c r="I111" s="321"/>
      <c r="J111" s="321"/>
      <c r="K111" s="226" t="s">
        <v>926</v>
      </c>
      <c r="L111" s="230" t="s">
        <v>860</v>
      </c>
      <c r="M111" s="258" t="s">
        <v>586</v>
      </c>
      <c r="N111" s="29"/>
      <c r="O111" s="33"/>
    </row>
    <row r="112" spans="1:15" ht="20.05" customHeight="1" thickBot="1" x14ac:dyDescent="0.3">
      <c r="A112" s="976"/>
      <c r="B112" s="265" t="s">
        <v>965</v>
      </c>
      <c r="C112" s="324" t="s">
        <v>966</v>
      </c>
      <c r="D112" s="414">
        <v>25951326</v>
      </c>
      <c r="E112" s="250" t="s">
        <v>967</v>
      </c>
      <c r="F112" s="531"/>
      <c r="G112" s="531"/>
      <c r="H112" s="530"/>
      <c r="I112" s="530"/>
      <c r="J112" s="530"/>
      <c r="K112" s="250">
        <v>3205557237</v>
      </c>
      <c r="L112" s="230" t="s">
        <v>968</v>
      </c>
      <c r="M112" s="258" t="s">
        <v>586</v>
      </c>
      <c r="N112" s="29"/>
      <c r="O112" s="33"/>
    </row>
    <row r="113" spans="1:15" ht="20.05" customHeight="1" thickBot="1" x14ac:dyDescent="0.3">
      <c r="A113" s="976"/>
      <c r="B113" s="265" t="s">
        <v>857</v>
      </c>
      <c r="C113" s="266" t="s">
        <v>635</v>
      </c>
      <c r="D113" s="414">
        <v>35045140</v>
      </c>
      <c r="E113" s="221" t="s">
        <v>571</v>
      </c>
      <c r="F113" s="466">
        <v>43528</v>
      </c>
      <c r="G113" s="466">
        <v>43555</v>
      </c>
      <c r="H113" s="484" t="s">
        <v>33</v>
      </c>
      <c r="I113" s="484">
        <v>12</v>
      </c>
      <c r="J113" s="484" t="s">
        <v>4</v>
      </c>
      <c r="K113" s="221">
        <v>3215043705</v>
      </c>
      <c r="L113" s="220" t="s">
        <v>290</v>
      </c>
      <c r="M113" s="258" t="s">
        <v>586</v>
      </c>
      <c r="N113" s="29"/>
      <c r="O113" s="33"/>
    </row>
    <row r="114" spans="1:15" ht="20.05" customHeight="1" thickBot="1" x14ac:dyDescent="0.3">
      <c r="A114" s="976"/>
      <c r="B114" s="265" t="s">
        <v>168</v>
      </c>
      <c r="C114" s="266" t="s">
        <v>794</v>
      </c>
      <c r="D114" s="414">
        <v>11035547</v>
      </c>
      <c r="E114" s="108" t="s">
        <v>533</v>
      </c>
      <c r="F114" s="466">
        <v>43528</v>
      </c>
      <c r="G114" s="466">
        <v>43555</v>
      </c>
      <c r="H114" s="484" t="s">
        <v>33</v>
      </c>
      <c r="I114" s="484">
        <v>12</v>
      </c>
      <c r="J114" s="484" t="s">
        <v>4</v>
      </c>
      <c r="K114" s="176" t="s">
        <v>793</v>
      </c>
      <c r="L114" s="86" t="s">
        <v>792</v>
      </c>
      <c r="M114" s="258" t="s">
        <v>818</v>
      </c>
      <c r="N114" s="29"/>
      <c r="O114" s="33"/>
    </row>
    <row r="115" spans="1:15" ht="20.05" customHeight="1" thickBot="1" x14ac:dyDescent="0.3">
      <c r="A115" s="976"/>
      <c r="B115" s="365" t="s">
        <v>984</v>
      </c>
      <c r="C115" s="364" t="s">
        <v>985</v>
      </c>
      <c r="D115" s="414">
        <v>25953567</v>
      </c>
      <c r="E115" s="108" t="s">
        <v>533</v>
      </c>
      <c r="F115" s="531"/>
      <c r="G115" s="531"/>
      <c r="H115" s="530"/>
      <c r="I115" s="530"/>
      <c r="J115" s="530"/>
      <c r="K115" s="108">
        <v>3135092858</v>
      </c>
      <c r="L115" s="86" t="s">
        <v>986</v>
      </c>
      <c r="M115" s="258" t="s">
        <v>586</v>
      </c>
      <c r="N115" s="29"/>
      <c r="O115" s="33"/>
    </row>
    <row r="116" spans="1:15" ht="20.05" customHeight="1" thickBot="1" x14ac:dyDescent="0.3">
      <c r="A116" s="976"/>
      <c r="B116" s="265" t="s">
        <v>78</v>
      </c>
      <c r="C116" s="266" t="s">
        <v>79</v>
      </c>
      <c r="D116" s="414">
        <v>25949735</v>
      </c>
      <c r="E116" s="211" t="s">
        <v>533</v>
      </c>
      <c r="F116" s="466">
        <v>43528</v>
      </c>
      <c r="G116" s="466">
        <v>43555</v>
      </c>
      <c r="H116" s="484" t="s">
        <v>33</v>
      </c>
      <c r="I116" s="484">
        <v>12</v>
      </c>
      <c r="J116" s="484" t="s">
        <v>4</v>
      </c>
      <c r="K116" s="20"/>
      <c r="L116" s="102" t="s">
        <v>287</v>
      </c>
      <c r="M116" s="258" t="s">
        <v>586</v>
      </c>
      <c r="N116" s="29"/>
      <c r="O116" s="33"/>
    </row>
    <row r="117" spans="1:15" ht="20.05" customHeight="1" thickBot="1" x14ac:dyDescent="0.3">
      <c r="A117" s="976"/>
      <c r="B117" s="989" t="s">
        <v>949</v>
      </c>
      <c r="C117" s="985" t="s">
        <v>950</v>
      </c>
      <c r="D117" s="1021">
        <v>30654829</v>
      </c>
      <c r="E117" s="1051" t="s">
        <v>951</v>
      </c>
      <c r="F117" s="1017">
        <v>43494</v>
      </c>
      <c r="G117" s="1017">
        <v>43524</v>
      </c>
      <c r="H117" s="1033" t="s">
        <v>66</v>
      </c>
      <c r="I117" s="484">
        <v>24</v>
      </c>
      <c r="J117" s="484" t="s">
        <v>4</v>
      </c>
      <c r="K117" s="985" t="s">
        <v>952</v>
      </c>
      <c r="L117" s="985" t="s">
        <v>953</v>
      </c>
      <c r="M117" s="258" t="s">
        <v>586</v>
      </c>
      <c r="N117" s="1080" t="s">
        <v>1626</v>
      </c>
      <c r="O117" s="33"/>
    </row>
    <row r="118" spans="1:15" ht="18.350000000000001" customHeight="1" thickBot="1" x14ac:dyDescent="0.3">
      <c r="A118" s="976"/>
      <c r="B118" s="990"/>
      <c r="C118" s="986"/>
      <c r="D118" s="1039"/>
      <c r="E118" s="1060"/>
      <c r="F118" s="1019"/>
      <c r="G118" s="1019"/>
      <c r="H118" s="1034"/>
      <c r="I118" s="484">
        <v>24</v>
      </c>
      <c r="J118" s="484" t="s">
        <v>5</v>
      </c>
      <c r="K118" s="986"/>
      <c r="L118" s="986"/>
      <c r="M118" s="258" t="s">
        <v>586</v>
      </c>
      <c r="N118" s="1081"/>
      <c r="O118" s="33"/>
    </row>
    <row r="119" spans="1:15" ht="20.05" customHeight="1" thickBot="1" x14ac:dyDescent="0.3">
      <c r="A119" s="976"/>
      <c r="B119" s="265" t="s">
        <v>80</v>
      </c>
      <c r="C119" s="266" t="s">
        <v>81</v>
      </c>
      <c r="D119" s="414">
        <v>26145424</v>
      </c>
      <c r="E119" s="108" t="s">
        <v>1239</v>
      </c>
      <c r="F119" s="466">
        <v>43528</v>
      </c>
      <c r="G119" s="466">
        <v>43555</v>
      </c>
      <c r="H119" s="484" t="s">
        <v>33</v>
      </c>
      <c r="I119" s="484">
        <v>12</v>
      </c>
      <c r="J119" s="484" t="s">
        <v>4</v>
      </c>
      <c r="K119" s="20">
        <v>3106591541</v>
      </c>
      <c r="L119" s="102" t="s">
        <v>596</v>
      </c>
      <c r="M119" s="258" t="s">
        <v>586</v>
      </c>
      <c r="N119" s="29"/>
      <c r="O119" s="33"/>
    </row>
    <row r="120" spans="1:15" ht="20.05" customHeight="1" thickBot="1" x14ac:dyDescent="0.3">
      <c r="A120" s="976"/>
      <c r="B120" s="346" t="s">
        <v>913</v>
      </c>
      <c r="C120" s="269" t="s">
        <v>914</v>
      </c>
      <c r="D120" s="416">
        <v>25955111</v>
      </c>
      <c r="E120" s="257" t="s">
        <v>647</v>
      </c>
      <c r="F120" s="531"/>
      <c r="G120" s="531"/>
      <c r="H120" s="530"/>
      <c r="I120" s="530"/>
      <c r="J120" s="530"/>
      <c r="K120" s="256" t="s">
        <v>915</v>
      </c>
      <c r="L120" s="259" t="s">
        <v>916</v>
      </c>
      <c r="M120" s="258" t="s">
        <v>586</v>
      </c>
      <c r="N120" s="29"/>
      <c r="O120" s="33"/>
    </row>
    <row r="121" spans="1:15" ht="20.05" customHeight="1" thickBot="1" x14ac:dyDescent="0.3">
      <c r="A121" s="976"/>
      <c r="B121" s="344" t="s">
        <v>82</v>
      </c>
      <c r="C121" s="269" t="s">
        <v>83</v>
      </c>
      <c r="D121" s="416">
        <v>15033089</v>
      </c>
      <c r="E121" s="20" t="s">
        <v>832</v>
      </c>
      <c r="F121" s="531"/>
      <c r="G121" s="531"/>
      <c r="H121" s="530"/>
      <c r="I121" s="530"/>
      <c r="J121" s="530"/>
      <c r="K121" s="18">
        <v>3216449883</v>
      </c>
      <c r="L121" s="99" t="s">
        <v>290</v>
      </c>
      <c r="M121" s="497" t="s">
        <v>586</v>
      </c>
      <c r="N121" s="29"/>
      <c r="O121" s="33"/>
    </row>
    <row r="122" spans="1:15" ht="20.05" customHeight="1" thickBot="1" x14ac:dyDescent="0.3">
      <c r="A122" s="976"/>
      <c r="B122" s="347" t="s">
        <v>84</v>
      </c>
      <c r="C122" s="274" t="s">
        <v>85</v>
      </c>
      <c r="D122" s="420">
        <v>1560258</v>
      </c>
      <c r="E122" s="200" t="s">
        <v>520</v>
      </c>
      <c r="F122" s="678">
        <v>43528</v>
      </c>
      <c r="G122" s="678">
        <v>43555</v>
      </c>
      <c r="H122" s="685" t="s">
        <v>33</v>
      </c>
      <c r="I122" s="685">
        <v>12</v>
      </c>
      <c r="J122" s="685" t="s">
        <v>4</v>
      </c>
      <c r="K122" s="20">
        <v>3177443024</v>
      </c>
      <c r="L122" s="101" t="s">
        <v>289</v>
      </c>
      <c r="M122" s="497" t="s">
        <v>586</v>
      </c>
      <c r="N122" s="29"/>
      <c r="O122" s="33"/>
    </row>
    <row r="123" spans="1:15" ht="20.05" customHeight="1" thickBot="1" x14ac:dyDescent="0.3">
      <c r="A123" s="991" t="s">
        <v>223</v>
      </c>
      <c r="B123" s="348" t="s">
        <v>621</v>
      </c>
      <c r="C123" s="275" t="s">
        <v>622</v>
      </c>
      <c r="D123" s="495">
        <v>25752454</v>
      </c>
      <c r="E123" s="44" t="s">
        <v>623</v>
      </c>
      <c r="F123" s="650">
        <v>43528</v>
      </c>
      <c r="G123" s="650">
        <v>43555</v>
      </c>
      <c r="H123" s="679" t="s">
        <v>33</v>
      </c>
      <c r="I123" s="679">
        <v>12</v>
      </c>
      <c r="J123" s="679" t="s">
        <v>4</v>
      </c>
      <c r="K123" s="204">
        <v>304653088</v>
      </c>
      <c r="L123" s="204" t="s">
        <v>624</v>
      </c>
      <c r="M123" s="297" t="s">
        <v>219</v>
      </c>
      <c r="N123" s="46"/>
      <c r="O123" s="38"/>
    </row>
    <row r="124" spans="1:15" ht="20.05" customHeight="1" thickBot="1" x14ac:dyDescent="0.3">
      <c r="A124" s="991"/>
      <c r="B124" s="472" t="s">
        <v>1227</v>
      </c>
      <c r="C124" s="473" t="s">
        <v>1228</v>
      </c>
      <c r="D124" s="470">
        <v>26145618</v>
      </c>
      <c r="E124" s="476" t="s">
        <v>571</v>
      </c>
      <c r="F124" s="510">
        <v>43526</v>
      </c>
      <c r="G124" s="510">
        <v>43555</v>
      </c>
      <c r="H124" s="511" t="s">
        <v>33</v>
      </c>
      <c r="I124" s="511">
        <v>12</v>
      </c>
      <c r="J124" s="511" t="s">
        <v>4</v>
      </c>
      <c r="K124" s="469" t="s">
        <v>1234</v>
      </c>
      <c r="L124" s="469" t="s">
        <v>1229</v>
      </c>
      <c r="M124" s="494" t="s">
        <v>219</v>
      </c>
      <c r="N124" s="47"/>
      <c r="O124" s="38"/>
    </row>
    <row r="125" spans="1:15" ht="20.05" customHeight="1" thickBot="1" x14ac:dyDescent="0.3">
      <c r="A125" s="991"/>
      <c r="B125" s="992" t="s">
        <v>230</v>
      </c>
      <c r="C125" s="1061" t="s">
        <v>231</v>
      </c>
      <c r="D125" s="968">
        <v>1063722374</v>
      </c>
      <c r="E125" s="1014" t="s">
        <v>533</v>
      </c>
      <c r="F125" s="1050">
        <v>43528</v>
      </c>
      <c r="G125" s="1050">
        <v>43555</v>
      </c>
      <c r="H125" s="1046" t="s">
        <v>66</v>
      </c>
      <c r="I125" s="511">
        <v>24</v>
      </c>
      <c r="J125" s="511" t="s">
        <v>5</v>
      </c>
      <c r="K125" s="1014">
        <v>3225892504</v>
      </c>
      <c r="L125" s="1014" t="s">
        <v>596</v>
      </c>
      <c r="M125" s="501" t="s">
        <v>219</v>
      </c>
      <c r="N125" s="48"/>
      <c r="O125" s="38"/>
    </row>
    <row r="126" spans="1:15" ht="20.05" customHeight="1" thickBot="1" x14ac:dyDescent="0.3">
      <c r="A126" s="991"/>
      <c r="B126" s="993"/>
      <c r="C126" s="1062"/>
      <c r="D126" s="1011"/>
      <c r="E126" s="1063"/>
      <c r="F126" s="1064"/>
      <c r="G126" s="1064"/>
      <c r="H126" s="1111"/>
      <c r="I126" s="526">
        <v>24</v>
      </c>
      <c r="J126" s="527" t="s">
        <v>4</v>
      </c>
      <c r="K126" s="1063"/>
      <c r="L126" s="1063"/>
      <c r="M126" s="502" t="s">
        <v>219</v>
      </c>
      <c r="N126" s="50"/>
      <c r="O126" s="38"/>
    </row>
    <row r="127" spans="1:15" ht="26.5" customHeight="1" thickBot="1" x14ac:dyDescent="0.3">
      <c r="A127" s="655" t="s">
        <v>379</v>
      </c>
      <c r="B127" s="712" t="s">
        <v>676</v>
      </c>
      <c r="C127" s="713" t="s">
        <v>677</v>
      </c>
      <c r="D127" s="714">
        <v>1070822936</v>
      </c>
      <c r="E127" s="715" t="s">
        <v>518</v>
      </c>
      <c r="F127" s="716">
        <v>43528</v>
      </c>
      <c r="G127" s="716">
        <v>43555</v>
      </c>
      <c r="H127" s="717" t="s">
        <v>33</v>
      </c>
      <c r="I127" s="717">
        <v>12</v>
      </c>
      <c r="J127" s="717" t="s">
        <v>4</v>
      </c>
      <c r="K127" s="715">
        <v>3113514404</v>
      </c>
      <c r="L127" s="715" t="s">
        <v>678</v>
      </c>
      <c r="M127" s="715" t="s">
        <v>219</v>
      </c>
      <c r="N127" s="85"/>
      <c r="O127" s="217"/>
    </row>
    <row r="128" spans="1:15" ht="19.55" customHeight="1" thickBot="1" x14ac:dyDescent="0.3">
      <c r="A128" s="979" t="s">
        <v>306</v>
      </c>
      <c r="B128" s="348" t="s">
        <v>94</v>
      </c>
      <c r="C128" s="277" t="s">
        <v>95</v>
      </c>
      <c r="D128" s="410">
        <v>1138076889</v>
      </c>
      <c r="E128" s="45" t="s">
        <v>518</v>
      </c>
      <c r="F128" s="651">
        <v>43526</v>
      </c>
      <c r="G128" s="651">
        <v>43555</v>
      </c>
      <c r="H128" s="670" t="s">
        <v>33</v>
      </c>
      <c r="I128" s="670">
        <v>12</v>
      </c>
      <c r="J128" s="670" t="s">
        <v>4</v>
      </c>
      <c r="K128" s="45">
        <v>3225969858</v>
      </c>
      <c r="L128" s="110" t="s">
        <v>307</v>
      </c>
      <c r="M128" s="504" t="s">
        <v>343</v>
      </c>
      <c r="N128" s="47"/>
      <c r="O128" s="38"/>
    </row>
    <row r="129" spans="1:15" ht="21.75" customHeight="1" thickBot="1" x14ac:dyDescent="0.3">
      <c r="A129" s="979"/>
      <c r="B129" s="349" t="s">
        <v>92</v>
      </c>
      <c r="C129" s="270" t="s">
        <v>93</v>
      </c>
      <c r="D129" s="408">
        <v>26158996</v>
      </c>
      <c r="E129" s="41" t="s">
        <v>562</v>
      </c>
      <c r="F129" s="678">
        <v>43526</v>
      </c>
      <c r="G129" s="678">
        <v>43555</v>
      </c>
      <c r="H129" s="685" t="s">
        <v>33</v>
      </c>
      <c r="I129" s="685">
        <v>12</v>
      </c>
      <c r="J129" s="685" t="s">
        <v>4</v>
      </c>
      <c r="K129" s="41">
        <v>3225612621</v>
      </c>
      <c r="L129" s="111" t="s">
        <v>308</v>
      </c>
      <c r="M129" s="503" t="s">
        <v>343</v>
      </c>
      <c r="N129" s="52"/>
      <c r="O129" s="38"/>
    </row>
    <row r="130" spans="1:15" ht="20.05" customHeight="1" thickBot="1" x14ac:dyDescent="0.3">
      <c r="A130" s="982" t="s">
        <v>25</v>
      </c>
      <c r="B130" s="278" t="s">
        <v>106</v>
      </c>
      <c r="C130" s="276" t="s">
        <v>107</v>
      </c>
      <c r="D130" s="424">
        <v>5810619</v>
      </c>
      <c r="E130" s="227" t="s">
        <v>533</v>
      </c>
      <c r="F130" s="651">
        <v>43528</v>
      </c>
      <c r="G130" s="651">
        <v>43555</v>
      </c>
      <c r="H130" s="670" t="s">
        <v>33</v>
      </c>
      <c r="I130" s="670">
        <v>12</v>
      </c>
      <c r="J130" s="670" t="s">
        <v>4</v>
      </c>
      <c r="K130" s="27">
        <v>3005184535</v>
      </c>
      <c r="L130" s="27" t="s">
        <v>305</v>
      </c>
      <c r="M130" s="505" t="s">
        <v>26</v>
      </c>
      <c r="N130" s="85"/>
      <c r="O130" s="33"/>
    </row>
    <row r="131" spans="1:15" ht="20.05" customHeight="1" thickBot="1" x14ac:dyDescent="0.3">
      <c r="A131" s="982"/>
      <c r="B131" s="718" t="s">
        <v>867</v>
      </c>
      <c r="C131" s="662" t="s">
        <v>868</v>
      </c>
      <c r="D131" s="420">
        <v>78768442</v>
      </c>
      <c r="E131" s="36" t="s">
        <v>592</v>
      </c>
      <c r="F131" s="331"/>
      <c r="G131" s="331"/>
      <c r="H131" s="332"/>
      <c r="I131" s="332"/>
      <c r="J131" s="332"/>
      <c r="K131" s="673">
        <v>3205021157</v>
      </c>
      <c r="L131" s="673" t="s">
        <v>869</v>
      </c>
      <c r="M131" s="673" t="s">
        <v>26</v>
      </c>
      <c r="N131" s="147"/>
      <c r="O131" s="33"/>
    </row>
    <row r="132" spans="1:15" ht="19.7" customHeight="1" thickBot="1" x14ac:dyDescent="0.3">
      <c r="A132" s="979" t="s">
        <v>108</v>
      </c>
      <c r="B132" s="719" t="s">
        <v>109</v>
      </c>
      <c r="C132" s="720" t="s">
        <v>110</v>
      </c>
      <c r="D132" s="721">
        <v>26248006</v>
      </c>
      <c r="E132" s="297" t="s">
        <v>529</v>
      </c>
      <c r="F132" s="722">
        <v>43528</v>
      </c>
      <c r="G132" s="722">
        <v>43555</v>
      </c>
      <c r="H132" s="723" t="s">
        <v>33</v>
      </c>
      <c r="I132" s="723">
        <v>12</v>
      </c>
      <c r="J132" s="723" t="s">
        <v>4</v>
      </c>
      <c r="K132" s="297">
        <v>3118363308</v>
      </c>
      <c r="L132" s="297" t="s">
        <v>302</v>
      </c>
      <c r="M132" s="297" t="s">
        <v>111</v>
      </c>
      <c r="N132" s="724"/>
      <c r="O132" s="49"/>
    </row>
    <row r="133" spans="1:15" ht="18.7" customHeight="1" thickBot="1" x14ac:dyDescent="0.3">
      <c r="A133" s="979"/>
      <c r="B133" s="725" t="s">
        <v>753</v>
      </c>
      <c r="C133" s="667" t="s">
        <v>754</v>
      </c>
      <c r="D133" s="726">
        <v>1068807131</v>
      </c>
      <c r="E133" s="663" t="s">
        <v>755</v>
      </c>
      <c r="F133" s="331"/>
      <c r="G133" s="331"/>
      <c r="H133" s="332"/>
      <c r="I133" s="332"/>
      <c r="J133" s="332"/>
      <c r="K133" s="727" t="s">
        <v>756</v>
      </c>
      <c r="L133" s="663" t="s">
        <v>757</v>
      </c>
      <c r="M133" s="663" t="s">
        <v>111</v>
      </c>
      <c r="N133" s="728"/>
      <c r="O133" s="63"/>
    </row>
    <row r="134" spans="1:15" ht="22.6" customHeight="1" thickBot="1" x14ac:dyDescent="0.3">
      <c r="A134" s="982" t="s">
        <v>15</v>
      </c>
      <c r="B134" s="263" t="s">
        <v>625</v>
      </c>
      <c r="C134" s="268" t="s">
        <v>626</v>
      </c>
      <c r="D134" s="515">
        <v>25985090</v>
      </c>
      <c r="E134" s="67" t="s">
        <v>532</v>
      </c>
      <c r="F134" s="651">
        <v>43528</v>
      </c>
      <c r="G134" s="651">
        <v>43555</v>
      </c>
      <c r="H134" s="670" t="s">
        <v>33</v>
      </c>
      <c r="I134" s="670">
        <v>12</v>
      </c>
      <c r="J134" s="670" t="s">
        <v>4</v>
      </c>
      <c r="K134" s="82">
        <v>3186910386</v>
      </c>
      <c r="L134" s="82" t="s">
        <v>627</v>
      </c>
      <c r="M134" s="82" t="s">
        <v>16</v>
      </c>
      <c r="N134" s="684"/>
      <c r="O134" s="38"/>
    </row>
    <row r="135" spans="1:15" ht="22.6" customHeight="1" thickBot="1" x14ac:dyDescent="0.3">
      <c r="A135" s="982"/>
      <c r="B135" s="769" t="s">
        <v>1518</v>
      </c>
      <c r="C135" s="766" t="s">
        <v>1519</v>
      </c>
      <c r="D135" s="770">
        <v>34925332</v>
      </c>
      <c r="E135" s="779" t="s">
        <v>538</v>
      </c>
      <c r="F135" s="768">
        <v>43542</v>
      </c>
      <c r="G135" s="768">
        <v>43555</v>
      </c>
      <c r="H135" s="767" t="s">
        <v>33</v>
      </c>
      <c r="I135" s="767">
        <v>12</v>
      </c>
      <c r="J135" s="767" t="s">
        <v>4</v>
      </c>
      <c r="K135" s="779">
        <v>3002962667</v>
      </c>
      <c r="L135" s="779" t="s">
        <v>1520</v>
      </c>
      <c r="M135" s="779"/>
      <c r="N135" s="780"/>
      <c r="O135" s="261"/>
    </row>
    <row r="136" spans="1:15" ht="22.6" customHeight="1" thickBot="1" x14ac:dyDescent="0.3">
      <c r="A136" s="982"/>
      <c r="B136" s="666" t="s">
        <v>920</v>
      </c>
      <c r="C136" s="662" t="s">
        <v>921</v>
      </c>
      <c r="D136" s="420">
        <v>23103230</v>
      </c>
      <c r="E136" s="729" t="s">
        <v>880</v>
      </c>
      <c r="F136" s="678">
        <v>43528</v>
      </c>
      <c r="G136" s="678">
        <v>43555</v>
      </c>
      <c r="H136" s="685" t="s">
        <v>33</v>
      </c>
      <c r="I136" s="685">
        <v>12</v>
      </c>
      <c r="J136" s="685" t="s">
        <v>4</v>
      </c>
      <c r="K136" s="729" t="s">
        <v>923</v>
      </c>
      <c r="L136" s="729" t="s">
        <v>922</v>
      </c>
      <c r="M136" s="729" t="s">
        <v>16</v>
      </c>
      <c r="N136" s="706"/>
      <c r="O136" s="261"/>
    </row>
    <row r="137" spans="1:15" ht="23.3" customHeight="1" thickBot="1" x14ac:dyDescent="0.3">
      <c r="A137" s="654" t="s">
        <v>884</v>
      </c>
      <c r="B137" s="748" t="s">
        <v>813</v>
      </c>
      <c r="C137" s="730" t="s">
        <v>814</v>
      </c>
      <c r="D137" s="731">
        <v>25806852</v>
      </c>
      <c r="E137" s="732" t="s">
        <v>815</v>
      </c>
      <c r="F137" s="716">
        <v>43542</v>
      </c>
      <c r="G137" s="716">
        <v>43555</v>
      </c>
      <c r="H137" s="717" t="s">
        <v>33</v>
      </c>
      <c r="I137" s="717">
        <v>12</v>
      </c>
      <c r="J137" s="717" t="s">
        <v>4</v>
      </c>
      <c r="K137" s="733" t="s">
        <v>816</v>
      </c>
      <c r="L137" s="733" t="s">
        <v>817</v>
      </c>
      <c r="M137" s="733" t="s">
        <v>885</v>
      </c>
      <c r="N137" s="734"/>
      <c r="O137" s="550"/>
    </row>
    <row r="138" spans="1:15" ht="23.3" customHeight="1" thickBot="1" x14ac:dyDescent="0.3">
      <c r="A138" s="655" t="s">
        <v>480</v>
      </c>
      <c r="B138" s="749" t="s">
        <v>1459</v>
      </c>
      <c r="C138" s="735" t="s">
        <v>1460</v>
      </c>
      <c r="D138" s="736">
        <v>25802787</v>
      </c>
      <c r="E138" s="737" t="s">
        <v>520</v>
      </c>
      <c r="F138" s="716">
        <v>43536</v>
      </c>
      <c r="G138" s="716">
        <v>43555</v>
      </c>
      <c r="H138" s="717" t="s">
        <v>33</v>
      </c>
      <c r="I138" s="717">
        <v>12</v>
      </c>
      <c r="J138" s="717" t="s">
        <v>4</v>
      </c>
      <c r="K138" s="715" t="s">
        <v>1461</v>
      </c>
      <c r="L138" s="715" t="s">
        <v>1462</v>
      </c>
      <c r="M138" s="715" t="s">
        <v>483</v>
      </c>
      <c r="N138" s="738"/>
      <c r="O138" s="642"/>
    </row>
    <row r="139" spans="1:15" ht="20.05" customHeight="1" thickBot="1" x14ac:dyDescent="0.3">
      <c r="A139" s="979" t="s">
        <v>19</v>
      </c>
      <c r="B139" s="350" t="s">
        <v>116</v>
      </c>
      <c r="C139" s="292" t="s">
        <v>117</v>
      </c>
      <c r="D139" s="409">
        <v>2819126</v>
      </c>
      <c r="E139" s="294" t="s">
        <v>533</v>
      </c>
      <c r="F139" s="650">
        <v>43528</v>
      </c>
      <c r="G139" s="650">
        <v>43555</v>
      </c>
      <c r="H139" s="679" t="s">
        <v>33</v>
      </c>
      <c r="I139" s="679">
        <v>12</v>
      </c>
      <c r="J139" s="679" t="s">
        <v>4</v>
      </c>
      <c r="K139" s="298">
        <v>3125323589</v>
      </c>
      <c r="L139" s="304" t="s">
        <v>296</v>
      </c>
      <c r="M139" s="504" t="s">
        <v>18</v>
      </c>
      <c r="N139" s="47"/>
      <c r="O139" s="306"/>
    </row>
    <row r="140" spans="1:15" ht="20.05" customHeight="1" thickBot="1" x14ac:dyDescent="0.3">
      <c r="A140" s="979"/>
      <c r="B140" s="665" t="s">
        <v>1230</v>
      </c>
      <c r="C140" s="471" t="s">
        <v>1231</v>
      </c>
      <c r="D140" s="422">
        <v>26011429</v>
      </c>
      <c r="E140" s="469" t="s">
        <v>532</v>
      </c>
      <c r="F140" s="490">
        <v>43526</v>
      </c>
      <c r="G140" s="490">
        <v>43555</v>
      </c>
      <c r="H140" s="474" t="s">
        <v>33</v>
      </c>
      <c r="I140" s="474">
        <v>12</v>
      </c>
      <c r="J140" s="474" t="s">
        <v>4</v>
      </c>
      <c r="K140" s="475">
        <v>3045713341</v>
      </c>
      <c r="L140" s="475" t="s">
        <v>1232</v>
      </c>
      <c r="M140" s="506" t="s">
        <v>18</v>
      </c>
      <c r="N140" s="47"/>
      <c r="O140" s="306"/>
    </row>
    <row r="141" spans="1:15" ht="20.05" customHeight="1" thickBot="1" x14ac:dyDescent="0.3">
      <c r="A141" s="979"/>
      <c r="B141" s="349" t="s">
        <v>118</v>
      </c>
      <c r="C141" s="290" t="s">
        <v>119</v>
      </c>
      <c r="D141" s="408">
        <v>26011842</v>
      </c>
      <c r="E141" s="295" t="s">
        <v>542</v>
      </c>
      <c r="F141" s="513">
        <v>43528</v>
      </c>
      <c r="G141" s="513">
        <v>43555</v>
      </c>
      <c r="H141" s="498" t="s">
        <v>33</v>
      </c>
      <c r="I141" s="498">
        <v>12</v>
      </c>
      <c r="J141" s="498" t="s">
        <v>4</v>
      </c>
      <c r="K141" s="293"/>
      <c r="L141" s="51" t="s">
        <v>298</v>
      </c>
      <c r="M141" s="503" t="s">
        <v>18</v>
      </c>
      <c r="N141" s="48"/>
      <c r="O141" s="38"/>
    </row>
    <row r="142" spans="1:15" ht="20.05" customHeight="1" thickBot="1" x14ac:dyDescent="0.3">
      <c r="A142" s="979"/>
      <c r="B142" s="351" t="s">
        <v>120</v>
      </c>
      <c r="C142" s="279" t="s">
        <v>121</v>
      </c>
      <c r="D142" s="425">
        <v>50880723</v>
      </c>
      <c r="E142" s="296" t="s">
        <v>543</v>
      </c>
      <c r="F142" s="678">
        <v>43528</v>
      </c>
      <c r="G142" s="678">
        <v>43555</v>
      </c>
      <c r="H142" s="685" t="s">
        <v>33</v>
      </c>
      <c r="I142" s="685">
        <v>12</v>
      </c>
      <c r="J142" s="685" t="s">
        <v>4</v>
      </c>
      <c r="K142" s="53">
        <v>3216053784</v>
      </c>
      <c r="L142" s="54" t="s">
        <v>297</v>
      </c>
      <c r="M142" s="503" t="s">
        <v>18</v>
      </c>
      <c r="N142" s="50"/>
      <c r="O142" s="38"/>
    </row>
    <row r="143" spans="1:15" ht="20.05" customHeight="1" thickBot="1" x14ac:dyDescent="0.3">
      <c r="A143" s="982" t="s">
        <v>122</v>
      </c>
      <c r="B143" s="994" t="s">
        <v>123</v>
      </c>
      <c r="C143" s="1070" t="s">
        <v>124</v>
      </c>
      <c r="D143" s="423">
        <v>26108583</v>
      </c>
      <c r="E143" s="1071" t="s">
        <v>520</v>
      </c>
      <c r="F143" s="650">
        <v>43528</v>
      </c>
      <c r="G143" s="650">
        <v>43555</v>
      </c>
      <c r="H143" s="679" t="s">
        <v>33</v>
      </c>
      <c r="I143" s="679">
        <v>12</v>
      </c>
      <c r="J143" s="679" t="s">
        <v>4</v>
      </c>
      <c r="K143" s="1079">
        <v>3015242924</v>
      </c>
      <c r="L143" s="1079" t="s">
        <v>303</v>
      </c>
      <c r="M143" s="497" t="s">
        <v>348</v>
      </c>
      <c r="N143" s="307"/>
      <c r="O143" s="33"/>
    </row>
    <row r="144" spans="1:15" ht="20.05" customHeight="1" thickBot="1" x14ac:dyDescent="0.3">
      <c r="A144" s="982"/>
      <c r="B144" s="975"/>
      <c r="C144" s="1030"/>
      <c r="D144" s="413"/>
      <c r="E144" s="1032"/>
      <c r="F144" s="329"/>
      <c r="G144" s="329"/>
      <c r="H144" s="17"/>
      <c r="I144" s="17"/>
      <c r="J144" s="17"/>
      <c r="K144" s="986"/>
      <c r="L144" s="986"/>
      <c r="M144" s="497" t="s">
        <v>349</v>
      </c>
      <c r="N144" s="308"/>
      <c r="O144" s="33"/>
    </row>
    <row r="145" spans="1:15" ht="20.05" customHeight="1" thickBot="1" x14ac:dyDescent="0.3">
      <c r="A145" s="982"/>
      <c r="B145" s="263" t="s">
        <v>870</v>
      </c>
      <c r="C145" s="289" t="s">
        <v>871</v>
      </c>
      <c r="D145" s="418">
        <v>1072526426</v>
      </c>
      <c r="E145" s="286" t="s">
        <v>872</v>
      </c>
      <c r="F145" s="513">
        <v>43528</v>
      </c>
      <c r="G145" s="513">
        <v>43555</v>
      </c>
      <c r="H145" s="498" t="s">
        <v>33</v>
      </c>
      <c r="I145" s="498">
        <v>12</v>
      </c>
      <c r="J145" s="498" t="s">
        <v>4</v>
      </c>
      <c r="K145" s="287">
        <v>3116831546</v>
      </c>
      <c r="L145" s="287" t="s">
        <v>873</v>
      </c>
      <c r="M145" s="507" t="s">
        <v>348</v>
      </c>
      <c r="N145" s="308"/>
      <c r="O145" s="33"/>
    </row>
    <row r="146" spans="1:15" ht="20.05" customHeight="1" thickBot="1" x14ac:dyDescent="0.3">
      <c r="A146" s="982"/>
      <c r="B146" s="265" t="s">
        <v>841</v>
      </c>
      <c r="C146" s="431" t="s">
        <v>842</v>
      </c>
      <c r="D146" s="417">
        <v>3338698</v>
      </c>
      <c r="E146" s="430" t="s">
        <v>618</v>
      </c>
      <c r="F146" s="513">
        <v>43528</v>
      </c>
      <c r="G146" s="513">
        <v>43555</v>
      </c>
      <c r="H146" s="498" t="s">
        <v>33</v>
      </c>
      <c r="I146" s="498">
        <v>12</v>
      </c>
      <c r="J146" s="498" t="s">
        <v>4</v>
      </c>
      <c r="K146" s="288">
        <v>3216580645</v>
      </c>
      <c r="L146" s="288" t="s">
        <v>843</v>
      </c>
      <c r="M146" s="507" t="s">
        <v>348</v>
      </c>
      <c r="N146" s="308"/>
      <c r="O146" s="33"/>
    </row>
    <row r="147" spans="1:15" ht="20.05" customHeight="1" thickBot="1" x14ac:dyDescent="0.3">
      <c r="A147" s="982"/>
      <c r="B147" s="345" t="s">
        <v>743</v>
      </c>
      <c r="C147" s="661" t="s">
        <v>742</v>
      </c>
      <c r="D147" s="676">
        <v>9047829</v>
      </c>
      <c r="E147" s="250" t="s">
        <v>744</v>
      </c>
      <c r="F147" s="649">
        <v>43528</v>
      </c>
      <c r="G147" s="649">
        <v>43555</v>
      </c>
      <c r="H147" s="669" t="s">
        <v>33</v>
      </c>
      <c r="I147" s="669">
        <v>12</v>
      </c>
      <c r="J147" s="669" t="s">
        <v>4</v>
      </c>
      <c r="K147" s="309">
        <v>3106766091</v>
      </c>
      <c r="L147" s="309" t="s">
        <v>745</v>
      </c>
      <c r="M147" s="507" t="s">
        <v>348</v>
      </c>
      <c r="N147" s="308"/>
      <c r="O147" s="33"/>
    </row>
    <row r="148" spans="1:15" ht="20.05" customHeight="1" thickBot="1" x14ac:dyDescent="0.3">
      <c r="A148" s="982"/>
      <c r="B148" s="347" t="s">
        <v>125</v>
      </c>
      <c r="C148" s="662" t="s">
        <v>126</v>
      </c>
      <c r="D148" s="420">
        <v>1067167552</v>
      </c>
      <c r="E148" s="740" t="s">
        <v>570</v>
      </c>
      <c r="F148" s="678">
        <v>43528</v>
      </c>
      <c r="G148" s="678">
        <v>43555</v>
      </c>
      <c r="H148" s="685" t="s">
        <v>33</v>
      </c>
      <c r="I148" s="685">
        <v>12</v>
      </c>
      <c r="J148" s="685" t="s">
        <v>4</v>
      </c>
      <c r="K148" s="37">
        <v>3145213283</v>
      </c>
      <c r="L148" s="37" t="s">
        <v>304</v>
      </c>
      <c r="M148" s="112" t="s">
        <v>348</v>
      </c>
      <c r="N148" s="310"/>
      <c r="O148" s="33"/>
    </row>
    <row r="149" spans="1:15" ht="20.05" customHeight="1" thickBot="1" x14ac:dyDescent="0.3">
      <c r="A149" s="987" t="s">
        <v>20</v>
      </c>
      <c r="B149" s="1131" t="s">
        <v>127</v>
      </c>
      <c r="C149" s="1008" t="s">
        <v>128</v>
      </c>
      <c r="D149" s="969">
        <v>6622875</v>
      </c>
      <c r="E149" s="972" t="s">
        <v>550</v>
      </c>
      <c r="F149" s="651">
        <v>43528</v>
      </c>
      <c r="G149" s="651">
        <v>43555</v>
      </c>
      <c r="H149" s="670" t="s">
        <v>33</v>
      </c>
      <c r="I149" s="739">
        <v>12</v>
      </c>
      <c r="J149" s="670" t="s">
        <v>4</v>
      </c>
      <c r="K149" s="1013">
        <v>3014095228</v>
      </c>
      <c r="L149" s="1013" t="s">
        <v>257</v>
      </c>
      <c r="M149" s="297" t="s">
        <v>6</v>
      </c>
      <c r="N149" s="311"/>
      <c r="O149" s="38"/>
    </row>
    <row r="150" spans="1:15" ht="20.05" customHeight="1" thickBot="1" x14ac:dyDescent="0.3">
      <c r="A150" s="987"/>
      <c r="B150" s="1001"/>
      <c r="C150" s="1015"/>
      <c r="D150" s="970"/>
      <c r="E150" s="973"/>
      <c r="F150" s="556">
        <v>43531</v>
      </c>
      <c r="G150" s="556">
        <v>43555</v>
      </c>
      <c r="H150" s="557" t="s">
        <v>765</v>
      </c>
      <c r="I150" s="557">
        <v>20</v>
      </c>
      <c r="J150" s="557" t="s">
        <v>226</v>
      </c>
      <c r="K150" s="967"/>
      <c r="L150" s="967"/>
      <c r="M150" s="501" t="s">
        <v>679</v>
      </c>
      <c r="N150" s="312"/>
      <c r="O150" s="38"/>
    </row>
    <row r="151" spans="1:15" ht="20.05" customHeight="1" thickBot="1" x14ac:dyDescent="0.3">
      <c r="A151" s="987"/>
      <c r="B151" s="348" t="s">
        <v>881</v>
      </c>
      <c r="C151" s="291" t="s">
        <v>882</v>
      </c>
      <c r="D151" s="409">
        <v>26041111</v>
      </c>
      <c r="E151" s="313" t="s">
        <v>532</v>
      </c>
      <c r="F151" s="490">
        <v>43528</v>
      </c>
      <c r="G151" s="490">
        <v>43555</v>
      </c>
      <c r="H151" s="486" t="s">
        <v>33</v>
      </c>
      <c r="I151" s="96">
        <v>12</v>
      </c>
      <c r="J151" s="486" t="s">
        <v>4</v>
      </c>
      <c r="K151" s="298">
        <v>3017562505</v>
      </c>
      <c r="L151" s="298" t="s">
        <v>883</v>
      </c>
      <c r="M151" s="501" t="s">
        <v>6</v>
      </c>
      <c r="N151" s="312"/>
      <c r="O151" s="38"/>
    </row>
    <row r="152" spans="1:15" ht="20.05" customHeight="1" thickBot="1" x14ac:dyDescent="0.3">
      <c r="A152" s="987"/>
      <c r="B152" s="458" t="s">
        <v>1192</v>
      </c>
      <c r="C152" s="457" t="s">
        <v>1193</v>
      </c>
      <c r="D152" s="422">
        <v>2720884</v>
      </c>
      <c r="E152" s="39"/>
      <c r="F152" s="466">
        <v>43524</v>
      </c>
      <c r="G152" s="466">
        <v>43555</v>
      </c>
      <c r="H152" s="455" t="s">
        <v>33</v>
      </c>
      <c r="I152" s="455">
        <v>12</v>
      </c>
      <c r="J152" s="455" t="s">
        <v>4</v>
      </c>
      <c r="K152" s="456" t="s">
        <v>1194</v>
      </c>
      <c r="L152" s="456" t="s">
        <v>1195</v>
      </c>
      <c r="M152" s="501" t="s">
        <v>6</v>
      </c>
      <c r="N152" s="312"/>
      <c r="O152" s="38"/>
    </row>
    <row r="153" spans="1:15" ht="20.05" customHeight="1" thickBot="1" x14ac:dyDescent="0.3">
      <c r="A153" s="987"/>
      <c r="B153" s="794" t="s">
        <v>1536</v>
      </c>
      <c r="C153" s="791" t="s">
        <v>1537</v>
      </c>
      <c r="D153" s="789">
        <v>26050493</v>
      </c>
      <c r="E153" s="799" t="s">
        <v>1538</v>
      </c>
      <c r="F153" s="790">
        <v>43542</v>
      </c>
      <c r="G153" s="790">
        <v>43555</v>
      </c>
      <c r="H153" s="793" t="s">
        <v>33</v>
      </c>
      <c r="I153" s="800">
        <v>12</v>
      </c>
      <c r="J153" s="793" t="s">
        <v>4</v>
      </c>
      <c r="K153" s="788">
        <v>3126441916</v>
      </c>
      <c r="L153" s="788" t="s">
        <v>1539</v>
      </c>
      <c r="M153" s="792" t="s">
        <v>6</v>
      </c>
      <c r="N153" s="312"/>
      <c r="O153" s="38"/>
    </row>
    <row r="154" spans="1:15" ht="20.05" customHeight="1" thickBot="1" x14ac:dyDescent="0.3">
      <c r="A154" s="987"/>
      <c r="B154" s="992" t="s">
        <v>129</v>
      </c>
      <c r="C154" s="1016" t="s">
        <v>130</v>
      </c>
      <c r="D154" s="968">
        <v>26020408</v>
      </c>
      <c r="E154" s="1047" t="s">
        <v>520</v>
      </c>
      <c r="F154" s="490">
        <v>43528</v>
      </c>
      <c r="G154" s="490">
        <v>43555</v>
      </c>
      <c r="H154" s="486" t="s">
        <v>33</v>
      </c>
      <c r="I154" s="96">
        <v>12</v>
      </c>
      <c r="J154" s="486" t="s">
        <v>4</v>
      </c>
      <c r="K154" s="965">
        <v>3116851554</v>
      </c>
      <c r="L154" s="965" t="s">
        <v>246</v>
      </c>
      <c r="M154" s="501" t="s">
        <v>6</v>
      </c>
      <c r="N154" s="42" t="s">
        <v>578</v>
      </c>
      <c r="O154" s="38"/>
    </row>
    <row r="155" spans="1:15" ht="21.1" customHeight="1" thickBot="1" x14ac:dyDescent="0.3">
      <c r="A155" s="987"/>
      <c r="B155" s="992"/>
      <c r="C155" s="1016"/>
      <c r="D155" s="970"/>
      <c r="E155" s="1049"/>
      <c r="F155" s="329"/>
      <c r="G155" s="329"/>
      <c r="H155" s="17"/>
      <c r="I155" s="333"/>
      <c r="J155" s="17"/>
      <c r="K155" s="967"/>
      <c r="L155" s="967"/>
      <c r="M155" s="501" t="s">
        <v>679</v>
      </c>
      <c r="N155" s="312"/>
      <c r="O155" s="38"/>
    </row>
    <row r="156" spans="1:15" ht="21.1" customHeight="1" thickBot="1" x14ac:dyDescent="0.3">
      <c r="A156" s="987"/>
      <c r="B156" s="1000" t="s">
        <v>634</v>
      </c>
      <c r="C156" s="1068" t="s">
        <v>635</v>
      </c>
      <c r="D156" s="426"/>
      <c r="E156" s="1057" t="s">
        <v>633</v>
      </c>
      <c r="F156" s="1017">
        <v>43528</v>
      </c>
      <c r="G156" s="1017">
        <v>43555</v>
      </c>
      <c r="H156" s="1109" t="s">
        <v>1233</v>
      </c>
      <c r="I156" s="96">
        <v>20</v>
      </c>
      <c r="J156" s="486" t="s">
        <v>4</v>
      </c>
      <c r="K156" s="965">
        <v>3014290683</v>
      </c>
      <c r="L156" s="965" t="s">
        <v>636</v>
      </c>
      <c r="M156" s="965" t="s">
        <v>6</v>
      </c>
      <c r="N156" s="305"/>
      <c r="O156" s="305"/>
    </row>
    <row r="157" spans="1:15" ht="21.1" customHeight="1" thickBot="1" x14ac:dyDescent="0.3">
      <c r="A157" s="987"/>
      <c r="B157" s="1001"/>
      <c r="C157" s="1069"/>
      <c r="D157" s="421"/>
      <c r="E157" s="1059"/>
      <c r="F157" s="1019"/>
      <c r="G157" s="1019"/>
      <c r="H157" s="1110"/>
      <c r="I157" s="96">
        <v>20</v>
      </c>
      <c r="J157" s="486" t="s">
        <v>5</v>
      </c>
      <c r="K157" s="967"/>
      <c r="L157" s="967"/>
      <c r="M157" s="967"/>
      <c r="N157" s="305"/>
      <c r="O157" s="305"/>
    </row>
    <row r="158" spans="1:15" ht="21.1" customHeight="1" thickBot="1" x14ac:dyDescent="0.3">
      <c r="A158" s="987"/>
      <c r="B158" s="1000" t="s">
        <v>507</v>
      </c>
      <c r="C158" s="1068" t="s">
        <v>508</v>
      </c>
      <c r="D158" s="426"/>
      <c r="E158" s="965" t="s">
        <v>520</v>
      </c>
      <c r="F158" s="490">
        <v>43528</v>
      </c>
      <c r="G158" s="490">
        <v>43555</v>
      </c>
      <c r="H158" s="486" t="s">
        <v>765</v>
      </c>
      <c r="I158" s="96">
        <v>20</v>
      </c>
      <c r="J158" s="486" t="s">
        <v>226</v>
      </c>
      <c r="K158" s="1014">
        <v>3145875328</v>
      </c>
      <c r="L158" s="1078" t="s">
        <v>509</v>
      </c>
      <c r="M158" s="501" t="s">
        <v>679</v>
      </c>
      <c r="N158" s="314"/>
      <c r="O158" s="38"/>
    </row>
    <row r="159" spans="1:15" ht="21.1" customHeight="1" thickBot="1" x14ac:dyDescent="0.3">
      <c r="A159" s="987"/>
      <c r="B159" s="1001"/>
      <c r="C159" s="1069"/>
      <c r="D159" s="421"/>
      <c r="E159" s="967"/>
      <c r="F159" s="490">
        <v>43528</v>
      </c>
      <c r="G159" s="490">
        <v>43555</v>
      </c>
      <c r="H159" s="486" t="s">
        <v>33</v>
      </c>
      <c r="I159" s="96">
        <v>12</v>
      </c>
      <c r="J159" s="486" t="s">
        <v>4</v>
      </c>
      <c r="K159" s="1014"/>
      <c r="L159" s="1078"/>
      <c r="M159" s="501" t="s">
        <v>6</v>
      </c>
      <c r="N159" s="314"/>
      <c r="O159" s="38"/>
    </row>
    <row r="160" spans="1:15" ht="21.1" customHeight="1" thickBot="1" x14ac:dyDescent="0.3">
      <c r="A160" s="987"/>
      <c r="B160" s="349" t="s">
        <v>344</v>
      </c>
      <c r="C160" s="290" t="s">
        <v>345</v>
      </c>
      <c r="D160" s="408">
        <v>26048532</v>
      </c>
      <c r="E160" s="315" t="s">
        <v>519</v>
      </c>
      <c r="F160" s="556">
        <v>0</v>
      </c>
      <c r="G160" s="556">
        <v>43555</v>
      </c>
      <c r="H160" s="558" t="s">
        <v>33</v>
      </c>
      <c r="I160" s="558">
        <v>12</v>
      </c>
      <c r="J160" s="558" t="s">
        <v>4</v>
      </c>
      <c r="K160" s="295">
        <v>3126292364</v>
      </c>
      <c r="L160" s="295" t="s">
        <v>346</v>
      </c>
      <c r="M160" s="501" t="s">
        <v>6</v>
      </c>
      <c r="N160" s="314"/>
      <c r="O160" s="38"/>
    </row>
    <row r="161" spans="1:15" ht="20.25" customHeight="1" thickBot="1" x14ac:dyDescent="0.3">
      <c r="A161" s="987"/>
      <c r="B161" s="1065" t="s">
        <v>291</v>
      </c>
      <c r="C161" s="1012" t="s">
        <v>292</v>
      </c>
      <c r="D161" s="408"/>
      <c r="E161" s="1129" t="s">
        <v>551</v>
      </c>
      <c r="F161" s="675">
        <v>43526</v>
      </c>
      <c r="G161" s="675">
        <v>43555</v>
      </c>
      <c r="H161" s="683" t="s">
        <v>765</v>
      </c>
      <c r="I161" s="669">
        <v>20</v>
      </c>
      <c r="J161" s="669" t="s">
        <v>226</v>
      </c>
      <c r="K161" s="1014">
        <v>3126657933</v>
      </c>
      <c r="L161" s="1014" t="s">
        <v>293</v>
      </c>
      <c r="M161" s="647" t="s">
        <v>679</v>
      </c>
      <c r="N161" s="1073"/>
      <c r="O161" s="38"/>
    </row>
    <row r="162" spans="1:15" ht="22.6" customHeight="1" thickBot="1" x14ac:dyDescent="0.3">
      <c r="A162" s="987"/>
      <c r="B162" s="1066"/>
      <c r="C162" s="1009"/>
      <c r="D162" s="726"/>
      <c r="E162" s="1063"/>
      <c r="F162" s="678">
        <v>43528</v>
      </c>
      <c r="G162" s="678">
        <v>43555</v>
      </c>
      <c r="H162" s="685" t="s">
        <v>33</v>
      </c>
      <c r="I162" s="741">
        <v>12</v>
      </c>
      <c r="J162" s="685" t="s">
        <v>4</v>
      </c>
      <c r="K162" s="1063"/>
      <c r="L162" s="1063"/>
      <c r="M162" s="677" t="s">
        <v>6</v>
      </c>
      <c r="N162" s="1074"/>
      <c r="O162" s="38"/>
    </row>
    <row r="163" spans="1:15" ht="20.05" customHeight="1" x14ac:dyDescent="0.25">
      <c r="A163" s="1126" t="s">
        <v>400</v>
      </c>
      <c r="B163" s="975" t="s">
        <v>499</v>
      </c>
      <c r="C163" s="998" t="s">
        <v>500</v>
      </c>
      <c r="D163" s="1039">
        <v>45433315</v>
      </c>
      <c r="E163" s="986" t="s">
        <v>571</v>
      </c>
      <c r="F163" s="1019">
        <v>43528</v>
      </c>
      <c r="G163" s="1019">
        <v>43555</v>
      </c>
      <c r="H163" s="1034" t="s">
        <v>66</v>
      </c>
      <c r="I163" s="670">
        <v>24</v>
      </c>
      <c r="J163" s="670" t="s">
        <v>4</v>
      </c>
      <c r="K163" s="986">
        <v>3105039232</v>
      </c>
      <c r="L163" s="986" t="s">
        <v>501</v>
      </c>
      <c r="M163" s="657" t="s">
        <v>502</v>
      </c>
      <c r="N163" s="1072"/>
      <c r="O163" s="33"/>
    </row>
    <row r="164" spans="1:15" ht="20.05" customHeight="1" x14ac:dyDescent="0.25">
      <c r="A164" s="1127"/>
      <c r="B164" s="1005"/>
      <c r="C164" s="1023"/>
      <c r="D164" s="1067"/>
      <c r="E164" s="1032"/>
      <c r="F164" s="1050"/>
      <c r="G164" s="1050"/>
      <c r="H164" s="1046"/>
      <c r="I164" s="536">
        <v>24</v>
      </c>
      <c r="J164" s="536" t="s">
        <v>226</v>
      </c>
      <c r="K164" s="1032"/>
      <c r="L164" s="1032"/>
      <c r="M164" s="537" t="s">
        <v>787</v>
      </c>
      <c r="N164" s="1072"/>
      <c r="O164" s="33"/>
    </row>
    <row r="165" spans="1:15" ht="23.1" customHeight="1" thickBot="1" x14ac:dyDescent="0.3">
      <c r="A165" s="1128"/>
      <c r="B165" s="347" t="s">
        <v>112</v>
      </c>
      <c r="C165" s="274" t="s">
        <v>113</v>
      </c>
      <c r="D165" s="420">
        <v>30059542</v>
      </c>
      <c r="E165" s="36" t="s">
        <v>533</v>
      </c>
      <c r="F165" s="678">
        <v>43528</v>
      </c>
      <c r="G165" s="678">
        <v>43555</v>
      </c>
      <c r="H165" s="685" t="s">
        <v>33</v>
      </c>
      <c r="I165" s="685">
        <v>12</v>
      </c>
      <c r="J165" s="685" t="s">
        <v>4</v>
      </c>
      <c r="K165" s="500">
        <v>3107179869</v>
      </c>
      <c r="L165" s="103" t="s">
        <v>1295</v>
      </c>
      <c r="M165" s="499" t="s">
        <v>16</v>
      </c>
      <c r="N165" s="554" t="s">
        <v>1379</v>
      </c>
      <c r="O165" s="217"/>
    </row>
    <row r="166" spans="1:15" ht="20.05" customHeight="1" x14ac:dyDescent="0.25">
      <c r="A166" s="960" t="s">
        <v>943</v>
      </c>
      <c r="B166" s="746" t="s">
        <v>944</v>
      </c>
      <c r="C166" s="687" t="s">
        <v>945</v>
      </c>
      <c r="D166" s="492">
        <v>1553915</v>
      </c>
      <c r="E166" s="686" t="s">
        <v>946</v>
      </c>
      <c r="F166" s="651">
        <v>43528</v>
      </c>
      <c r="G166" s="651">
        <v>43555</v>
      </c>
      <c r="H166" s="670" t="s">
        <v>33</v>
      </c>
      <c r="I166" s="739">
        <v>12</v>
      </c>
      <c r="J166" s="670" t="s">
        <v>4</v>
      </c>
      <c r="K166" s="686">
        <v>3114143837</v>
      </c>
      <c r="L166" s="686" t="s">
        <v>943</v>
      </c>
      <c r="M166" s="686" t="s">
        <v>947</v>
      </c>
      <c r="N166" s="876"/>
      <c r="O166" s="876"/>
    </row>
    <row r="167" spans="1:15" ht="20.05" customHeight="1" thickBot="1" x14ac:dyDescent="0.3">
      <c r="A167" s="961"/>
      <c r="B167" s="747" t="s">
        <v>1224</v>
      </c>
      <c r="C167" s="742" t="s">
        <v>1225</v>
      </c>
      <c r="D167" s="743">
        <v>25894287</v>
      </c>
      <c r="E167" s="744" t="s">
        <v>520</v>
      </c>
      <c r="F167" s="678">
        <v>43526</v>
      </c>
      <c r="G167" s="678">
        <v>43555</v>
      </c>
      <c r="H167" s="685" t="s">
        <v>33</v>
      </c>
      <c r="I167" s="685">
        <v>12</v>
      </c>
      <c r="J167" s="685" t="s">
        <v>4</v>
      </c>
      <c r="K167" s="744">
        <v>3057589377</v>
      </c>
      <c r="L167" s="744" t="s">
        <v>1226</v>
      </c>
      <c r="M167" s="744" t="s">
        <v>947</v>
      </c>
      <c r="N167" s="745"/>
      <c r="O167" s="745"/>
    </row>
  </sheetData>
  <autoFilter ref="A1:O167"/>
  <mergeCells count="283">
    <mergeCell ref="A163:A165"/>
    <mergeCell ref="K156:K157"/>
    <mergeCell ref="C163:C164"/>
    <mergeCell ref="E161:E162"/>
    <mergeCell ref="E107:E109"/>
    <mergeCell ref="K154:K155"/>
    <mergeCell ref="K143:K144"/>
    <mergeCell ref="K149:K150"/>
    <mergeCell ref="K125:K126"/>
    <mergeCell ref="B149:B150"/>
    <mergeCell ref="D149:D150"/>
    <mergeCell ref="B158:B159"/>
    <mergeCell ref="C158:C159"/>
    <mergeCell ref="E156:E157"/>
    <mergeCell ref="E154:E155"/>
    <mergeCell ref="E149:E150"/>
    <mergeCell ref="F163:F164"/>
    <mergeCell ref="G163:G164"/>
    <mergeCell ref="H163:H164"/>
    <mergeCell ref="F156:F157"/>
    <mergeCell ref="B163:B164"/>
    <mergeCell ref="D154:D155"/>
    <mergeCell ref="B154:B155"/>
    <mergeCell ref="C154:C155"/>
    <mergeCell ref="L104:L106"/>
    <mergeCell ref="G156:G157"/>
    <mergeCell ref="H156:H157"/>
    <mergeCell ref="H125:H126"/>
    <mergeCell ref="N47:N48"/>
    <mergeCell ref="L9:L12"/>
    <mergeCell ref="K57:K58"/>
    <mergeCell ref="F55:F56"/>
    <mergeCell ref="L73:L75"/>
    <mergeCell ref="L102:L103"/>
    <mergeCell ref="L100:L101"/>
    <mergeCell ref="K95:K96"/>
    <mergeCell ref="N44:O44"/>
    <mergeCell ref="K49:K50"/>
    <mergeCell ref="L95:L96"/>
    <mergeCell ref="L54:L56"/>
    <mergeCell ref="K54:K56"/>
    <mergeCell ref="L59:L61"/>
    <mergeCell ref="F83:F85"/>
    <mergeCell ref="K83:K85"/>
    <mergeCell ref="H83:H85"/>
    <mergeCell ref="N67:O67"/>
    <mergeCell ref="N20:N22"/>
    <mergeCell ref="N25:N26"/>
    <mergeCell ref="O102:O103"/>
    <mergeCell ref="O54:O55"/>
    <mergeCell ref="L90:L91"/>
    <mergeCell ref="N51:N53"/>
    <mergeCell ref="N54:N56"/>
    <mergeCell ref="L57:L58"/>
    <mergeCell ref="N73:N75"/>
    <mergeCell ref="N83:N85"/>
    <mergeCell ref="M102:M103"/>
    <mergeCell ref="L97:L98"/>
    <mergeCell ref="L88:L89"/>
    <mergeCell ref="N97:N98"/>
    <mergeCell ref="L86:L87"/>
    <mergeCell ref="L92:L93"/>
    <mergeCell ref="N102:N103"/>
    <mergeCell ref="N77:O77"/>
    <mergeCell ref="L51:L53"/>
    <mergeCell ref="G105:G106"/>
    <mergeCell ref="H105:H106"/>
    <mergeCell ref="H80:H81"/>
    <mergeCell ref="F105:F106"/>
    <mergeCell ref="E104:E106"/>
    <mergeCell ref="K102:K103"/>
    <mergeCell ref="K100:K101"/>
    <mergeCell ref="G102:G103"/>
    <mergeCell ref="H102:H103"/>
    <mergeCell ref="E102:E103"/>
    <mergeCell ref="F102:F103"/>
    <mergeCell ref="K104:K106"/>
    <mergeCell ref="G80:G81"/>
    <mergeCell ref="G83:G85"/>
    <mergeCell ref="E83:E85"/>
    <mergeCell ref="K86:K87"/>
    <mergeCell ref="F80:F81"/>
    <mergeCell ref="F90:F91"/>
    <mergeCell ref="G90:G91"/>
    <mergeCell ref="E100:E101"/>
    <mergeCell ref="K97:K98"/>
    <mergeCell ref="E95:E96"/>
    <mergeCell ref="K92:K93"/>
    <mergeCell ref="N163:N164"/>
    <mergeCell ref="N161:N162"/>
    <mergeCell ref="M156:M157"/>
    <mergeCell ref="L163:L164"/>
    <mergeCell ref="N107:N109"/>
    <mergeCell ref="K117:K118"/>
    <mergeCell ref="L117:L118"/>
    <mergeCell ref="K107:K108"/>
    <mergeCell ref="L107:L108"/>
    <mergeCell ref="K158:K159"/>
    <mergeCell ref="L158:L159"/>
    <mergeCell ref="L156:L157"/>
    <mergeCell ref="L161:L162"/>
    <mergeCell ref="K163:K164"/>
    <mergeCell ref="L154:L155"/>
    <mergeCell ref="L125:L126"/>
    <mergeCell ref="L149:L150"/>
    <mergeCell ref="L143:L144"/>
    <mergeCell ref="K161:K162"/>
    <mergeCell ref="N117:N118"/>
    <mergeCell ref="B161:B162"/>
    <mergeCell ref="C161:C162"/>
    <mergeCell ref="E158:E159"/>
    <mergeCell ref="B156:B157"/>
    <mergeCell ref="D163:D164"/>
    <mergeCell ref="E163:E164"/>
    <mergeCell ref="B143:B144"/>
    <mergeCell ref="C156:C157"/>
    <mergeCell ref="C143:C144"/>
    <mergeCell ref="E143:E144"/>
    <mergeCell ref="C149:C150"/>
    <mergeCell ref="H108:H109"/>
    <mergeCell ref="H117:H118"/>
    <mergeCell ref="D117:D118"/>
    <mergeCell ref="F117:F118"/>
    <mergeCell ref="C125:C126"/>
    <mergeCell ref="D125:D126"/>
    <mergeCell ref="E125:E126"/>
    <mergeCell ref="F108:F109"/>
    <mergeCell ref="F125:F126"/>
    <mergeCell ref="G125:G126"/>
    <mergeCell ref="G108:G109"/>
    <mergeCell ref="G117:G118"/>
    <mergeCell ref="E117:E118"/>
    <mergeCell ref="K20:K22"/>
    <mergeCell ref="L20:L22"/>
    <mergeCell ref="E20:E22"/>
    <mergeCell ref="D20:D22"/>
    <mergeCell ref="C54:C56"/>
    <mergeCell ref="L27:L29"/>
    <mergeCell ref="G27:G29"/>
    <mergeCell ref="H27:H29"/>
    <mergeCell ref="K73:K75"/>
    <mergeCell ref="G73:G75"/>
    <mergeCell ref="F73:F75"/>
    <mergeCell ref="K27:K29"/>
    <mergeCell ref="L30:L32"/>
    <mergeCell ref="H55:H56"/>
    <mergeCell ref="G55:G56"/>
    <mergeCell ref="K23:K24"/>
    <mergeCell ref="H73:H75"/>
    <mergeCell ref="K30:K32"/>
    <mergeCell ref="E59:E61"/>
    <mergeCell ref="E54:E56"/>
    <mergeCell ref="E57:E58"/>
    <mergeCell ref="F31:F32"/>
    <mergeCell ref="E62:E63"/>
    <mergeCell ref="K51:K53"/>
    <mergeCell ref="H10:H11"/>
    <mergeCell ref="B42:B43"/>
    <mergeCell ref="L83:L85"/>
    <mergeCell ref="C30:C32"/>
    <mergeCell ref="D42:D43"/>
    <mergeCell ref="B20:B22"/>
    <mergeCell ref="E16:E17"/>
    <mergeCell ref="D9:D12"/>
    <mergeCell ref="D51:D53"/>
    <mergeCell ref="E51:E53"/>
    <mergeCell ref="K59:K61"/>
    <mergeCell ref="K9:K12"/>
    <mergeCell ref="F10:F11"/>
    <mergeCell ref="G10:G11"/>
    <mergeCell ref="L16:L17"/>
    <mergeCell ref="L42:L43"/>
    <mergeCell ref="G31:G32"/>
    <mergeCell ref="H31:H32"/>
    <mergeCell ref="K16:K17"/>
    <mergeCell ref="L23:L24"/>
    <mergeCell ref="C16:C17"/>
    <mergeCell ref="C23:C24"/>
    <mergeCell ref="E23:E24"/>
    <mergeCell ref="E79:E81"/>
    <mergeCell ref="A2:A24"/>
    <mergeCell ref="B54:B56"/>
    <mergeCell ref="B37:B38"/>
    <mergeCell ref="B79:B81"/>
    <mergeCell ref="C49:C50"/>
    <mergeCell ref="E9:E12"/>
    <mergeCell ref="B9:B12"/>
    <mergeCell ref="C9:C12"/>
    <mergeCell ref="C37:C38"/>
    <mergeCell ref="E47:E48"/>
    <mergeCell ref="B57:B58"/>
    <mergeCell ref="D37:D38"/>
    <mergeCell ref="B30:B32"/>
    <mergeCell ref="E30:E32"/>
    <mergeCell ref="B23:B24"/>
    <mergeCell ref="C62:C63"/>
    <mergeCell ref="B62:B63"/>
    <mergeCell ref="D49:D50"/>
    <mergeCell ref="D47:D48"/>
    <mergeCell ref="D54:D56"/>
    <mergeCell ref="C57:C58"/>
    <mergeCell ref="D39:D40"/>
    <mergeCell ref="C20:C22"/>
    <mergeCell ref="B16:B17"/>
    <mergeCell ref="G51:G53"/>
    <mergeCell ref="H51:H53"/>
    <mergeCell ref="E42:E43"/>
    <mergeCell ref="E73:E75"/>
    <mergeCell ref="C39:C40"/>
    <mergeCell ref="C90:C91"/>
    <mergeCell ref="E39:E40"/>
    <mergeCell ref="L49:L50"/>
    <mergeCell ref="K42:K43"/>
    <mergeCell ref="C42:C43"/>
    <mergeCell ref="H90:H91"/>
    <mergeCell ref="K90:K91"/>
    <mergeCell ref="K88:K89"/>
    <mergeCell ref="B49:B50"/>
    <mergeCell ref="B59:B61"/>
    <mergeCell ref="C83:C85"/>
    <mergeCell ref="C73:C75"/>
    <mergeCell ref="B39:B40"/>
    <mergeCell ref="E49:E50"/>
    <mergeCell ref="B51:B53"/>
    <mergeCell ref="C51:C53"/>
    <mergeCell ref="B83:B85"/>
    <mergeCell ref="B47:B48"/>
    <mergeCell ref="B73:B75"/>
    <mergeCell ref="D102:D103"/>
    <mergeCell ref="C92:C93"/>
    <mergeCell ref="E88:E89"/>
    <mergeCell ref="E90:E91"/>
    <mergeCell ref="C88:C89"/>
    <mergeCell ref="C97:C98"/>
    <mergeCell ref="E97:E98"/>
    <mergeCell ref="D92:D93"/>
    <mergeCell ref="F27:F29"/>
    <mergeCell ref="E86:E87"/>
    <mergeCell ref="D100:D101"/>
    <mergeCell ref="C100:C101"/>
    <mergeCell ref="E92:E93"/>
    <mergeCell ref="F51:F53"/>
    <mergeCell ref="C59:C61"/>
    <mergeCell ref="B125:B126"/>
    <mergeCell ref="B104:B106"/>
    <mergeCell ref="C79:C81"/>
    <mergeCell ref="C104:C106"/>
    <mergeCell ref="B90:B91"/>
    <mergeCell ref="B88:B89"/>
    <mergeCell ref="B102:B103"/>
    <mergeCell ref="B92:B93"/>
    <mergeCell ref="C95:C96"/>
    <mergeCell ref="B107:B109"/>
    <mergeCell ref="B86:B87"/>
    <mergeCell ref="B100:B101"/>
    <mergeCell ref="C107:C109"/>
    <mergeCell ref="C86:C87"/>
    <mergeCell ref="C102:C103"/>
    <mergeCell ref="B97:B98"/>
    <mergeCell ref="A166:A167"/>
    <mergeCell ref="B27:B29"/>
    <mergeCell ref="C27:C29"/>
    <mergeCell ref="D27:D29"/>
    <mergeCell ref="E27:E29"/>
    <mergeCell ref="B95:B96"/>
    <mergeCell ref="A104:A122"/>
    <mergeCell ref="A94:A101"/>
    <mergeCell ref="A25:A34"/>
    <mergeCell ref="A132:A133"/>
    <mergeCell ref="A139:A142"/>
    <mergeCell ref="A88:A93"/>
    <mergeCell ref="A102:A103"/>
    <mergeCell ref="A134:A136"/>
    <mergeCell ref="A130:A131"/>
    <mergeCell ref="A35:A87"/>
    <mergeCell ref="A128:A129"/>
    <mergeCell ref="E37:E38"/>
    <mergeCell ref="A143:A148"/>
    <mergeCell ref="A149:A162"/>
    <mergeCell ref="C47:C48"/>
    <mergeCell ref="B117:B118"/>
    <mergeCell ref="C117:C118"/>
    <mergeCell ref="A123:A126"/>
  </mergeCells>
  <pageMargins left="0.23622047244094491" right="0.23622047244094491" top="0.35433070866141736" bottom="0.35433070866141736" header="0.31496062992125984" footer="0.31496062992125984"/>
  <pageSetup scale="6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172"/>
  <sheetViews>
    <sheetView zoomScale="115" zoomScaleNormal="115" workbookViewId="0">
      <pane ySplit="1" topLeftCell="A130" activePane="bottomLeft" state="frozen"/>
      <selection pane="bottomLeft" activeCell="D144" sqref="D144"/>
    </sheetView>
  </sheetViews>
  <sheetFormatPr baseColWidth="10" defaultColWidth="11.375" defaultRowHeight="20.05" customHeight="1" x14ac:dyDescent="0.25"/>
  <cols>
    <col min="1" max="1" width="11.125" style="3" customWidth="1"/>
    <col min="2" max="2" width="23.25" style="3" customWidth="1"/>
    <col min="3" max="3" width="23.625" style="3" customWidth="1"/>
    <col min="4" max="4" width="12.125" style="591" customWidth="1"/>
    <col min="5" max="5" width="17.25" style="2" customWidth="1"/>
    <col min="6" max="6" width="12.625" style="338" customWidth="1"/>
    <col min="7" max="7" width="12.375" style="338" customWidth="1"/>
    <col min="8" max="8" width="12.625" style="159" customWidth="1"/>
    <col min="9" max="9" width="6.25" style="2" customWidth="1"/>
    <col min="10" max="10" width="6.125" style="2" customWidth="1"/>
    <col min="11" max="11" width="11.875" style="593" customWidth="1"/>
    <col min="12" max="12" width="25.375" style="2" customWidth="1"/>
    <col min="13" max="13" width="23.25" style="2" customWidth="1"/>
    <col min="14" max="14" width="23" style="3" customWidth="1"/>
    <col min="15" max="16384" width="11.375" style="3"/>
  </cols>
  <sheetData>
    <row r="1" spans="1:15" s="2" customFormat="1" ht="20.05" customHeight="1" x14ac:dyDescent="0.25">
      <c r="A1" s="148" t="s">
        <v>12</v>
      </c>
      <c r="B1" s="856" t="s">
        <v>27</v>
      </c>
      <c r="C1" s="856" t="s">
        <v>11</v>
      </c>
      <c r="D1" s="582" t="s">
        <v>1050</v>
      </c>
      <c r="E1" s="148" t="s">
        <v>505</v>
      </c>
      <c r="F1" s="337" t="s">
        <v>1</v>
      </c>
      <c r="G1" s="337" t="s">
        <v>2</v>
      </c>
      <c r="H1" s="148" t="s">
        <v>28</v>
      </c>
      <c r="I1" s="148" t="s">
        <v>13</v>
      </c>
      <c r="J1" s="149" t="s">
        <v>235</v>
      </c>
      <c r="K1" s="149" t="s">
        <v>0</v>
      </c>
      <c r="L1" s="148" t="s">
        <v>233</v>
      </c>
      <c r="M1" s="148" t="s">
        <v>3</v>
      </c>
      <c r="N1" s="148" t="s">
        <v>573</v>
      </c>
    </row>
    <row r="2" spans="1:15" ht="20.05" customHeight="1" x14ac:dyDescent="0.25">
      <c r="A2" s="1191" t="s">
        <v>14</v>
      </c>
      <c r="B2" s="151" t="s">
        <v>135</v>
      </c>
      <c r="C2" s="151" t="s">
        <v>136</v>
      </c>
      <c r="D2" s="583">
        <v>25757424</v>
      </c>
      <c r="E2" s="439" t="s">
        <v>515</v>
      </c>
      <c r="F2" s="570">
        <v>43528</v>
      </c>
      <c r="G2" s="570">
        <v>43555</v>
      </c>
      <c r="H2" s="571" t="s">
        <v>33</v>
      </c>
      <c r="I2" s="564">
        <v>12</v>
      </c>
      <c r="J2" s="564" t="s">
        <v>4</v>
      </c>
      <c r="K2" s="440" t="s">
        <v>336</v>
      </c>
      <c r="L2" s="150" t="s">
        <v>337</v>
      </c>
      <c r="M2" s="150"/>
      <c r="N2" s="151"/>
    </row>
    <row r="3" spans="1:15" ht="20.05" customHeight="1" x14ac:dyDescent="0.25">
      <c r="A3" s="1191"/>
      <c r="B3" s="1132" t="s">
        <v>137</v>
      </c>
      <c r="C3" s="1132" t="s">
        <v>138</v>
      </c>
      <c r="D3" s="1134">
        <v>4835668</v>
      </c>
      <c r="E3" s="1136" t="s">
        <v>528</v>
      </c>
      <c r="F3" s="570">
        <v>43528</v>
      </c>
      <c r="G3" s="570">
        <v>43555</v>
      </c>
      <c r="H3" s="571" t="s">
        <v>33</v>
      </c>
      <c r="I3" s="564">
        <v>12</v>
      </c>
      <c r="J3" s="564" t="s">
        <v>4</v>
      </c>
      <c r="K3" s="1138">
        <v>3146272862</v>
      </c>
      <c r="L3" s="1136" t="s">
        <v>259</v>
      </c>
      <c r="M3" s="150"/>
      <c r="N3" s="151"/>
    </row>
    <row r="4" spans="1:15" ht="20.05" customHeight="1" x14ac:dyDescent="0.25">
      <c r="A4" s="1191"/>
      <c r="B4" s="1166"/>
      <c r="C4" s="1166"/>
      <c r="D4" s="1148"/>
      <c r="E4" s="1140"/>
      <c r="F4" s="1141">
        <v>43530</v>
      </c>
      <c r="G4" s="1141">
        <v>43555</v>
      </c>
      <c r="H4" s="1146" t="s">
        <v>765</v>
      </c>
      <c r="I4" s="564">
        <v>8</v>
      </c>
      <c r="J4" s="564" t="s">
        <v>4</v>
      </c>
      <c r="K4" s="1149"/>
      <c r="L4" s="1140"/>
      <c r="M4" s="240"/>
      <c r="N4" s="151"/>
    </row>
    <row r="5" spans="1:15" ht="20.05" customHeight="1" x14ac:dyDescent="0.25">
      <c r="A5" s="1191"/>
      <c r="B5" s="1133"/>
      <c r="C5" s="1133"/>
      <c r="D5" s="1135"/>
      <c r="E5" s="1137"/>
      <c r="F5" s="1142"/>
      <c r="G5" s="1142"/>
      <c r="H5" s="1147"/>
      <c r="I5" s="564">
        <v>8</v>
      </c>
      <c r="J5" s="564" t="s">
        <v>8</v>
      </c>
      <c r="K5" s="1139"/>
      <c r="L5" s="1137"/>
      <c r="M5" s="150"/>
      <c r="N5" s="151"/>
    </row>
    <row r="6" spans="1:15" ht="20.05" customHeight="1" x14ac:dyDescent="0.25">
      <c r="A6" s="1191"/>
      <c r="B6" s="1132" t="s">
        <v>1611</v>
      </c>
      <c r="C6" s="1132" t="s">
        <v>1612</v>
      </c>
      <c r="D6" s="1134">
        <v>26209781</v>
      </c>
      <c r="E6" s="1136" t="s">
        <v>515</v>
      </c>
      <c r="F6" s="1141">
        <v>43546</v>
      </c>
      <c r="G6" s="1141">
        <v>43576</v>
      </c>
      <c r="H6" s="1151" t="s">
        <v>66</v>
      </c>
      <c r="I6" s="854">
        <v>30</v>
      </c>
      <c r="J6" s="854" t="s">
        <v>5</v>
      </c>
      <c r="K6" s="1138">
        <v>3145413418</v>
      </c>
      <c r="L6" s="1136" t="s">
        <v>1613</v>
      </c>
      <c r="M6" s="855"/>
      <c r="N6" s="151"/>
    </row>
    <row r="7" spans="1:15" ht="20.05" customHeight="1" x14ac:dyDescent="0.25">
      <c r="A7" s="1191"/>
      <c r="B7" s="1133"/>
      <c r="C7" s="1133"/>
      <c r="D7" s="1135"/>
      <c r="E7" s="1137"/>
      <c r="F7" s="1142"/>
      <c r="G7" s="1142"/>
      <c r="H7" s="1153"/>
      <c r="I7" s="854">
        <v>30</v>
      </c>
      <c r="J7" s="854" t="s">
        <v>4</v>
      </c>
      <c r="K7" s="1139"/>
      <c r="L7" s="1137"/>
      <c r="M7" s="855"/>
      <c r="N7" s="151"/>
    </row>
    <row r="8" spans="1:15" ht="20.05" customHeight="1" x14ac:dyDescent="0.25">
      <c r="A8" s="1191"/>
      <c r="B8" s="442" t="s">
        <v>1554</v>
      </c>
      <c r="C8" s="442" t="s">
        <v>1555</v>
      </c>
      <c r="D8" s="585">
        <v>6573401</v>
      </c>
      <c r="E8" s="815" t="s">
        <v>529</v>
      </c>
      <c r="F8" s="816">
        <v>43543</v>
      </c>
      <c r="G8" s="816">
        <v>43555</v>
      </c>
      <c r="H8" s="817" t="s">
        <v>33</v>
      </c>
      <c r="I8" s="814">
        <v>12</v>
      </c>
      <c r="J8" s="814" t="s">
        <v>4</v>
      </c>
      <c r="K8" s="818">
        <v>7898545</v>
      </c>
      <c r="L8" s="815" t="s">
        <v>1556</v>
      </c>
      <c r="M8" s="815"/>
      <c r="N8" s="151"/>
    </row>
    <row r="9" spans="1:15" ht="20.05" customHeight="1" x14ac:dyDescent="0.25">
      <c r="A9" s="1191"/>
      <c r="B9" s="442" t="s">
        <v>1335</v>
      </c>
      <c r="C9" s="442" t="s">
        <v>1334</v>
      </c>
      <c r="D9" s="585">
        <v>25240501</v>
      </c>
      <c r="E9" s="815" t="s">
        <v>532</v>
      </c>
      <c r="F9" s="816">
        <v>43528</v>
      </c>
      <c r="G9" s="816">
        <v>43555</v>
      </c>
      <c r="H9" s="817" t="s">
        <v>33</v>
      </c>
      <c r="I9" s="814">
        <v>12</v>
      </c>
      <c r="J9" s="814" t="s">
        <v>4</v>
      </c>
      <c r="K9" s="818" t="s">
        <v>1341</v>
      </c>
      <c r="L9" s="815" t="s">
        <v>1340</v>
      </c>
      <c r="M9" s="548"/>
      <c r="N9" s="151"/>
    </row>
    <row r="10" spans="1:15" ht="20.05" customHeight="1" x14ac:dyDescent="0.25">
      <c r="A10" s="1191"/>
      <c r="B10" s="857" t="s">
        <v>1001</v>
      </c>
      <c r="C10" s="442" t="s">
        <v>1336</v>
      </c>
      <c r="D10" s="585">
        <v>25750895</v>
      </c>
      <c r="E10" s="548" t="s">
        <v>1337</v>
      </c>
      <c r="F10" s="568">
        <v>43528</v>
      </c>
      <c r="G10" s="568">
        <v>43555</v>
      </c>
      <c r="H10" s="569" t="s">
        <v>33</v>
      </c>
      <c r="I10" s="564">
        <v>12</v>
      </c>
      <c r="J10" s="564" t="s">
        <v>4</v>
      </c>
      <c r="K10" s="567" t="s">
        <v>1338</v>
      </c>
      <c r="L10" s="546" t="s">
        <v>1339</v>
      </c>
      <c r="M10" s="548"/>
      <c r="N10" s="151"/>
    </row>
    <row r="11" spans="1:15" ht="20.05" customHeight="1" x14ac:dyDescent="0.25">
      <c r="A11" s="1191"/>
      <c r="B11" s="857" t="s">
        <v>1364</v>
      </c>
      <c r="C11" s="442" t="s">
        <v>1365</v>
      </c>
      <c r="D11" s="586">
        <v>34960830</v>
      </c>
      <c r="E11" s="545" t="s">
        <v>1366</v>
      </c>
      <c r="F11" s="568">
        <v>43528</v>
      </c>
      <c r="G11" s="568">
        <v>43555</v>
      </c>
      <c r="H11" s="569" t="s">
        <v>33</v>
      </c>
      <c r="I11" s="564">
        <v>12</v>
      </c>
      <c r="J11" s="564" t="s">
        <v>4</v>
      </c>
      <c r="K11" s="567">
        <v>3114259908</v>
      </c>
      <c r="L11" s="546" t="s">
        <v>1367</v>
      </c>
      <c r="M11" s="548"/>
      <c r="N11" s="151"/>
    </row>
    <row r="12" spans="1:15" ht="20.05" customHeight="1" x14ac:dyDescent="0.25">
      <c r="A12" s="1191"/>
      <c r="B12" s="857" t="s">
        <v>1415</v>
      </c>
      <c r="C12" s="442" t="s">
        <v>1416</v>
      </c>
      <c r="D12" s="598">
        <v>22156191</v>
      </c>
      <c r="E12" s="599" t="s">
        <v>1417</v>
      </c>
      <c r="F12" s="601">
        <v>43532</v>
      </c>
      <c r="G12" s="601">
        <v>43555</v>
      </c>
      <c r="H12" s="596" t="s">
        <v>1233</v>
      </c>
      <c r="I12" s="597">
        <v>40</v>
      </c>
      <c r="J12" s="597" t="s">
        <v>5</v>
      </c>
      <c r="K12" s="602" t="s">
        <v>1418</v>
      </c>
      <c r="L12" s="600" t="s">
        <v>1419</v>
      </c>
      <c r="M12" s="603"/>
      <c r="N12" s="151"/>
    </row>
    <row r="13" spans="1:15" ht="20.05" customHeight="1" x14ac:dyDescent="0.25">
      <c r="A13" s="1191"/>
      <c r="B13" s="857" t="s">
        <v>1351</v>
      </c>
      <c r="C13" s="442" t="s">
        <v>1352</v>
      </c>
      <c r="D13" s="586">
        <v>25952311</v>
      </c>
      <c r="E13" s="545" t="s">
        <v>532</v>
      </c>
      <c r="F13" s="568">
        <v>43528</v>
      </c>
      <c r="G13" s="568">
        <v>43555</v>
      </c>
      <c r="H13" s="569" t="s">
        <v>33</v>
      </c>
      <c r="I13" s="564">
        <v>12</v>
      </c>
      <c r="J13" s="564" t="s">
        <v>4</v>
      </c>
      <c r="K13" s="567" t="s">
        <v>1353</v>
      </c>
      <c r="L13" s="595" t="s">
        <v>1405</v>
      </c>
      <c r="M13" s="548"/>
      <c r="N13" s="151"/>
      <c r="O13" s="832" t="s">
        <v>1563</v>
      </c>
    </row>
    <row r="14" spans="1:15" s="562" customFormat="1" ht="20.05" customHeight="1" x14ac:dyDescent="0.25">
      <c r="A14" s="1191"/>
      <c r="B14" s="1188" t="s">
        <v>17</v>
      </c>
      <c r="C14" s="1188" t="s">
        <v>139</v>
      </c>
      <c r="D14" s="1170">
        <v>7374694</v>
      </c>
      <c r="E14" s="1177" t="s">
        <v>528</v>
      </c>
      <c r="F14" s="373">
        <v>43531</v>
      </c>
      <c r="G14" s="373">
        <v>43555</v>
      </c>
      <c r="H14" s="372" t="s">
        <v>765</v>
      </c>
      <c r="I14" s="576">
        <v>8</v>
      </c>
      <c r="J14" s="576" t="s">
        <v>4</v>
      </c>
      <c r="K14" s="1189" t="s">
        <v>327</v>
      </c>
      <c r="L14" s="1154" t="s">
        <v>328</v>
      </c>
      <c r="M14" s="643" t="s">
        <v>1463</v>
      </c>
      <c r="N14" s="561"/>
    </row>
    <row r="15" spans="1:15" s="562" customFormat="1" ht="20.05" customHeight="1" x14ac:dyDescent="0.25">
      <c r="A15" s="1191"/>
      <c r="B15" s="1188"/>
      <c r="C15" s="1188"/>
      <c r="D15" s="1171"/>
      <c r="E15" s="1178"/>
      <c r="F15" s="373">
        <v>43535</v>
      </c>
      <c r="G15" s="373">
        <v>43555</v>
      </c>
      <c r="H15" s="372" t="s">
        <v>765</v>
      </c>
      <c r="I15" s="625">
        <v>20</v>
      </c>
      <c r="J15" s="625" t="s">
        <v>4</v>
      </c>
      <c r="K15" s="1189"/>
      <c r="L15" s="1154"/>
      <c r="M15" s="625"/>
      <c r="N15" s="561"/>
    </row>
    <row r="16" spans="1:15" s="562" customFormat="1" ht="20.05" customHeight="1" x14ac:dyDescent="0.25">
      <c r="A16" s="1191"/>
      <c r="B16" s="1188"/>
      <c r="C16" s="1188"/>
      <c r="D16" s="1171"/>
      <c r="E16" s="1178"/>
      <c r="F16" s="373">
        <v>43535</v>
      </c>
      <c r="G16" s="373">
        <v>43555</v>
      </c>
      <c r="H16" s="372" t="s">
        <v>765</v>
      </c>
      <c r="I16" s="625">
        <v>30</v>
      </c>
      <c r="J16" s="625" t="s">
        <v>5</v>
      </c>
      <c r="K16" s="1189"/>
      <c r="L16" s="1154"/>
      <c r="M16" s="625"/>
      <c r="N16" s="561"/>
    </row>
    <row r="17" spans="1:14" s="562" customFormat="1" ht="20.05" customHeight="1" x14ac:dyDescent="0.25">
      <c r="A17" s="1191"/>
      <c r="B17" s="1188"/>
      <c r="C17" s="1188"/>
      <c r="D17" s="1172"/>
      <c r="E17" s="1190"/>
      <c r="F17" s="373">
        <v>43535</v>
      </c>
      <c r="G17" s="373">
        <v>43555</v>
      </c>
      <c r="H17" s="372" t="s">
        <v>33</v>
      </c>
      <c r="I17" s="576">
        <v>12</v>
      </c>
      <c r="J17" s="576" t="s">
        <v>5</v>
      </c>
      <c r="K17" s="1189"/>
      <c r="L17" s="1154"/>
      <c r="M17" s="403"/>
      <c r="N17" s="561"/>
    </row>
    <row r="18" spans="1:14" ht="20.05" customHeight="1" x14ac:dyDescent="0.25">
      <c r="A18" s="1191"/>
      <c r="B18" s="442" t="s">
        <v>1218</v>
      </c>
      <c r="C18" s="442" t="s">
        <v>1219</v>
      </c>
      <c r="D18" s="587">
        <v>1003027880</v>
      </c>
      <c r="E18" s="477" t="s">
        <v>1220</v>
      </c>
      <c r="F18" s="570">
        <v>43526</v>
      </c>
      <c r="G18" s="570">
        <v>43555</v>
      </c>
      <c r="H18" s="571" t="s">
        <v>33</v>
      </c>
      <c r="I18" s="564">
        <v>12</v>
      </c>
      <c r="J18" s="564" t="s">
        <v>4</v>
      </c>
      <c r="K18" s="440">
        <v>3145248098</v>
      </c>
      <c r="L18" s="156" t="s">
        <v>1256</v>
      </c>
      <c r="M18" s="478"/>
      <c r="N18" s="151"/>
    </row>
    <row r="19" spans="1:14" ht="20.05" customHeight="1" x14ac:dyDescent="0.25">
      <c r="A19" s="1191"/>
      <c r="B19" s="1132" t="s">
        <v>1249</v>
      </c>
      <c r="C19" s="1132" t="s">
        <v>1250</v>
      </c>
      <c r="D19" s="1134">
        <v>2798879</v>
      </c>
      <c r="E19" s="1136" t="s">
        <v>959</v>
      </c>
      <c r="F19" s="570">
        <v>43528</v>
      </c>
      <c r="G19" s="570">
        <v>43555</v>
      </c>
      <c r="H19" s="571" t="s">
        <v>33</v>
      </c>
      <c r="I19" s="564">
        <v>12</v>
      </c>
      <c r="J19" s="564" t="s">
        <v>4</v>
      </c>
      <c r="K19" s="1138" t="s">
        <v>1251</v>
      </c>
      <c r="L19" s="1136" t="s">
        <v>1252</v>
      </c>
      <c r="M19" s="485"/>
      <c r="N19" s="151"/>
    </row>
    <row r="20" spans="1:14" ht="20.05" customHeight="1" x14ac:dyDescent="0.25">
      <c r="A20" s="1191"/>
      <c r="B20" s="1133"/>
      <c r="C20" s="1133"/>
      <c r="D20" s="1135"/>
      <c r="E20" s="1137"/>
      <c r="F20" s="849">
        <v>43546</v>
      </c>
      <c r="G20" s="849">
        <v>43555</v>
      </c>
      <c r="H20" s="850" t="s">
        <v>765</v>
      </c>
      <c r="I20" s="847">
        <v>8</v>
      </c>
      <c r="J20" s="847" t="s">
        <v>4</v>
      </c>
      <c r="K20" s="1139"/>
      <c r="L20" s="1137"/>
      <c r="M20" s="848"/>
      <c r="N20" s="151"/>
    </row>
    <row r="21" spans="1:14" ht="20.05" customHeight="1" x14ac:dyDescent="0.25">
      <c r="A21" s="1191"/>
      <c r="B21" s="442" t="s">
        <v>1221</v>
      </c>
      <c r="C21" s="442" t="s">
        <v>1222</v>
      </c>
      <c r="D21" s="587">
        <v>25753951</v>
      </c>
      <c r="E21" s="477" t="s">
        <v>1223</v>
      </c>
      <c r="F21" s="570">
        <v>43526</v>
      </c>
      <c r="G21" s="570">
        <v>43555</v>
      </c>
      <c r="H21" s="571" t="s">
        <v>33</v>
      </c>
      <c r="I21" s="564">
        <v>12</v>
      </c>
      <c r="J21" s="564" t="s">
        <v>4</v>
      </c>
      <c r="K21" s="440" t="s">
        <v>1258</v>
      </c>
      <c r="L21" s="478" t="s">
        <v>1257</v>
      </c>
      <c r="M21" s="478"/>
      <c r="N21" s="151"/>
    </row>
    <row r="22" spans="1:14" ht="20.05" customHeight="1" x14ac:dyDescent="0.25">
      <c r="A22" s="1191"/>
      <c r="B22" s="442" t="s">
        <v>1215</v>
      </c>
      <c r="C22" s="442" t="s">
        <v>1216</v>
      </c>
      <c r="D22" s="587">
        <v>25753897</v>
      </c>
      <c r="E22" s="477" t="s">
        <v>515</v>
      </c>
      <c r="F22" s="570">
        <v>43526</v>
      </c>
      <c r="G22" s="570">
        <v>43555</v>
      </c>
      <c r="H22" s="571" t="s">
        <v>33</v>
      </c>
      <c r="I22" s="564">
        <v>12</v>
      </c>
      <c r="J22" s="564" t="s">
        <v>4</v>
      </c>
      <c r="K22" s="440">
        <v>3164989435</v>
      </c>
      <c r="L22" s="478" t="s">
        <v>1217</v>
      </c>
      <c r="M22" s="478"/>
      <c r="N22" s="151"/>
    </row>
    <row r="23" spans="1:14" ht="20.05" customHeight="1" x14ac:dyDescent="0.25">
      <c r="A23" s="1191"/>
      <c r="B23" s="442" t="s">
        <v>901</v>
      </c>
      <c r="C23" s="442" t="s">
        <v>900</v>
      </c>
      <c r="D23" s="587">
        <v>25960356</v>
      </c>
      <c r="E23" s="438" t="s">
        <v>515</v>
      </c>
      <c r="F23" s="570">
        <v>43528</v>
      </c>
      <c r="G23" s="570">
        <v>43555</v>
      </c>
      <c r="H23" s="571" t="s">
        <v>33</v>
      </c>
      <c r="I23" s="564">
        <v>12</v>
      </c>
      <c r="J23" s="564" t="s">
        <v>4</v>
      </c>
      <c r="K23" s="440" t="s">
        <v>902</v>
      </c>
      <c r="L23" s="252" t="s">
        <v>903</v>
      </c>
      <c r="M23" s="252"/>
      <c r="N23" s="151"/>
    </row>
    <row r="24" spans="1:14" ht="20.05" customHeight="1" x14ac:dyDescent="0.25">
      <c r="A24" s="1191"/>
      <c r="B24" s="442" t="s">
        <v>911</v>
      </c>
      <c r="C24" s="442" t="s">
        <v>912</v>
      </c>
      <c r="D24" s="587">
        <v>6859258</v>
      </c>
      <c r="E24" s="438" t="s">
        <v>529</v>
      </c>
      <c r="F24" s="570">
        <v>43528</v>
      </c>
      <c r="G24" s="570">
        <v>43555</v>
      </c>
      <c r="H24" s="571" t="s">
        <v>33</v>
      </c>
      <c r="I24" s="564">
        <v>12</v>
      </c>
      <c r="J24" s="564" t="s">
        <v>4</v>
      </c>
      <c r="K24" s="440"/>
      <c r="L24" s="260" t="s">
        <v>1636</v>
      </c>
      <c r="M24" s="260"/>
      <c r="N24" s="151"/>
    </row>
    <row r="25" spans="1:14" ht="20.05" customHeight="1" x14ac:dyDescent="0.25">
      <c r="A25" s="1191"/>
      <c r="B25" s="442" t="s">
        <v>1345</v>
      </c>
      <c r="C25" s="442" t="s">
        <v>1344</v>
      </c>
      <c r="D25" s="587">
        <v>25754437</v>
      </c>
      <c r="E25" s="546" t="s">
        <v>532</v>
      </c>
      <c r="F25" s="570">
        <v>43528</v>
      </c>
      <c r="G25" s="570">
        <v>43555</v>
      </c>
      <c r="H25" s="571" t="s">
        <v>33</v>
      </c>
      <c r="I25" s="564">
        <v>12</v>
      </c>
      <c r="J25" s="564" t="s">
        <v>4</v>
      </c>
      <c r="K25" s="440">
        <v>7948951</v>
      </c>
      <c r="L25" s="548" t="s">
        <v>1346</v>
      </c>
      <c r="M25" s="548"/>
      <c r="N25" s="206"/>
    </row>
    <row r="26" spans="1:14" ht="20.05" customHeight="1" x14ac:dyDescent="0.25">
      <c r="A26" s="1191"/>
      <c r="B26" s="151" t="s">
        <v>140</v>
      </c>
      <c r="C26" s="151" t="s">
        <v>141</v>
      </c>
      <c r="D26" s="583">
        <v>25886038</v>
      </c>
      <c r="E26" s="439" t="s">
        <v>564</v>
      </c>
      <c r="F26" s="570">
        <v>43528</v>
      </c>
      <c r="G26" s="570">
        <v>43555</v>
      </c>
      <c r="H26" s="571" t="s">
        <v>33</v>
      </c>
      <c r="I26" s="564">
        <v>12</v>
      </c>
      <c r="J26" s="564" t="s">
        <v>4</v>
      </c>
      <c r="K26" s="440">
        <v>3114049087</v>
      </c>
      <c r="L26" s="150" t="s">
        <v>329</v>
      </c>
      <c r="M26" s="150"/>
      <c r="N26" s="151"/>
    </row>
    <row r="27" spans="1:14" s="16" customFormat="1" ht="20.05" customHeight="1" x14ac:dyDescent="0.25">
      <c r="A27" s="1191"/>
      <c r="B27" s="1132" t="s">
        <v>673</v>
      </c>
      <c r="C27" s="1132" t="s">
        <v>674</v>
      </c>
      <c r="D27" s="1134">
        <v>34990779</v>
      </c>
      <c r="E27" s="1136" t="s">
        <v>571</v>
      </c>
      <c r="F27" s="1141">
        <v>43531</v>
      </c>
      <c r="G27" s="1141">
        <v>43555</v>
      </c>
      <c r="H27" s="1151" t="s">
        <v>66</v>
      </c>
      <c r="I27" s="564">
        <v>15</v>
      </c>
      <c r="J27" s="564" t="s">
        <v>226</v>
      </c>
      <c r="K27" s="1138">
        <v>3103861782</v>
      </c>
      <c r="L27" s="1136" t="s">
        <v>675</v>
      </c>
      <c r="M27" s="443"/>
      <c r="N27" s="442"/>
    </row>
    <row r="28" spans="1:14" s="16" customFormat="1" ht="20.05" customHeight="1" x14ac:dyDescent="0.25">
      <c r="A28" s="1191"/>
      <c r="B28" s="1166"/>
      <c r="C28" s="1166"/>
      <c r="D28" s="1148"/>
      <c r="E28" s="1140"/>
      <c r="F28" s="1150"/>
      <c r="G28" s="1150"/>
      <c r="H28" s="1152"/>
      <c r="I28" s="564">
        <v>10</v>
      </c>
      <c r="J28" s="564" t="s">
        <v>5</v>
      </c>
      <c r="K28" s="1149"/>
      <c r="L28" s="1140"/>
      <c r="M28" s="443"/>
      <c r="N28" s="442"/>
    </row>
    <row r="29" spans="1:14" s="16" customFormat="1" ht="20.05" customHeight="1" x14ac:dyDescent="0.25">
      <c r="A29" s="1191"/>
      <c r="B29" s="1166"/>
      <c r="C29" s="1166"/>
      <c r="D29" s="1148"/>
      <c r="E29" s="1140"/>
      <c r="F29" s="1150"/>
      <c r="G29" s="1150"/>
      <c r="H29" s="1152"/>
      <c r="I29" s="564">
        <v>20</v>
      </c>
      <c r="J29" s="564" t="s">
        <v>4</v>
      </c>
      <c r="K29" s="1149"/>
      <c r="L29" s="1140"/>
      <c r="M29" s="443"/>
      <c r="N29" s="152"/>
    </row>
    <row r="30" spans="1:14" s="16" customFormat="1" ht="20.05" customHeight="1" x14ac:dyDescent="0.25">
      <c r="A30" s="1191"/>
      <c r="B30" s="1133"/>
      <c r="C30" s="1133"/>
      <c r="D30" s="1135"/>
      <c r="E30" s="1137"/>
      <c r="F30" s="1142"/>
      <c r="G30" s="1142"/>
      <c r="H30" s="1153"/>
      <c r="I30" s="564">
        <v>15</v>
      </c>
      <c r="J30" s="564" t="s">
        <v>8</v>
      </c>
      <c r="K30" s="1139"/>
      <c r="L30" s="1137"/>
      <c r="M30" s="443"/>
      <c r="N30" s="152"/>
    </row>
    <row r="31" spans="1:14" ht="20.05" customHeight="1" x14ac:dyDescent="0.25">
      <c r="A31" s="1191"/>
      <c r="B31" s="1143" t="s">
        <v>142</v>
      </c>
      <c r="C31" s="1143" t="s">
        <v>143</v>
      </c>
      <c r="D31" s="1134">
        <v>1062968779</v>
      </c>
      <c r="E31" s="1136" t="s">
        <v>561</v>
      </c>
      <c r="F31" s="570">
        <v>43528</v>
      </c>
      <c r="G31" s="570">
        <v>43555</v>
      </c>
      <c r="H31" s="571" t="s">
        <v>33</v>
      </c>
      <c r="I31" s="564">
        <v>12</v>
      </c>
      <c r="J31" s="564" t="s">
        <v>4</v>
      </c>
      <c r="K31" s="1144">
        <v>3014477872</v>
      </c>
      <c r="L31" s="1145" t="s">
        <v>238</v>
      </c>
      <c r="M31" s="150"/>
      <c r="N31" s="151"/>
    </row>
    <row r="32" spans="1:14" ht="20.05" customHeight="1" x14ac:dyDescent="0.25">
      <c r="A32" s="1191"/>
      <c r="B32" s="1143"/>
      <c r="C32" s="1143"/>
      <c r="D32" s="1148"/>
      <c r="E32" s="1140"/>
      <c r="F32" s="1141">
        <v>43530</v>
      </c>
      <c r="G32" s="1141">
        <v>43555</v>
      </c>
      <c r="H32" s="1146" t="s">
        <v>765</v>
      </c>
      <c r="I32" s="564">
        <v>20</v>
      </c>
      <c r="J32" s="564" t="s">
        <v>226</v>
      </c>
      <c r="K32" s="1144"/>
      <c r="L32" s="1145"/>
      <c r="M32" s="150"/>
      <c r="N32" s="151"/>
    </row>
    <row r="33" spans="1:14" ht="20.05" customHeight="1" x14ac:dyDescent="0.25">
      <c r="A33" s="1191"/>
      <c r="B33" s="1143"/>
      <c r="C33" s="1143"/>
      <c r="D33" s="1135"/>
      <c r="E33" s="1137"/>
      <c r="F33" s="1142"/>
      <c r="G33" s="1142"/>
      <c r="H33" s="1147"/>
      <c r="I33" s="564">
        <v>12</v>
      </c>
      <c r="J33" s="564" t="s">
        <v>8</v>
      </c>
      <c r="K33" s="1144"/>
      <c r="L33" s="1145"/>
      <c r="M33" s="150"/>
      <c r="N33" s="151"/>
    </row>
    <row r="34" spans="1:14" ht="20.05" customHeight="1" x14ac:dyDescent="0.25">
      <c r="A34" s="1191"/>
      <c r="B34" s="442" t="s">
        <v>1521</v>
      </c>
      <c r="C34" s="442" t="s">
        <v>1522</v>
      </c>
      <c r="D34" s="775">
        <v>6856396</v>
      </c>
      <c r="E34" s="772" t="s">
        <v>520</v>
      </c>
      <c r="F34" s="774">
        <v>43542</v>
      </c>
      <c r="G34" s="774">
        <v>43572</v>
      </c>
      <c r="H34" s="773" t="s">
        <v>765</v>
      </c>
      <c r="I34" s="765">
        <v>12</v>
      </c>
      <c r="J34" s="765" t="s">
        <v>4</v>
      </c>
      <c r="K34" s="776">
        <v>3144838303</v>
      </c>
      <c r="L34" s="777" t="s">
        <v>1523</v>
      </c>
      <c r="M34" s="777"/>
      <c r="N34" s="151"/>
    </row>
    <row r="35" spans="1:14" ht="20.05" customHeight="1" x14ac:dyDescent="0.25">
      <c r="A35" s="1191"/>
      <c r="B35" s="442" t="s">
        <v>1359</v>
      </c>
      <c r="C35" s="442" t="s">
        <v>1358</v>
      </c>
      <c r="D35" s="585">
        <v>32511190</v>
      </c>
      <c r="E35" s="546" t="s">
        <v>529</v>
      </c>
      <c r="F35" s="570">
        <v>43528</v>
      </c>
      <c r="G35" s="570">
        <v>43555</v>
      </c>
      <c r="H35" s="571" t="s">
        <v>33</v>
      </c>
      <c r="I35" s="564">
        <v>12</v>
      </c>
      <c r="J35" s="564" t="s">
        <v>4</v>
      </c>
      <c r="K35" s="440">
        <v>7826426</v>
      </c>
      <c r="L35" s="548" t="s">
        <v>1360</v>
      </c>
      <c r="M35" s="548"/>
      <c r="N35" s="151"/>
    </row>
    <row r="36" spans="1:14" ht="20.05" customHeight="1" x14ac:dyDescent="0.25">
      <c r="A36" s="1191"/>
      <c r="B36" s="442" t="s">
        <v>1355</v>
      </c>
      <c r="C36" s="442" t="s">
        <v>1354</v>
      </c>
      <c r="D36" s="585">
        <v>26730365</v>
      </c>
      <c r="E36" s="546" t="s">
        <v>520</v>
      </c>
      <c r="F36" s="570">
        <v>43528</v>
      </c>
      <c r="G36" s="570">
        <v>43555</v>
      </c>
      <c r="H36" s="571" t="s">
        <v>33</v>
      </c>
      <c r="I36" s="564">
        <v>12</v>
      </c>
      <c r="J36" s="564" t="s">
        <v>4</v>
      </c>
      <c r="K36" s="440" t="s">
        <v>1356</v>
      </c>
      <c r="L36" s="548" t="s">
        <v>1357</v>
      </c>
      <c r="M36" s="548"/>
      <c r="N36" s="151"/>
    </row>
    <row r="37" spans="1:14" ht="20.05" customHeight="1" x14ac:dyDescent="0.25">
      <c r="A37" s="1191"/>
      <c r="B37" s="151" t="s">
        <v>144</v>
      </c>
      <c r="C37" s="151" t="s">
        <v>145</v>
      </c>
      <c r="D37" s="583">
        <v>26020014</v>
      </c>
      <c r="E37" s="439" t="s">
        <v>562</v>
      </c>
      <c r="F37" s="570">
        <v>43528</v>
      </c>
      <c r="G37" s="570">
        <v>43555</v>
      </c>
      <c r="H37" s="571" t="s">
        <v>33</v>
      </c>
      <c r="I37" s="564">
        <v>12</v>
      </c>
      <c r="J37" s="564" t="s">
        <v>4</v>
      </c>
      <c r="K37" s="440">
        <v>3193390022</v>
      </c>
      <c r="L37" s="150" t="s">
        <v>315</v>
      </c>
      <c r="M37" s="150"/>
      <c r="N37" s="151"/>
    </row>
    <row r="38" spans="1:14" ht="20.05" customHeight="1" x14ac:dyDescent="0.25">
      <c r="A38" s="1191"/>
      <c r="B38" s="151" t="s">
        <v>1025</v>
      </c>
      <c r="C38" s="151" t="s">
        <v>1026</v>
      </c>
      <c r="D38" s="583">
        <v>26248429</v>
      </c>
      <c r="E38" s="439" t="s">
        <v>1027</v>
      </c>
      <c r="F38" s="570">
        <v>43528</v>
      </c>
      <c r="G38" s="570">
        <v>43555</v>
      </c>
      <c r="H38" s="571" t="s">
        <v>33</v>
      </c>
      <c r="I38" s="564">
        <v>12</v>
      </c>
      <c r="J38" s="564" t="s">
        <v>4</v>
      </c>
      <c r="K38" s="440" t="s">
        <v>1028</v>
      </c>
      <c r="L38" s="156" t="s">
        <v>1029</v>
      </c>
      <c r="M38" s="392"/>
      <c r="N38" s="151"/>
    </row>
    <row r="39" spans="1:14" ht="20.05" customHeight="1" x14ac:dyDescent="0.25">
      <c r="A39" s="1191"/>
      <c r="B39" s="151" t="s">
        <v>146</v>
      </c>
      <c r="C39" s="151" t="s">
        <v>147</v>
      </c>
      <c r="D39" s="583">
        <v>6571334</v>
      </c>
      <c r="E39" s="439" t="s">
        <v>520</v>
      </c>
      <c r="F39" s="570">
        <v>43528</v>
      </c>
      <c r="G39" s="570">
        <v>43555</v>
      </c>
      <c r="H39" s="571" t="s">
        <v>33</v>
      </c>
      <c r="I39" s="564">
        <v>12</v>
      </c>
      <c r="J39" s="564" t="s">
        <v>4</v>
      </c>
      <c r="K39" s="440">
        <v>3135290652</v>
      </c>
      <c r="L39" s="150" t="s">
        <v>313</v>
      </c>
      <c r="M39" s="150"/>
      <c r="N39" s="151"/>
    </row>
    <row r="40" spans="1:14" ht="20.05" customHeight="1" x14ac:dyDescent="0.25">
      <c r="A40" s="1191"/>
      <c r="B40" s="858" t="s">
        <v>1347</v>
      </c>
      <c r="C40" s="858" t="s">
        <v>1348</v>
      </c>
      <c r="D40" s="588">
        <v>25756331</v>
      </c>
      <c r="E40" s="545" t="s">
        <v>532</v>
      </c>
      <c r="F40" s="570">
        <v>43528</v>
      </c>
      <c r="G40" s="570">
        <v>43555</v>
      </c>
      <c r="H40" s="571" t="s">
        <v>33</v>
      </c>
      <c r="I40" s="564">
        <v>12</v>
      </c>
      <c r="J40" s="564" t="s">
        <v>4</v>
      </c>
      <c r="K40" s="566">
        <v>7826623</v>
      </c>
      <c r="L40" s="545" t="s">
        <v>1349</v>
      </c>
      <c r="M40" s="545"/>
      <c r="N40" s="151"/>
    </row>
    <row r="41" spans="1:14" ht="20.05" customHeight="1" x14ac:dyDescent="0.25">
      <c r="A41" s="1191"/>
      <c r="B41" s="1132" t="s">
        <v>148</v>
      </c>
      <c r="C41" s="1132" t="s">
        <v>149</v>
      </c>
      <c r="D41" s="1134">
        <v>1066518067</v>
      </c>
      <c r="E41" s="1136" t="s">
        <v>518</v>
      </c>
      <c r="F41" s="570">
        <v>43528</v>
      </c>
      <c r="G41" s="570">
        <v>43555</v>
      </c>
      <c r="H41" s="571" t="s">
        <v>33</v>
      </c>
      <c r="I41" s="564">
        <v>12</v>
      </c>
      <c r="J41" s="564" t="s">
        <v>4</v>
      </c>
      <c r="K41" s="1138">
        <v>7888227</v>
      </c>
      <c r="L41" s="1136" t="s">
        <v>253</v>
      </c>
      <c r="M41" s="1194" t="s">
        <v>974</v>
      </c>
      <c r="N41" s="151"/>
    </row>
    <row r="42" spans="1:14" ht="20.05" customHeight="1" x14ac:dyDescent="0.25">
      <c r="A42" s="1191"/>
      <c r="B42" s="1166"/>
      <c r="C42" s="1166"/>
      <c r="D42" s="1148"/>
      <c r="E42" s="1140"/>
      <c r="F42" s="1141">
        <v>43530</v>
      </c>
      <c r="G42" s="1141">
        <v>43555</v>
      </c>
      <c r="H42" s="1146" t="s">
        <v>765</v>
      </c>
      <c r="I42" s="564">
        <v>8</v>
      </c>
      <c r="J42" s="564" t="s">
        <v>4</v>
      </c>
      <c r="K42" s="1149"/>
      <c r="L42" s="1140"/>
      <c r="M42" s="1195"/>
      <c r="N42" s="151"/>
    </row>
    <row r="43" spans="1:14" ht="20.05" customHeight="1" x14ac:dyDescent="0.25">
      <c r="A43" s="1191"/>
      <c r="B43" s="1166"/>
      <c r="C43" s="1166"/>
      <c r="D43" s="1148"/>
      <c r="E43" s="1140"/>
      <c r="F43" s="1150"/>
      <c r="G43" s="1150"/>
      <c r="H43" s="1157"/>
      <c r="I43" s="564">
        <v>20</v>
      </c>
      <c r="J43" s="564" t="s">
        <v>226</v>
      </c>
      <c r="K43" s="1149"/>
      <c r="L43" s="1140"/>
      <c r="M43" s="1195"/>
      <c r="N43" s="151"/>
    </row>
    <row r="44" spans="1:14" ht="20.05" customHeight="1" x14ac:dyDescent="0.25">
      <c r="A44" s="1191"/>
      <c r="B44" s="1133"/>
      <c r="C44" s="1133"/>
      <c r="D44" s="1135"/>
      <c r="E44" s="438"/>
      <c r="F44" s="1142"/>
      <c r="G44" s="1142"/>
      <c r="H44" s="1147"/>
      <c r="I44" s="564">
        <v>20</v>
      </c>
      <c r="J44" s="564" t="s">
        <v>8</v>
      </c>
      <c r="K44" s="1139"/>
      <c r="L44" s="1137"/>
      <c r="M44" s="1196"/>
      <c r="N44" s="151"/>
    </row>
    <row r="45" spans="1:14" ht="20.05" customHeight="1" x14ac:dyDescent="0.25">
      <c r="A45" s="1191"/>
      <c r="B45" s="151" t="s">
        <v>150</v>
      </c>
      <c r="C45" s="151" t="s">
        <v>151</v>
      </c>
      <c r="D45" s="583">
        <v>34956660</v>
      </c>
      <c r="E45" s="439" t="s">
        <v>563</v>
      </c>
      <c r="F45" s="570">
        <v>43528</v>
      </c>
      <c r="G45" s="570">
        <v>43555</v>
      </c>
      <c r="H45" s="571" t="s">
        <v>33</v>
      </c>
      <c r="I45" s="564">
        <v>12</v>
      </c>
      <c r="J45" s="564" t="s">
        <v>4</v>
      </c>
      <c r="K45" s="440">
        <v>3126696508</v>
      </c>
      <c r="L45" s="150" t="s">
        <v>330</v>
      </c>
      <c r="M45" s="150"/>
      <c r="N45" s="151"/>
    </row>
    <row r="46" spans="1:14" s="467" customFormat="1" ht="20.05" customHeight="1" x14ac:dyDescent="0.25">
      <c r="A46" s="1191"/>
      <c r="B46" s="1132" t="s">
        <v>1200</v>
      </c>
      <c r="C46" s="1132" t="s">
        <v>1201</v>
      </c>
      <c r="D46" s="1134">
        <v>6875828</v>
      </c>
      <c r="E46" s="1136" t="s">
        <v>1202</v>
      </c>
      <c r="F46" s="1164">
        <v>43524</v>
      </c>
      <c r="G46" s="1164">
        <v>43552</v>
      </c>
      <c r="H46" s="574" t="s">
        <v>765</v>
      </c>
      <c r="I46" s="374">
        <v>20</v>
      </c>
      <c r="J46" s="374" t="s">
        <v>4</v>
      </c>
      <c r="K46" s="1138">
        <v>3233199027</v>
      </c>
      <c r="L46" s="1136" t="s">
        <v>1203</v>
      </c>
      <c r="M46" s="254"/>
      <c r="N46" s="254"/>
    </row>
    <row r="47" spans="1:14" s="467" customFormat="1" ht="20.05" customHeight="1" x14ac:dyDescent="0.25">
      <c r="A47" s="1191"/>
      <c r="B47" s="1133"/>
      <c r="C47" s="1133"/>
      <c r="D47" s="1135"/>
      <c r="E47" s="1137"/>
      <c r="F47" s="1175"/>
      <c r="G47" s="1175"/>
      <c r="H47" s="574" t="s">
        <v>33</v>
      </c>
      <c r="I47" s="374">
        <v>12</v>
      </c>
      <c r="J47" s="374" t="s">
        <v>5</v>
      </c>
      <c r="K47" s="1139"/>
      <c r="L47" s="1137"/>
      <c r="M47" s="254"/>
      <c r="N47" s="254"/>
    </row>
    <row r="48" spans="1:14" ht="20.05" customHeight="1" x14ac:dyDescent="0.25">
      <c r="A48" s="1191"/>
      <c r="B48" s="151" t="s">
        <v>988</v>
      </c>
      <c r="C48" s="151" t="s">
        <v>989</v>
      </c>
      <c r="D48" s="583">
        <v>26054156</v>
      </c>
      <c r="E48" s="439" t="s">
        <v>515</v>
      </c>
      <c r="F48" s="570">
        <v>43528</v>
      </c>
      <c r="G48" s="570">
        <v>43555</v>
      </c>
      <c r="H48" s="571" t="s">
        <v>33</v>
      </c>
      <c r="I48" s="564">
        <v>12</v>
      </c>
      <c r="J48" s="564" t="s">
        <v>4</v>
      </c>
      <c r="K48" s="440">
        <v>3002051508</v>
      </c>
      <c r="L48" s="367" t="s">
        <v>990</v>
      </c>
      <c r="M48" s="254"/>
      <c r="N48" s="254"/>
    </row>
    <row r="49" spans="1:14" ht="20.05" customHeight="1" x14ac:dyDescent="0.25">
      <c r="A49" s="1191"/>
      <c r="B49" s="151" t="s">
        <v>1078</v>
      </c>
      <c r="C49" s="151" t="s">
        <v>1079</v>
      </c>
      <c r="D49" s="583">
        <v>1067886220</v>
      </c>
      <c r="E49" s="439" t="s">
        <v>518</v>
      </c>
      <c r="F49" s="573">
        <v>43522</v>
      </c>
      <c r="G49" s="573">
        <v>43539</v>
      </c>
      <c r="H49" s="574" t="s">
        <v>33</v>
      </c>
      <c r="I49" s="374">
        <v>7</v>
      </c>
      <c r="J49" s="374" t="s">
        <v>4</v>
      </c>
      <c r="K49" s="440">
        <v>3205942354</v>
      </c>
      <c r="L49" s="432" t="s">
        <v>1080</v>
      </c>
      <c r="M49" s="254"/>
      <c r="N49" s="254"/>
    </row>
    <row r="50" spans="1:14" ht="20.05" customHeight="1" x14ac:dyDescent="0.25">
      <c r="A50" s="1191"/>
      <c r="B50" s="1132" t="s">
        <v>1068</v>
      </c>
      <c r="C50" s="1132" t="s">
        <v>1069</v>
      </c>
      <c r="D50" s="1134">
        <v>23062587</v>
      </c>
      <c r="E50" s="1136" t="s">
        <v>1070</v>
      </c>
      <c r="F50" s="573">
        <v>43522</v>
      </c>
      <c r="G50" s="573">
        <v>43539</v>
      </c>
      <c r="H50" s="574" t="s">
        <v>765</v>
      </c>
      <c r="I50" s="374">
        <v>8</v>
      </c>
      <c r="J50" s="374" t="s">
        <v>4</v>
      </c>
      <c r="K50" s="1138" t="s">
        <v>1071</v>
      </c>
      <c r="L50" s="1136" t="s">
        <v>1072</v>
      </c>
      <c r="M50" s="254"/>
      <c r="N50" s="254"/>
    </row>
    <row r="51" spans="1:14" ht="20.05" customHeight="1" x14ac:dyDescent="0.25">
      <c r="A51" s="1191"/>
      <c r="B51" s="1133"/>
      <c r="C51" s="1133"/>
      <c r="D51" s="1135"/>
      <c r="E51" s="1137"/>
      <c r="F51" s="573">
        <v>43523</v>
      </c>
      <c r="G51" s="573">
        <v>43551</v>
      </c>
      <c r="H51" s="574" t="s">
        <v>33</v>
      </c>
      <c r="I51" s="374">
        <v>12</v>
      </c>
      <c r="J51" s="374" t="s">
        <v>226</v>
      </c>
      <c r="K51" s="1139"/>
      <c r="L51" s="1137"/>
      <c r="M51" s="254"/>
      <c r="N51" s="254"/>
    </row>
    <row r="52" spans="1:14" ht="20.05" customHeight="1" x14ac:dyDescent="0.25">
      <c r="A52" s="1191"/>
      <c r="B52" s="151" t="s">
        <v>152</v>
      </c>
      <c r="C52" s="151" t="s">
        <v>153</v>
      </c>
      <c r="D52" s="583">
        <v>26207631</v>
      </c>
      <c r="E52" s="439" t="s">
        <v>520</v>
      </c>
      <c r="F52" s="570">
        <v>43528</v>
      </c>
      <c r="G52" s="570">
        <v>43555</v>
      </c>
      <c r="H52" s="571" t="s">
        <v>33</v>
      </c>
      <c r="I52" s="564">
        <v>12</v>
      </c>
      <c r="J52" s="564" t="s">
        <v>4</v>
      </c>
      <c r="K52" s="440" t="s">
        <v>320</v>
      </c>
      <c r="L52" s="318" t="s">
        <v>321</v>
      </c>
      <c r="M52" s="156"/>
      <c r="N52" s="254"/>
    </row>
    <row r="53" spans="1:14" ht="20.05" customHeight="1" x14ac:dyDescent="0.25">
      <c r="A53" s="1191"/>
      <c r="B53" s="859" t="s">
        <v>154</v>
      </c>
      <c r="C53" s="859" t="s">
        <v>155</v>
      </c>
      <c r="D53" s="589"/>
      <c r="E53" s="357" t="s">
        <v>532</v>
      </c>
      <c r="F53" s="387">
        <v>43502</v>
      </c>
      <c r="G53" s="387">
        <v>43524</v>
      </c>
      <c r="H53" s="343" t="s">
        <v>33</v>
      </c>
      <c r="I53" s="357"/>
      <c r="J53" s="357"/>
      <c r="K53" s="370">
        <v>3165012169</v>
      </c>
      <c r="L53" s="357" t="s">
        <v>322</v>
      </c>
      <c r="M53" s="1179" t="s">
        <v>1067</v>
      </c>
      <c r="N53" s="1180"/>
    </row>
    <row r="54" spans="1:14" ht="20.05" customHeight="1" x14ac:dyDescent="0.25">
      <c r="A54" s="1191"/>
      <c r="B54" s="151" t="s">
        <v>156</v>
      </c>
      <c r="C54" s="151" t="s">
        <v>157</v>
      </c>
      <c r="D54" s="583">
        <v>10771506</v>
      </c>
      <c r="E54" s="439" t="s">
        <v>518</v>
      </c>
      <c r="F54" s="570">
        <v>43528</v>
      </c>
      <c r="G54" s="570">
        <v>43555</v>
      </c>
      <c r="H54" s="571" t="s">
        <v>33</v>
      </c>
      <c r="I54" s="564">
        <v>12</v>
      </c>
      <c r="J54" s="564" t="s">
        <v>4</v>
      </c>
      <c r="K54" s="440" t="s">
        <v>774</v>
      </c>
      <c r="L54" s="150" t="s">
        <v>318</v>
      </c>
      <c r="M54" s="150"/>
      <c r="N54" s="151"/>
    </row>
    <row r="55" spans="1:14" ht="20.05" customHeight="1" x14ac:dyDescent="0.25">
      <c r="A55" s="1191"/>
      <c r="B55" s="151" t="s">
        <v>1301</v>
      </c>
      <c r="C55" s="151" t="s">
        <v>1302</v>
      </c>
      <c r="D55" s="583">
        <v>6868650</v>
      </c>
      <c r="E55" s="535" t="s">
        <v>535</v>
      </c>
      <c r="F55" s="570">
        <v>43528</v>
      </c>
      <c r="G55" s="570">
        <v>43555</v>
      </c>
      <c r="H55" s="571" t="s">
        <v>33</v>
      </c>
      <c r="I55" s="564">
        <v>12</v>
      </c>
      <c r="J55" s="564" t="s">
        <v>4</v>
      </c>
      <c r="K55" s="440">
        <v>7832890</v>
      </c>
      <c r="L55" s="156" t="s">
        <v>1303</v>
      </c>
      <c r="M55" s="535"/>
      <c r="N55" s="151"/>
    </row>
    <row r="56" spans="1:14" ht="20.05" customHeight="1" x14ac:dyDescent="0.25">
      <c r="A56" s="1191"/>
      <c r="B56" s="151" t="s">
        <v>158</v>
      </c>
      <c r="C56" s="151" t="s">
        <v>159</v>
      </c>
      <c r="D56" s="583">
        <v>93749</v>
      </c>
      <c r="E56" s="439" t="s">
        <v>565</v>
      </c>
      <c r="F56" s="570">
        <v>43528</v>
      </c>
      <c r="G56" s="570">
        <v>43555</v>
      </c>
      <c r="H56" s="571" t="s">
        <v>33</v>
      </c>
      <c r="I56" s="564">
        <v>12</v>
      </c>
      <c r="J56" s="564" t="s">
        <v>4</v>
      </c>
      <c r="K56" s="440">
        <v>3113502791</v>
      </c>
      <c r="L56" s="150" t="s">
        <v>264</v>
      </c>
      <c r="M56" s="150"/>
      <c r="N56" s="151"/>
    </row>
    <row r="57" spans="1:14" ht="20.05" customHeight="1" x14ac:dyDescent="0.25">
      <c r="A57" s="1191"/>
      <c r="B57" s="151" t="s">
        <v>1261</v>
      </c>
      <c r="C57" s="151" t="s">
        <v>1260</v>
      </c>
      <c r="D57" s="583">
        <v>10915245</v>
      </c>
      <c r="E57" s="535" t="s">
        <v>529</v>
      </c>
      <c r="F57" s="570">
        <v>43528</v>
      </c>
      <c r="G57" s="570">
        <v>43555</v>
      </c>
      <c r="H57" s="571" t="s">
        <v>33</v>
      </c>
      <c r="I57" s="564">
        <v>12</v>
      </c>
      <c r="J57" s="564" t="s">
        <v>4</v>
      </c>
      <c r="K57" s="440" t="s">
        <v>1265</v>
      </c>
      <c r="L57" s="156" t="s">
        <v>1266</v>
      </c>
      <c r="M57" s="535"/>
      <c r="N57" s="151"/>
    </row>
    <row r="58" spans="1:14" ht="20.05" customHeight="1" x14ac:dyDescent="0.25">
      <c r="A58" s="1191"/>
      <c r="B58" s="151" t="s">
        <v>1262</v>
      </c>
      <c r="C58" s="151" t="s">
        <v>1263</v>
      </c>
      <c r="D58" s="583">
        <v>144050</v>
      </c>
      <c r="E58" s="535" t="s">
        <v>529</v>
      </c>
      <c r="F58" s="570">
        <v>43528</v>
      </c>
      <c r="G58" s="570">
        <v>43555</v>
      </c>
      <c r="H58" s="571" t="s">
        <v>33</v>
      </c>
      <c r="I58" s="564">
        <v>12</v>
      </c>
      <c r="J58" s="564" t="s">
        <v>4</v>
      </c>
      <c r="K58" s="440" t="s">
        <v>1264</v>
      </c>
      <c r="L58" s="440" t="s">
        <v>1267</v>
      </c>
      <c r="M58" s="535"/>
      <c r="N58" s="151"/>
    </row>
    <row r="59" spans="1:14" ht="20.05" customHeight="1" x14ac:dyDescent="0.25">
      <c r="A59" s="1191"/>
      <c r="B59" s="151" t="s">
        <v>705</v>
      </c>
      <c r="C59" s="151" t="s">
        <v>1268</v>
      </c>
      <c r="D59" s="583">
        <v>15035460</v>
      </c>
      <c r="E59" s="535" t="s">
        <v>520</v>
      </c>
      <c r="F59" s="570">
        <v>43528</v>
      </c>
      <c r="G59" s="570">
        <v>43555</v>
      </c>
      <c r="H59" s="571" t="s">
        <v>33</v>
      </c>
      <c r="I59" s="564">
        <v>12</v>
      </c>
      <c r="J59" s="564" t="s">
        <v>4</v>
      </c>
      <c r="K59" s="440">
        <v>3104062386</v>
      </c>
      <c r="L59" s="535" t="s">
        <v>1269</v>
      </c>
      <c r="M59" s="535"/>
      <c r="N59" s="151"/>
    </row>
    <row r="60" spans="1:14" ht="20.05" customHeight="1" x14ac:dyDescent="0.25">
      <c r="A60" s="1191"/>
      <c r="B60" s="151" t="s">
        <v>1270</v>
      </c>
      <c r="C60" s="151" t="s">
        <v>1271</v>
      </c>
      <c r="D60" s="583">
        <v>1534175</v>
      </c>
      <c r="E60" s="535" t="s">
        <v>529</v>
      </c>
      <c r="F60" s="570">
        <v>43528</v>
      </c>
      <c r="G60" s="570">
        <v>43555</v>
      </c>
      <c r="H60" s="571" t="s">
        <v>33</v>
      </c>
      <c r="I60" s="564">
        <v>12</v>
      </c>
      <c r="J60" s="564" t="s">
        <v>4</v>
      </c>
      <c r="K60" s="440">
        <v>3008402927</v>
      </c>
      <c r="L60" s="535" t="s">
        <v>1272</v>
      </c>
      <c r="M60" s="535"/>
      <c r="N60" s="151"/>
    </row>
    <row r="61" spans="1:14" ht="20.05" customHeight="1" x14ac:dyDescent="0.25">
      <c r="A61" s="1191"/>
      <c r="B61" s="151" t="s">
        <v>1274</v>
      </c>
      <c r="C61" s="151" t="s">
        <v>1273</v>
      </c>
      <c r="D61" s="583">
        <v>1538542</v>
      </c>
      <c r="E61" s="535" t="s">
        <v>520</v>
      </c>
      <c r="F61" s="570">
        <v>43528</v>
      </c>
      <c r="G61" s="570">
        <v>43555</v>
      </c>
      <c r="H61" s="571" t="s">
        <v>33</v>
      </c>
      <c r="I61" s="564">
        <v>12</v>
      </c>
      <c r="J61" s="564" t="s">
        <v>4</v>
      </c>
      <c r="K61" s="440">
        <v>3216962230</v>
      </c>
      <c r="L61" s="535" t="s">
        <v>1275</v>
      </c>
      <c r="M61" s="535"/>
      <c r="N61" s="151"/>
    </row>
    <row r="62" spans="1:14" ht="20.05" customHeight="1" x14ac:dyDescent="0.25">
      <c r="A62" s="1191"/>
      <c r="B62" s="151" t="s">
        <v>1277</v>
      </c>
      <c r="C62" s="151" t="s">
        <v>1276</v>
      </c>
      <c r="D62" s="583">
        <v>1574944</v>
      </c>
      <c r="E62" s="535" t="s">
        <v>519</v>
      </c>
      <c r="F62" s="570">
        <v>43528</v>
      </c>
      <c r="G62" s="570">
        <v>43555</v>
      </c>
      <c r="H62" s="571" t="s">
        <v>33</v>
      </c>
      <c r="I62" s="564">
        <v>12</v>
      </c>
      <c r="J62" s="564" t="s">
        <v>4</v>
      </c>
      <c r="K62" s="440">
        <v>7816773</v>
      </c>
      <c r="L62" s="535" t="s">
        <v>1278</v>
      </c>
      <c r="M62" s="535"/>
      <c r="N62" s="151"/>
    </row>
    <row r="63" spans="1:14" ht="20.05" customHeight="1" x14ac:dyDescent="0.25">
      <c r="A63" s="1191"/>
      <c r="B63" s="151" t="s">
        <v>1280</v>
      </c>
      <c r="C63" s="151" t="s">
        <v>1279</v>
      </c>
      <c r="D63" s="583">
        <v>1578541</v>
      </c>
      <c r="E63" s="535" t="s">
        <v>1281</v>
      </c>
      <c r="F63" s="570">
        <v>43528</v>
      </c>
      <c r="G63" s="570">
        <v>43555</v>
      </c>
      <c r="H63" s="571" t="s">
        <v>33</v>
      </c>
      <c r="I63" s="564">
        <v>12</v>
      </c>
      <c r="J63" s="564" t="s">
        <v>4</v>
      </c>
      <c r="K63" s="440" t="s">
        <v>1448</v>
      </c>
      <c r="L63" s="535" t="s">
        <v>1282</v>
      </c>
      <c r="M63" s="535"/>
      <c r="N63" s="151"/>
    </row>
    <row r="64" spans="1:14" ht="20.05" customHeight="1" x14ac:dyDescent="0.25">
      <c r="A64" s="1191"/>
      <c r="B64" s="151" t="s">
        <v>1284</v>
      </c>
      <c r="C64" s="151" t="s">
        <v>1283</v>
      </c>
      <c r="D64" s="583">
        <v>17005113</v>
      </c>
      <c r="E64" s="535" t="s">
        <v>520</v>
      </c>
      <c r="F64" s="570">
        <v>43528</v>
      </c>
      <c r="G64" s="570">
        <v>43555</v>
      </c>
      <c r="H64" s="571" t="s">
        <v>33</v>
      </c>
      <c r="I64" s="564">
        <v>12</v>
      </c>
      <c r="J64" s="564" t="s">
        <v>4</v>
      </c>
      <c r="K64" s="440" t="s">
        <v>1285</v>
      </c>
      <c r="L64" s="535" t="s">
        <v>1286</v>
      </c>
      <c r="M64" s="535"/>
      <c r="N64" s="151"/>
    </row>
    <row r="65" spans="1:14" ht="20.05" customHeight="1" x14ac:dyDescent="0.25">
      <c r="A65" s="1191"/>
      <c r="B65" s="151" t="s">
        <v>1288</v>
      </c>
      <c r="C65" s="151" t="s">
        <v>1287</v>
      </c>
      <c r="D65" s="583">
        <v>2802565</v>
      </c>
      <c r="E65" s="535" t="s">
        <v>520</v>
      </c>
      <c r="F65" s="570">
        <v>43528</v>
      </c>
      <c r="G65" s="570">
        <v>43555</v>
      </c>
      <c r="H65" s="571" t="s">
        <v>33</v>
      </c>
      <c r="I65" s="564">
        <v>12</v>
      </c>
      <c r="J65" s="564" t="s">
        <v>4</v>
      </c>
      <c r="K65" s="440">
        <v>3105463058</v>
      </c>
      <c r="L65" s="535" t="s">
        <v>1289</v>
      </c>
      <c r="M65" s="535"/>
      <c r="N65" s="151"/>
    </row>
    <row r="66" spans="1:14" ht="20.05" customHeight="1" x14ac:dyDescent="0.25">
      <c r="A66" s="1191"/>
      <c r="B66" s="151" t="s">
        <v>649</v>
      </c>
      <c r="C66" s="151" t="s">
        <v>650</v>
      </c>
      <c r="D66" s="583">
        <v>2804706</v>
      </c>
      <c r="E66" s="439" t="s">
        <v>651</v>
      </c>
      <c r="F66" s="570">
        <v>43528</v>
      </c>
      <c r="G66" s="570">
        <v>43555</v>
      </c>
      <c r="H66" s="571" t="s">
        <v>33</v>
      </c>
      <c r="I66" s="564">
        <v>12</v>
      </c>
      <c r="J66" s="564" t="s">
        <v>4</v>
      </c>
      <c r="K66" s="440" t="s">
        <v>661</v>
      </c>
      <c r="L66" s="150" t="s">
        <v>652</v>
      </c>
      <c r="M66" s="150"/>
      <c r="N66" s="151"/>
    </row>
    <row r="67" spans="1:14" ht="20.05" customHeight="1" x14ac:dyDescent="0.25">
      <c r="A67" s="1191"/>
      <c r="B67" s="151" t="s">
        <v>1297</v>
      </c>
      <c r="C67" s="151" t="s">
        <v>1298</v>
      </c>
      <c r="D67" s="583">
        <v>6856609</v>
      </c>
      <c r="E67" s="539" t="s">
        <v>528</v>
      </c>
      <c r="F67" s="570">
        <v>43528</v>
      </c>
      <c r="G67" s="570">
        <v>43555</v>
      </c>
      <c r="H67" s="571" t="s">
        <v>33</v>
      </c>
      <c r="I67" s="564">
        <v>12</v>
      </c>
      <c r="J67" s="564" t="s">
        <v>4</v>
      </c>
      <c r="K67" s="440">
        <v>3135105065</v>
      </c>
      <c r="L67" s="539" t="s">
        <v>1299</v>
      </c>
      <c r="M67" s="539"/>
      <c r="N67" s="151"/>
    </row>
    <row r="68" spans="1:14" ht="20.05" customHeight="1" x14ac:dyDescent="0.25">
      <c r="A68" s="1191"/>
      <c r="B68" s="151" t="s">
        <v>34</v>
      </c>
      <c r="C68" s="151" t="s">
        <v>1304</v>
      </c>
      <c r="D68" s="583">
        <v>6882268</v>
      </c>
      <c r="E68" s="539" t="s">
        <v>532</v>
      </c>
      <c r="F68" s="570">
        <v>43528</v>
      </c>
      <c r="G68" s="570">
        <v>43555</v>
      </c>
      <c r="H68" s="571" t="s">
        <v>33</v>
      </c>
      <c r="I68" s="564">
        <v>12</v>
      </c>
      <c r="J68" s="564" t="s">
        <v>4</v>
      </c>
      <c r="K68" s="440">
        <v>3107265607</v>
      </c>
      <c r="L68" s="440" t="s">
        <v>1305</v>
      </c>
      <c r="M68" s="539"/>
      <c r="N68" s="151"/>
    </row>
    <row r="69" spans="1:14" ht="20.05" customHeight="1" x14ac:dyDescent="0.25">
      <c r="A69" s="1191"/>
      <c r="B69" s="151" t="s">
        <v>1291</v>
      </c>
      <c r="C69" s="151" t="s">
        <v>1290</v>
      </c>
      <c r="D69" s="583">
        <v>2876642</v>
      </c>
      <c r="E69" s="535" t="s">
        <v>880</v>
      </c>
      <c r="F69" s="570">
        <v>43528</v>
      </c>
      <c r="G69" s="570">
        <v>43555</v>
      </c>
      <c r="H69" s="571" t="s">
        <v>33</v>
      </c>
      <c r="I69" s="564">
        <v>12</v>
      </c>
      <c r="J69" s="564" t="s">
        <v>4</v>
      </c>
      <c r="K69" s="440">
        <v>7835439</v>
      </c>
      <c r="L69" s="156" t="s">
        <v>1296</v>
      </c>
      <c r="M69" s="535"/>
      <c r="N69" s="151"/>
    </row>
    <row r="70" spans="1:14" ht="20.05" customHeight="1" x14ac:dyDescent="0.25">
      <c r="A70" s="1191"/>
      <c r="B70" s="151" t="s">
        <v>676</v>
      </c>
      <c r="C70" s="151" t="s">
        <v>1306</v>
      </c>
      <c r="D70" s="583">
        <v>6893731</v>
      </c>
      <c r="E70" s="539" t="s">
        <v>535</v>
      </c>
      <c r="F70" s="570">
        <v>43528</v>
      </c>
      <c r="G70" s="570">
        <v>43555</v>
      </c>
      <c r="H70" s="571" t="s">
        <v>33</v>
      </c>
      <c r="I70" s="564">
        <v>12</v>
      </c>
      <c r="J70" s="564" t="s">
        <v>4</v>
      </c>
      <c r="K70" s="440">
        <v>3135015101</v>
      </c>
      <c r="L70" s="156" t="s">
        <v>1307</v>
      </c>
      <c r="M70" s="539"/>
      <c r="N70" s="151"/>
    </row>
    <row r="71" spans="1:14" ht="20.05" customHeight="1" x14ac:dyDescent="0.25">
      <c r="A71" s="1191"/>
      <c r="B71" s="151" t="s">
        <v>1323</v>
      </c>
      <c r="C71" s="151" t="s">
        <v>1322</v>
      </c>
      <c r="D71" s="583">
        <v>22436832</v>
      </c>
      <c r="E71" s="539" t="s">
        <v>520</v>
      </c>
      <c r="F71" s="570">
        <v>43528</v>
      </c>
      <c r="G71" s="570">
        <v>43555</v>
      </c>
      <c r="H71" s="571" t="s">
        <v>33</v>
      </c>
      <c r="I71" s="564">
        <v>12</v>
      </c>
      <c r="J71" s="564" t="s">
        <v>4</v>
      </c>
      <c r="K71" s="440">
        <v>3145462410</v>
      </c>
      <c r="L71" s="156" t="s">
        <v>1324</v>
      </c>
      <c r="M71" s="539"/>
      <c r="N71" s="151"/>
    </row>
    <row r="72" spans="1:14" ht="20.05" customHeight="1" x14ac:dyDescent="0.25">
      <c r="A72" s="1191"/>
      <c r="B72" s="151" t="s">
        <v>1309</v>
      </c>
      <c r="C72" s="151" t="s">
        <v>1308</v>
      </c>
      <c r="D72" s="583">
        <v>878612</v>
      </c>
      <c r="E72" s="539" t="s">
        <v>543</v>
      </c>
      <c r="F72" s="570">
        <v>43528</v>
      </c>
      <c r="G72" s="570">
        <v>43555</v>
      </c>
      <c r="H72" s="571" t="s">
        <v>33</v>
      </c>
      <c r="I72" s="564">
        <v>12</v>
      </c>
      <c r="J72" s="564" t="s">
        <v>4</v>
      </c>
      <c r="K72" s="440" t="s">
        <v>1310</v>
      </c>
      <c r="L72" s="156" t="s">
        <v>1311</v>
      </c>
      <c r="M72" s="539"/>
      <c r="N72" s="151"/>
    </row>
    <row r="73" spans="1:14" ht="20.05" customHeight="1" x14ac:dyDescent="0.25">
      <c r="A73" s="1191"/>
      <c r="B73" s="151" t="s">
        <v>160</v>
      </c>
      <c r="C73" s="151" t="s">
        <v>161</v>
      </c>
      <c r="D73" s="583">
        <v>1532123</v>
      </c>
      <c r="E73" s="439"/>
      <c r="F73" s="570">
        <v>43528</v>
      </c>
      <c r="G73" s="570">
        <v>43555</v>
      </c>
      <c r="H73" s="571" t="s">
        <v>33</v>
      </c>
      <c r="I73" s="564">
        <v>12</v>
      </c>
      <c r="J73" s="564" t="s">
        <v>226</v>
      </c>
      <c r="K73" s="440">
        <v>3003771604</v>
      </c>
      <c r="L73" s="150" t="s">
        <v>340</v>
      </c>
      <c r="M73" s="150"/>
      <c r="N73" s="151"/>
    </row>
    <row r="74" spans="1:14" ht="20.05" customHeight="1" x14ac:dyDescent="0.25">
      <c r="A74" s="1191"/>
      <c r="B74" s="151" t="s">
        <v>162</v>
      </c>
      <c r="C74" s="151" t="s">
        <v>163</v>
      </c>
      <c r="D74" s="583">
        <v>1541954</v>
      </c>
      <c r="E74" s="439" t="s">
        <v>618</v>
      </c>
      <c r="F74" s="570">
        <v>43528</v>
      </c>
      <c r="G74" s="570">
        <v>43555</v>
      </c>
      <c r="H74" s="571" t="s">
        <v>33</v>
      </c>
      <c r="I74" s="564">
        <v>12</v>
      </c>
      <c r="J74" s="564" t="s">
        <v>4</v>
      </c>
      <c r="K74" s="440">
        <v>3116890608</v>
      </c>
      <c r="L74" s="150" t="s">
        <v>338</v>
      </c>
      <c r="M74" s="150"/>
      <c r="N74" s="151"/>
    </row>
    <row r="75" spans="1:14" ht="20.05" customHeight="1" x14ac:dyDescent="0.25">
      <c r="A75" s="1191"/>
      <c r="B75" s="858" t="s">
        <v>1054</v>
      </c>
      <c r="C75" s="858" t="s">
        <v>1055</v>
      </c>
      <c r="D75" s="588">
        <v>2786576</v>
      </c>
      <c r="E75" s="436" t="s">
        <v>571</v>
      </c>
      <c r="F75" s="570">
        <v>43528</v>
      </c>
      <c r="G75" s="570">
        <v>43555</v>
      </c>
      <c r="H75" s="571" t="s">
        <v>33</v>
      </c>
      <c r="I75" s="564">
        <v>12</v>
      </c>
      <c r="J75" s="564" t="s">
        <v>4</v>
      </c>
      <c r="K75" s="440" t="s">
        <v>1056</v>
      </c>
      <c r="L75" s="406" t="s">
        <v>1057</v>
      </c>
      <c r="M75" s="406"/>
      <c r="N75" s="151"/>
    </row>
    <row r="76" spans="1:14" ht="20.05" customHeight="1" x14ac:dyDescent="0.25">
      <c r="A76" s="1191"/>
      <c r="B76" s="860" t="s">
        <v>164</v>
      </c>
      <c r="C76" s="860" t="s">
        <v>165</v>
      </c>
      <c r="D76" s="586">
        <v>6858261</v>
      </c>
      <c r="E76" s="436" t="s">
        <v>520</v>
      </c>
      <c r="F76" s="570">
        <v>43528</v>
      </c>
      <c r="G76" s="570">
        <v>43555</v>
      </c>
      <c r="H76" s="571" t="s">
        <v>33</v>
      </c>
      <c r="I76" s="564">
        <v>12</v>
      </c>
      <c r="J76" s="564" t="s">
        <v>4</v>
      </c>
      <c r="K76" s="440">
        <v>7918779</v>
      </c>
      <c r="L76" s="539" t="s">
        <v>1300</v>
      </c>
      <c r="M76" s="156"/>
      <c r="N76" s="151"/>
    </row>
    <row r="77" spans="1:14" ht="20.05" customHeight="1" x14ac:dyDescent="0.25">
      <c r="A77" s="1191"/>
      <c r="B77" s="860" t="s">
        <v>1330</v>
      </c>
      <c r="C77" s="860" t="s">
        <v>1329</v>
      </c>
      <c r="D77" s="586">
        <v>23096097</v>
      </c>
      <c r="E77" s="538" t="s">
        <v>532</v>
      </c>
      <c r="F77" s="570">
        <v>43528</v>
      </c>
      <c r="G77" s="570">
        <v>43555</v>
      </c>
      <c r="H77" s="571" t="s">
        <v>33</v>
      </c>
      <c r="I77" s="564">
        <v>12</v>
      </c>
      <c r="J77" s="564" t="s">
        <v>4</v>
      </c>
      <c r="K77" s="440" t="s">
        <v>1331</v>
      </c>
      <c r="L77" s="539" t="s">
        <v>1332</v>
      </c>
      <c r="M77" s="156"/>
      <c r="N77" s="151"/>
    </row>
    <row r="78" spans="1:14" ht="20.05" customHeight="1" x14ac:dyDescent="0.25">
      <c r="A78" s="1191"/>
      <c r="B78" s="860" t="s">
        <v>1326</v>
      </c>
      <c r="C78" s="860" t="s">
        <v>1325</v>
      </c>
      <c r="D78" s="586">
        <v>22626393</v>
      </c>
      <c r="E78" s="538" t="s">
        <v>532</v>
      </c>
      <c r="F78" s="570">
        <v>43528</v>
      </c>
      <c r="G78" s="570">
        <v>43555</v>
      </c>
      <c r="H78" s="571" t="s">
        <v>33</v>
      </c>
      <c r="I78" s="564">
        <v>12</v>
      </c>
      <c r="J78" s="564" t="s">
        <v>4</v>
      </c>
      <c r="K78" s="440" t="s">
        <v>1328</v>
      </c>
      <c r="L78" s="539" t="s">
        <v>1327</v>
      </c>
      <c r="M78" s="156" t="s">
        <v>1657</v>
      </c>
      <c r="N78" s="151"/>
    </row>
    <row r="79" spans="1:14" ht="20.05" customHeight="1" x14ac:dyDescent="0.25">
      <c r="A79" s="1191"/>
      <c r="B79" s="151" t="s">
        <v>166</v>
      </c>
      <c r="C79" s="151" t="s">
        <v>167</v>
      </c>
      <c r="D79" s="583">
        <v>1003045595</v>
      </c>
      <c r="E79" s="439" t="s">
        <v>566</v>
      </c>
      <c r="F79" s="570">
        <v>43528</v>
      </c>
      <c r="G79" s="570">
        <v>43555</v>
      </c>
      <c r="H79" s="571" t="s">
        <v>33</v>
      </c>
      <c r="I79" s="564">
        <v>12</v>
      </c>
      <c r="J79" s="564" t="s">
        <v>4</v>
      </c>
      <c r="K79" s="440">
        <v>3146122794</v>
      </c>
      <c r="L79" s="150" t="s">
        <v>339</v>
      </c>
      <c r="M79" s="150"/>
      <c r="N79" s="151"/>
    </row>
    <row r="80" spans="1:14" ht="20.05" customHeight="1" x14ac:dyDescent="0.25">
      <c r="A80" s="1191"/>
      <c r="B80" s="1132" t="s">
        <v>168</v>
      </c>
      <c r="C80" s="1132" t="s">
        <v>169</v>
      </c>
      <c r="D80" s="1134">
        <v>6871004</v>
      </c>
      <c r="E80" s="1136" t="s">
        <v>528</v>
      </c>
      <c r="F80" s="1141">
        <v>43528</v>
      </c>
      <c r="G80" s="1162">
        <v>43555</v>
      </c>
      <c r="H80" s="1167" t="s">
        <v>66</v>
      </c>
      <c r="I80" s="564">
        <v>20</v>
      </c>
      <c r="J80" s="564" t="s">
        <v>4</v>
      </c>
      <c r="K80" s="1138" t="s">
        <v>331</v>
      </c>
      <c r="L80" s="1136" t="s">
        <v>332</v>
      </c>
      <c r="M80" s="150"/>
      <c r="N80" s="151"/>
    </row>
    <row r="81" spans="1:14" ht="20.05" customHeight="1" x14ac:dyDescent="0.25">
      <c r="A81" s="1191"/>
      <c r="B81" s="1166"/>
      <c r="C81" s="1166"/>
      <c r="D81" s="1148"/>
      <c r="E81" s="1140"/>
      <c r="F81" s="1150"/>
      <c r="G81" s="1162"/>
      <c r="H81" s="1167"/>
      <c r="I81" s="564">
        <v>20</v>
      </c>
      <c r="J81" s="564" t="s">
        <v>5</v>
      </c>
      <c r="K81" s="1149"/>
      <c r="L81" s="1140"/>
      <c r="M81" s="150"/>
      <c r="N81" s="151"/>
    </row>
    <row r="82" spans="1:14" ht="20.05" customHeight="1" x14ac:dyDescent="0.25">
      <c r="A82" s="1191"/>
      <c r="B82" s="1133"/>
      <c r="C82" s="1133"/>
      <c r="D82" s="1135"/>
      <c r="E82" s="1137"/>
      <c r="F82" s="1142"/>
      <c r="G82" s="1162"/>
      <c r="H82" s="1167"/>
      <c r="I82" s="564">
        <v>20</v>
      </c>
      <c r="J82" s="564" t="s">
        <v>226</v>
      </c>
      <c r="K82" s="1139"/>
      <c r="L82" s="1137"/>
      <c r="M82" s="150"/>
      <c r="N82" s="151"/>
    </row>
    <row r="83" spans="1:14" ht="20.05" customHeight="1" x14ac:dyDescent="0.25">
      <c r="A83" s="1191"/>
      <c r="B83" s="1143" t="s">
        <v>170</v>
      </c>
      <c r="C83" s="1143" t="s">
        <v>171</v>
      </c>
      <c r="D83" s="1134">
        <v>50919320</v>
      </c>
      <c r="E83" s="1136" t="s">
        <v>520</v>
      </c>
      <c r="F83" s="1141">
        <v>43528</v>
      </c>
      <c r="G83" s="1141">
        <v>43555</v>
      </c>
      <c r="H83" s="571" t="s">
        <v>33</v>
      </c>
      <c r="I83" s="564">
        <v>12</v>
      </c>
      <c r="J83" s="564" t="s">
        <v>4</v>
      </c>
      <c r="K83" s="1138">
        <v>3114319257</v>
      </c>
      <c r="L83" s="1136" t="s">
        <v>254</v>
      </c>
      <c r="M83" s="1136"/>
      <c r="N83" s="151"/>
    </row>
    <row r="84" spans="1:14" ht="20.05" customHeight="1" x14ac:dyDescent="0.25">
      <c r="A84" s="1191"/>
      <c r="B84" s="1143"/>
      <c r="C84" s="1143"/>
      <c r="D84" s="1148"/>
      <c r="E84" s="1140"/>
      <c r="F84" s="1142"/>
      <c r="G84" s="1142"/>
      <c r="H84" s="804" t="s">
        <v>33</v>
      </c>
      <c r="I84" s="803">
        <v>1</v>
      </c>
      <c r="J84" s="803" t="s">
        <v>225</v>
      </c>
      <c r="K84" s="1149"/>
      <c r="L84" s="1140"/>
      <c r="M84" s="1140"/>
      <c r="N84" s="151"/>
    </row>
    <row r="85" spans="1:14" ht="20.05" customHeight="1" x14ac:dyDescent="0.25">
      <c r="A85" s="1191"/>
      <c r="B85" s="1143"/>
      <c r="C85" s="1143"/>
      <c r="D85" s="1148"/>
      <c r="E85" s="1140"/>
      <c r="F85" s="1141">
        <v>43528</v>
      </c>
      <c r="G85" s="1162">
        <v>43555</v>
      </c>
      <c r="H85" s="1163" t="s">
        <v>765</v>
      </c>
      <c r="I85" s="564">
        <v>20</v>
      </c>
      <c r="J85" s="564" t="s">
        <v>226</v>
      </c>
      <c r="K85" s="1149"/>
      <c r="L85" s="1140"/>
      <c r="M85" s="1140"/>
      <c r="N85" s="151"/>
    </row>
    <row r="86" spans="1:14" ht="20.05" customHeight="1" x14ac:dyDescent="0.25">
      <c r="A86" s="1191"/>
      <c r="B86" s="1143"/>
      <c r="C86" s="1143"/>
      <c r="D86" s="1135"/>
      <c r="E86" s="1137"/>
      <c r="F86" s="1142"/>
      <c r="G86" s="1162"/>
      <c r="H86" s="1163"/>
      <c r="I86" s="564">
        <v>12</v>
      </c>
      <c r="J86" s="564" t="s">
        <v>8</v>
      </c>
      <c r="K86" s="1139"/>
      <c r="L86" s="1137"/>
      <c r="M86" s="1137"/>
      <c r="N86" s="151"/>
    </row>
    <row r="87" spans="1:14" ht="20.05" customHeight="1" x14ac:dyDescent="0.25">
      <c r="A87" s="1191"/>
      <c r="B87" s="1132" t="s">
        <v>172</v>
      </c>
      <c r="C87" s="1132" t="s">
        <v>173</v>
      </c>
      <c r="D87" s="586"/>
      <c r="E87" s="1136" t="s">
        <v>532</v>
      </c>
      <c r="F87" s="551">
        <v>43502</v>
      </c>
      <c r="G87" s="551">
        <v>43524</v>
      </c>
      <c r="H87" s="552" t="s">
        <v>33</v>
      </c>
      <c r="I87" s="374">
        <v>12</v>
      </c>
      <c r="J87" s="374" t="s">
        <v>4</v>
      </c>
      <c r="K87" s="1138">
        <v>7889843</v>
      </c>
      <c r="L87" s="1136" t="s">
        <v>236</v>
      </c>
      <c r="M87" s="1033" t="s">
        <v>1333</v>
      </c>
      <c r="N87" s="151"/>
    </row>
    <row r="88" spans="1:14" ht="20.05" customHeight="1" x14ac:dyDescent="0.25">
      <c r="A88" s="1191"/>
      <c r="B88" s="1166"/>
      <c r="C88" s="1166"/>
      <c r="D88" s="584"/>
      <c r="E88" s="1140"/>
      <c r="F88" s="1164">
        <v>43508</v>
      </c>
      <c r="G88" s="1164">
        <v>43524</v>
      </c>
      <c r="H88" s="1173" t="s">
        <v>765</v>
      </c>
      <c r="I88" s="374">
        <v>16</v>
      </c>
      <c r="J88" s="374" t="s">
        <v>226</v>
      </c>
      <c r="K88" s="1149"/>
      <c r="L88" s="1140"/>
      <c r="M88" s="1056"/>
      <c r="N88" s="151"/>
    </row>
    <row r="89" spans="1:14" ht="20.05" customHeight="1" x14ac:dyDescent="0.25">
      <c r="A89" s="1191"/>
      <c r="B89" s="1133"/>
      <c r="C89" s="1133"/>
      <c r="D89" s="587"/>
      <c r="E89" s="1137"/>
      <c r="F89" s="1165"/>
      <c r="G89" s="1165"/>
      <c r="H89" s="1174"/>
      <c r="I89" s="374">
        <v>20</v>
      </c>
      <c r="J89" s="374" t="s">
        <v>8</v>
      </c>
      <c r="K89" s="1139"/>
      <c r="L89" s="1137"/>
      <c r="M89" s="1034"/>
      <c r="N89" s="151"/>
    </row>
    <row r="90" spans="1:14" ht="20.05" customHeight="1" x14ac:dyDescent="0.25">
      <c r="A90" s="1191"/>
      <c r="B90" s="860" t="s">
        <v>711</v>
      </c>
      <c r="C90" s="860" t="s">
        <v>712</v>
      </c>
      <c r="D90" s="586">
        <v>6576316</v>
      </c>
      <c r="E90" s="538" t="s">
        <v>529</v>
      </c>
      <c r="F90" s="568">
        <v>43528</v>
      </c>
      <c r="G90" s="568">
        <v>43555</v>
      </c>
      <c r="H90" s="569" t="s">
        <v>33</v>
      </c>
      <c r="I90" s="564">
        <v>12</v>
      </c>
      <c r="J90" s="564" t="s">
        <v>4</v>
      </c>
      <c r="K90" s="440">
        <v>3108559486</v>
      </c>
      <c r="L90" s="539" t="s">
        <v>713</v>
      </c>
      <c r="M90" s="156"/>
      <c r="N90" s="151"/>
    </row>
    <row r="91" spans="1:14" ht="20.05" customHeight="1" x14ac:dyDescent="0.25">
      <c r="A91" s="1191"/>
      <c r="B91" s="1143" t="s">
        <v>176</v>
      </c>
      <c r="C91" s="1143" t="s">
        <v>177</v>
      </c>
      <c r="D91" s="1134">
        <v>25758373</v>
      </c>
      <c r="E91" s="1136" t="s">
        <v>520</v>
      </c>
      <c r="F91" s="1164">
        <v>43502</v>
      </c>
      <c r="G91" s="1164">
        <v>43524</v>
      </c>
      <c r="H91" s="1173" t="s">
        <v>765</v>
      </c>
      <c r="I91" s="374">
        <v>8</v>
      </c>
      <c r="J91" s="374" t="s">
        <v>4</v>
      </c>
      <c r="K91" s="1138">
        <v>7889843</v>
      </c>
      <c r="L91" s="1136" t="s">
        <v>236</v>
      </c>
      <c r="M91" s="1146" t="s">
        <v>1383</v>
      </c>
      <c r="N91" s="151"/>
    </row>
    <row r="92" spans="1:14" ht="20.05" customHeight="1" x14ac:dyDescent="0.25">
      <c r="A92" s="1191"/>
      <c r="B92" s="1143"/>
      <c r="C92" s="1143"/>
      <c r="D92" s="1148"/>
      <c r="E92" s="1140"/>
      <c r="F92" s="1203"/>
      <c r="G92" s="1203"/>
      <c r="H92" s="1204"/>
      <c r="I92" s="374">
        <v>20</v>
      </c>
      <c r="J92" s="374" t="s">
        <v>8</v>
      </c>
      <c r="K92" s="1149"/>
      <c r="L92" s="1140"/>
      <c r="M92" s="1157"/>
      <c r="N92" s="151"/>
    </row>
    <row r="93" spans="1:14" ht="20.05" customHeight="1" x14ac:dyDescent="0.25">
      <c r="A93" s="1191"/>
      <c r="B93" s="1143"/>
      <c r="C93" s="1143"/>
      <c r="D93" s="1148"/>
      <c r="E93" s="1140"/>
      <c r="F93" s="1203"/>
      <c r="G93" s="1203"/>
      <c r="H93" s="1174"/>
      <c r="I93" s="374">
        <v>20</v>
      </c>
      <c r="J93" s="374" t="s">
        <v>226</v>
      </c>
      <c r="K93" s="1149"/>
      <c r="L93" s="1140"/>
      <c r="M93" s="1157"/>
      <c r="N93" s="151"/>
    </row>
    <row r="94" spans="1:14" ht="20.05" customHeight="1" x14ac:dyDescent="0.25">
      <c r="A94" s="1191"/>
      <c r="B94" s="1143"/>
      <c r="C94" s="1143"/>
      <c r="D94" s="1135"/>
      <c r="E94" s="1137"/>
      <c r="F94" s="551">
        <v>43502</v>
      </c>
      <c r="G94" s="551">
        <v>43524</v>
      </c>
      <c r="H94" s="552" t="s">
        <v>33</v>
      </c>
      <c r="I94" s="374">
        <v>12</v>
      </c>
      <c r="J94" s="374" t="s">
        <v>4</v>
      </c>
      <c r="K94" s="1149"/>
      <c r="L94" s="1140"/>
      <c r="M94" s="1147"/>
      <c r="N94" s="151"/>
    </row>
    <row r="95" spans="1:14" ht="20.05" customHeight="1" x14ac:dyDescent="0.25">
      <c r="A95" s="1191"/>
      <c r="B95" s="151" t="s">
        <v>178</v>
      </c>
      <c r="C95" s="151" t="s">
        <v>179</v>
      </c>
      <c r="D95" s="583">
        <v>25758912</v>
      </c>
      <c r="E95" s="439" t="s">
        <v>538</v>
      </c>
      <c r="F95" s="568">
        <v>43528</v>
      </c>
      <c r="G95" s="568">
        <v>43555</v>
      </c>
      <c r="H95" s="569" t="s">
        <v>33</v>
      </c>
      <c r="I95" s="564">
        <v>12</v>
      </c>
      <c r="J95" s="564" t="s">
        <v>4</v>
      </c>
      <c r="K95" s="440">
        <v>3045433157</v>
      </c>
      <c r="L95" s="150" t="s">
        <v>325</v>
      </c>
      <c r="M95" s="150"/>
      <c r="N95" s="151"/>
    </row>
    <row r="96" spans="1:14" ht="20.05" customHeight="1" x14ac:dyDescent="0.25">
      <c r="A96" s="1191"/>
      <c r="B96" s="858" t="s">
        <v>1373</v>
      </c>
      <c r="C96" s="858" t="s">
        <v>1372</v>
      </c>
      <c r="D96" s="588">
        <v>78710087</v>
      </c>
      <c r="E96" s="545" t="s">
        <v>1374</v>
      </c>
      <c r="F96" s="568">
        <v>43528</v>
      </c>
      <c r="G96" s="568">
        <v>43555</v>
      </c>
      <c r="H96" s="569" t="s">
        <v>33</v>
      </c>
      <c r="I96" s="564">
        <v>12</v>
      </c>
      <c r="J96" s="564" t="s">
        <v>4</v>
      </c>
      <c r="K96" s="566">
        <v>7838179</v>
      </c>
      <c r="L96" s="545" t="s">
        <v>1375</v>
      </c>
      <c r="M96" s="548"/>
      <c r="N96" s="151"/>
    </row>
    <row r="97" spans="1:14" ht="20.05" customHeight="1" x14ac:dyDescent="0.25">
      <c r="A97" s="1191"/>
      <c r="B97" s="858" t="s">
        <v>1376</v>
      </c>
      <c r="C97" s="858" t="s">
        <v>1377</v>
      </c>
      <c r="D97" s="588">
        <v>78713866</v>
      </c>
      <c r="E97" s="545" t="s">
        <v>528</v>
      </c>
      <c r="F97" s="568">
        <v>43528</v>
      </c>
      <c r="G97" s="568">
        <v>43555</v>
      </c>
      <c r="H97" s="569" t="s">
        <v>33</v>
      </c>
      <c r="I97" s="564">
        <v>12</v>
      </c>
      <c r="J97" s="564" t="s">
        <v>4</v>
      </c>
      <c r="K97" s="566">
        <v>7953296</v>
      </c>
      <c r="L97" s="545" t="s">
        <v>1378</v>
      </c>
      <c r="M97" s="548"/>
      <c r="N97" s="151"/>
    </row>
    <row r="98" spans="1:14" s="2" customFormat="1" ht="20.25" customHeight="1" x14ac:dyDescent="0.25">
      <c r="A98" s="1191"/>
      <c r="B98" s="860" t="s">
        <v>503</v>
      </c>
      <c r="C98" s="860" t="s">
        <v>504</v>
      </c>
      <c r="D98" s="586">
        <v>1067943851</v>
      </c>
      <c r="E98" s="436"/>
      <c r="F98" s="568">
        <v>43528</v>
      </c>
      <c r="G98" s="568">
        <v>43555</v>
      </c>
      <c r="H98" s="569" t="s">
        <v>33</v>
      </c>
      <c r="I98" s="564">
        <v>12</v>
      </c>
      <c r="J98" s="564" t="s">
        <v>4</v>
      </c>
      <c r="K98" s="566">
        <v>3116479465</v>
      </c>
      <c r="L98" s="153"/>
      <c r="M98" s="157"/>
      <c r="N98" s="150"/>
    </row>
    <row r="99" spans="1:14" s="2" customFormat="1" ht="20.25" customHeight="1" x14ac:dyDescent="0.25">
      <c r="A99" s="1191"/>
      <c r="B99" s="860" t="s">
        <v>993</v>
      </c>
      <c r="C99" s="860" t="s">
        <v>994</v>
      </c>
      <c r="D99" s="586">
        <v>1067935572</v>
      </c>
      <c r="E99" s="436" t="s">
        <v>1321</v>
      </c>
      <c r="F99" s="568">
        <v>43528</v>
      </c>
      <c r="G99" s="568">
        <v>43555</v>
      </c>
      <c r="H99" s="569" t="s">
        <v>33</v>
      </c>
      <c r="I99" s="564">
        <v>12</v>
      </c>
      <c r="J99" s="564" t="s">
        <v>4</v>
      </c>
      <c r="K99" s="566">
        <v>3206897052</v>
      </c>
      <c r="L99" s="368" t="s">
        <v>995</v>
      </c>
      <c r="M99" s="157"/>
      <c r="N99" s="369"/>
    </row>
    <row r="100" spans="1:14" ht="20.05" customHeight="1" x14ac:dyDescent="0.25">
      <c r="A100" s="1191"/>
      <c r="B100" s="859" t="s">
        <v>180</v>
      </c>
      <c r="C100" s="859" t="s">
        <v>181</v>
      </c>
      <c r="D100" s="589"/>
      <c r="E100" s="357" t="s">
        <v>532</v>
      </c>
      <c r="F100" s="387">
        <v>43502</v>
      </c>
      <c r="G100" s="387">
        <v>43524</v>
      </c>
      <c r="H100" s="370" t="s">
        <v>33</v>
      </c>
      <c r="I100" s="357"/>
      <c r="J100" s="357"/>
      <c r="K100" s="370">
        <v>3217725137</v>
      </c>
      <c r="L100" s="357" t="s">
        <v>310</v>
      </c>
      <c r="M100" s="1107" t="s">
        <v>1077</v>
      </c>
      <c r="N100" s="1108"/>
    </row>
    <row r="101" spans="1:14" ht="20.05" customHeight="1" x14ac:dyDescent="0.25">
      <c r="A101" s="1191"/>
      <c r="B101" s="859" t="s">
        <v>1061</v>
      </c>
      <c r="C101" s="859" t="s">
        <v>1062</v>
      </c>
      <c r="D101" s="589">
        <v>33165990</v>
      </c>
      <c r="E101" s="357" t="s">
        <v>1063</v>
      </c>
      <c r="F101" s="387">
        <v>43528</v>
      </c>
      <c r="G101" s="387">
        <v>43555</v>
      </c>
      <c r="H101" s="343" t="s">
        <v>33</v>
      </c>
      <c r="I101" s="357">
        <v>12</v>
      </c>
      <c r="J101" s="357" t="s">
        <v>4</v>
      </c>
      <c r="K101" s="370" t="s">
        <v>1064</v>
      </c>
      <c r="L101" s="870" t="s">
        <v>1065</v>
      </c>
      <c r="M101" s="1160" t="s">
        <v>1628</v>
      </c>
      <c r="N101" s="1161"/>
    </row>
    <row r="102" spans="1:14" ht="20.05" customHeight="1" x14ac:dyDescent="0.25">
      <c r="A102" s="1191"/>
      <c r="B102" s="151" t="s">
        <v>1361</v>
      </c>
      <c r="C102" s="151" t="s">
        <v>1362</v>
      </c>
      <c r="D102" s="583">
        <v>34830066</v>
      </c>
      <c r="E102" s="548" t="s">
        <v>532</v>
      </c>
      <c r="F102" s="570">
        <v>43528</v>
      </c>
      <c r="G102" s="570">
        <v>43555</v>
      </c>
      <c r="H102" s="571" t="s">
        <v>33</v>
      </c>
      <c r="I102" s="564">
        <v>12</v>
      </c>
      <c r="J102" s="564" t="s">
        <v>4</v>
      </c>
      <c r="K102" s="440">
        <v>3015927908</v>
      </c>
      <c r="L102" s="156" t="s">
        <v>1363</v>
      </c>
      <c r="M102" s="548"/>
      <c r="N102" s="151"/>
    </row>
    <row r="103" spans="1:14" ht="20.05" customHeight="1" x14ac:dyDescent="0.25">
      <c r="A103" s="1191"/>
      <c r="B103" s="151" t="s">
        <v>1058</v>
      </c>
      <c r="C103" s="151" t="s">
        <v>1059</v>
      </c>
      <c r="D103" s="583">
        <v>32270389</v>
      </c>
      <c r="E103" s="439" t="s">
        <v>562</v>
      </c>
      <c r="F103" s="570">
        <v>43528</v>
      </c>
      <c r="G103" s="570">
        <v>43555</v>
      </c>
      <c r="H103" s="571" t="s">
        <v>33</v>
      </c>
      <c r="I103" s="564">
        <v>12</v>
      </c>
      <c r="J103" s="564" t="s">
        <v>4</v>
      </c>
      <c r="K103" s="440">
        <v>3106825181</v>
      </c>
      <c r="L103" s="406" t="s">
        <v>1060</v>
      </c>
      <c r="M103" s="406"/>
      <c r="N103" s="151"/>
    </row>
    <row r="104" spans="1:14" ht="20.05" hidden="1" customHeight="1" x14ac:dyDescent="0.25">
      <c r="A104" s="1191"/>
      <c r="B104" s="151" t="s">
        <v>182</v>
      </c>
      <c r="C104" s="151" t="s">
        <v>598</v>
      </c>
      <c r="D104" s="583">
        <v>34960543</v>
      </c>
      <c r="E104" s="156" t="s">
        <v>568</v>
      </c>
      <c r="F104" s="547"/>
      <c r="G104" s="547"/>
      <c r="H104" s="532"/>
      <c r="I104" s="17"/>
      <c r="J104" s="17"/>
      <c r="K104" s="440">
        <v>3106417282</v>
      </c>
      <c r="L104" s="150" t="s">
        <v>341</v>
      </c>
      <c r="M104" s="150"/>
      <c r="N104" s="151"/>
    </row>
    <row r="105" spans="1:14" ht="20.05" customHeight="1" x14ac:dyDescent="0.25">
      <c r="A105" s="1191"/>
      <c r="B105" s="1132" t="s">
        <v>183</v>
      </c>
      <c r="C105" s="1132" t="s">
        <v>161</v>
      </c>
      <c r="D105" s="1134">
        <v>6568789</v>
      </c>
      <c r="E105" s="1136" t="s">
        <v>564</v>
      </c>
      <c r="F105" s="570">
        <v>43528</v>
      </c>
      <c r="G105" s="570">
        <v>43555</v>
      </c>
      <c r="H105" s="571" t="s">
        <v>33</v>
      </c>
      <c r="I105" s="564">
        <v>12</v>
      </c>
      <c r="J105" s="564" t="s">
        <v>4</v>
      </c>
      <c r="K105" s="1138">
        <v>3114282072</v>
      </c>
      <c r="L105" s="1136" t="s">
        <v>329</v>
      </c>
      <c r="M105" s="150"/>
      <c r="N105" s="151"/>
    </row>
    <row r="106" spans="1:14" ht="20.05" hidden="1" customHeight="1" x14ac:dyDescent="0.25">
      <c r="A106" s="1191"/>
      <c r="B106" s="1166"/>
      <c r="C106" s="1166"/>
      <c r="D106" s="1148"/>
      <c r="E106" s="1140"/>
      <c r="F106" s="1199"/>
      <c r="G106" s="1199"/>
      <c r="H106" s="1201"/>
      <c r="I106" s="17"/>
      <c r="J106" s="17"/>
      <c r="K106" s="1149"/>
      <c r="L106" s="1140"/>
      <c r="M106" s="150"/>
      <c r="N106" s="151"/>
    </row>
    <row r="107" spans="1:14" ht="20.05" hidden="1" customHeight="1" x14ac:dyDescent="0.25">
      <c r="A107" s="1191"/>
      <c r="B107" s="1133"/>
      <c r="C107" s="1133"/>
      <c r="D107" s="1135"/>
      <c r="E107" s="1137"/>
      <c r="F107" s="1200"/>
      <c r="G107" s="1200"/>
      <c r="H107" s="1202"/>
      <c r="I107" s="17"/>
      <c r="J107" s="17"/>
      <c r="K107" s="1139"/>
      <c r="L107" s="1137"/>
      <c r="M107" s="150"/>
      <c r="N107" s="151"/>
    </row>
    <row r="108" spans="1:14" ht="20.05" customHeight="1" x14ac:dyDescent="0.25">
      <c r="A108" s="1191"/>
      <c r="B108" s="151" t="s">
        <v>184</v>
      </c>
      <c r="C108" s="151" t="s">
        <v>185</v>
      </c>
      <c r="D108" s="583">
        <v>25760004</v>
      </c>
      <c r="E108" s="439" t="s">
        <v>532</v>
      </c>
      <c r="F108" s="570">
        <v>43528</v>
      </c>
      <c r="G108" s="570">
        <v>43555</v>
      </c>
      <c r="H108" s="571" t="s">
        <v>33</v>
      </c>
      <c r="I108" s="564">
        <v>12</v>
      </c>
      <c r="J108" s="564" t="s">
        <v>4</v>
      </c>
      <c r="K108" s="440">
        <v>3145979513</v>
      </c>
      <c r="L108" s="150" t="s">
        <v>314</v>
      </c>
      <c r="M108" s="150"/>
      <c r="N108" s="151"/>
    </row>
    <row r="109" spans="1:14" ht="20.05" customHeight="1" x14ac:dyDescent="0.25">
      <c r="A109" s="1191"/>
      <c r="B109" s="1132" t="s">
        <v>186</v>
      </c>
      <c r="C109" s="1132" t="s">
        <v>187</v>
      </c>
      <c r="D109" s="1134">
        <v>23098213</v>
      </c>
      <c r="E109" s="1136" t="s">
        <v>560</v>
      </c>
      <c r="F109" s="570">
        <v>43528</v>
      </c>
      <c r="G109" s="570">
        <v>43555</v>
      </c>
      <c r="H109" s="571" t="s">
        <v>33</v>
      </c>
      <c r="I109" s="564">
        <v>12</v>
      </c>
      <c r="J109" s="564" t="s">
        <v>4</v>
      </c>
      <c r="K109" s="1138" t="s">
        <v>333</v>
      </c>
      <c r="L109" s="1136" t="s">
        <v>334</v>
      </c>
      <c r="M109" s="150"/>
      <c r="N109" s="151"/>
    </row>
    <row r="110" spans="1:14" ht="20.05" hidden="1" customHeight="1" x14ac:dyDescent="0.25">
      <c r="A110" s="1191"/>
      <c r="B110" s="1133"/>
      <c r="C110" s="1133"/>
      <c r="D110" s="1135"/>
      <c r="E110" s="1137"/>
      <c r="F110" s="547"/>
      <c r="G110" s="547"/>
      <c r="H110" s="532"/>
      <c r="I110" s="17"/>
      <c r="J110" s="17"/>
      <c r="K110" s="1139"/>
      <c r="L110" s="1137"/>
      <c r="M110" s="150"/>
      <c r="N110" s="151"/>
    </row>
    <row r="111" spans="1:14" ht="20.05" customHeight="1" x14ac:dyDescent="0.25">
      <c r="A111" s="1191"/>
      <c r="B111" s="1132" t="s">
        <v>188</v>
      </c>
      <c r="C111" s="1132" t="s">
        <v>189</v>
      </c>
      <c r="D111" s="1134">
        <v>27931489</v>
      </c>
      <c r="E111" s="1136" t="s">
        <v>532</v>
      </c>
      <c r="F111" s="1141">
        <v>43528</v>
      </c>
      <c r="G111" s="1141">
        <v>43555</v>
      </c>
      <c r="H111" s="1168" t="s">
        <v>1233</v>
      </c>
      <c r="I111" s="564">
        <v>20</v>
      </c>
      <c r="J111" s="564" t="s">
        <v>4</v>
      </c>
      <c r="K111" s="1138" t="s">
        <v>323</v>
      </c>
      <c r="L111" s="1136" t="s">
        <v>324</v>
      </c>
      <c r="M111" s="1197"/>
      <c r="N111" s="151"/>
    </row>
    <row r="112" spans="1:14" ht="20.05" customHeight="1" x14ac:dyDescent="0.25">
      <c r="A112" s="1191"/>
      <c r="B112" s="1133"/>
      <c r="C112" s="1133"/>
      <c r="D112" s="1135"/>
      <c r="E112" s="1137"/>
      <c r="F112" s="1142"/>
      <c r="G112" s="1142"/>
      <c r="H112" s="1169"/>
      <c r="I112" s="564">
        <v>20</v>
      </c>
      <c r="J112" s="564" t="s">
        <v>5</v>
      </c>
      <c r="K112" s="1139"/>
      <c r="L112" s="1137"/>
      <c r="M112" s="1198"/>
      <c r="N112" s="151"/>
    </row>
    <row r="113" spans="1:14" ht="20.05" customHeight="1" x14ac:dyDescent="0.25">
      <c r="A113" s="1191"/>
      <c r="B113" s="1132" t="s">
        <v>190</v>
      </c>
      <c r="C113" s="1132" t="s">
        <v>191</v>
      </c>
      <c r="D113" s="586">
        <v>34967111</v>
      </c>
      <c r="E113" s="1136" t="s">
        <v>529</v>
      </c>
      <c r="F113" s="570">
        <v>43528</v>
      </c>
      <c r="G113" s="570">
        <v>43555</v>
      </c>
      <c r="H113" s="571" t="s">
        <v>33</v>
      </c>
      <c r="I113" s="564">
        <v>12</v>
      </c>
      <c r="J113" s="564" t="s">
        <v>4</v>
      </c>
      <c r="K113" s="1138">
        <v>3107086059</v>
      </c>
      <c r="L113" s="1136" t="s">
        <v>498</v>
      </c>
      <c r="M113" s="150"/>
      <c r="N113" s="151"/>
    </row>
    <row r="114" spans="1:14" ht="20.05" hidden="1" customHeight="1" x14ac:dyDescent="0.25">
      <c r="A114" s="1191"/>
      <c r="B114" s="1133"/>
      <c r="C114" s="1133"/>
      <c r="D114" s="587"/>
      <c r="E114" s="1137"/>
      <c r="F114" s="547"/>
      <c r="G114" s="547"/>
      <c r="H114" s="532"/>
      <c r="I114" s="17"/>
      <c r="J114" s="17"/>
      <c r="K114" s="1139"/>
      <c r="L114" s="1137"/>
      <c r="M114" s="150"/>
      <c r="N114" s="151"/>
    </row>
    <row r="115" spans="1:14" ht="20.05" customHeight="1" x14ac:dyDescent="0.25">
      <c r="A115" s="1191"/>
      <c r="B115" s="1132" t="s">
        <v>192</v>
      </c>
      <c r="C115" s="1132" t="s">
        <v>193</v>
      </c>
      <c r="D115" s="1134">
        <v>1062964633</v>
      </c>
      <c r="E115" s="1136" t="s">
        <v>766</v>
      </c>
      <c r="F115" s="570">
        <v>43528</v>
      </c>
      <c r="G115" s="570">
        <v>43555</v>
      </c>
      <c r="H115" s="571" t="s">
        <v>33</v>
      </c>
      <c r="I115" s="564">
        <v>12</v>
      </c>
      <c r="J115" s="564" t="s">
        <v>4</v>
      </c>
      <c r="K115" s="1138">
        <v>3132341618</v>
      </c>
      <c r="L115" s="1136" t="s">
        <v>319</v>
      </c>
      <c r="M115" s="150"/>
      <c r="N115" s="151"/>
    </row>
    <row r="116" spans="1:14" ht="20.05" customHeight="1" x14ac:dyDescent="0.25">
      <c r="A116" s="1191"/>
      <c r="B116" s="1133"/>
      <c r="C116" s="1133"/>
      <c r="D116" s="1135"/>
      <c r="E116" s="1137"/>
      <c r="F116" s="570">
        <v>43530</v>
      </c>
      <c r="G116" s="570">
        <v>43555</v>
      </c>
      <c r="H116" s="571" t="s">
        <v>765</v>
      </c>
      <c r="I116" s="564">
        <v>20</v>
      </c>
      <c r="J116" s="564" t="s">
        <v>226</v>
      </c>
      <c r="K116" s="1139"/>
      <c r="L116" s="1137"/>
      <c r="M116" s="150"/>
      <c r="N116" s="151"/>
    </row>
    <row r="117" spans="1:14" ht="20.05" customHeight="1" x14ac:dyDescent="0.25">
      <c r="A117" s="1191"/>
      <c r="B117" s="861" t="s">
        <v>1532</v>
      </c>
      <c r="C117" s="861" t="s">
        <v>1533</v>
      </c>
      <c r="D117" s="822">
        <v>25764584</v>
      </c>
      <c r="E117" s="820" t="s">
        <v>1534</v>
      </c>
      <c r="F117" s="373">
        <v>43542</v>
      </c>
      <c r="G117" s="373">
        <v>43555</v>
      </c>
      <c r="H117" s="823" t="s">
        <v>33</v>
      </c>
      <c r="I117" s="821">
        <v>12</v>
      </c>
      <c r="J117" s="821" t="s">
        <v>4</v>
      </c>
      <c r="K117" s="646">
        <v>3145715951</v>
      </c>
      <c r="L117" s="867" t="s">
        <v>1535</v>
      </c>
      <c r="M117" s="1182" t="s">
        <v>1562</v>
      </c>
      <c r="N117" s="1183"/>
    </row>
    <row r="118" spans="1:14" ht="20.05" customHeight="1" x14ac:dyDescent="0.25">
      <c r="A118" s="1191"/>
      <c r="B118" s="151" t="s">
        <v>599</v>
      </c>
      <c r="C118" s="151" t="s">
        <v>600</v>
      </c>
      <c r="D118" s="583">
        <v>1067883298</v>
      </c>
      <c r="E118" s="439" t="s">
        <v>549</v>
      </c>
      <c r="F118" s="570">
        <v>43528</v>
      </c>
      <c r="G118" s="570">
        <v>43555</v>
      </c>
      <c r="H118" s="571" t="s">
        <v>33</v>
      </c>
      <c r="I118" s="564">
        <v>12</v>
      </c>
      <c r="J118" s="564" t="s">
        <v>4</v>
      </c>
      <c r="K118" s="440">
        <v>3217454995</v>
      </c>
      <c r="L118" s="150" t="s">
        <v>342</v>
      </c>
      <c r="M118" s="150"/>
      <c r="N118" s="151"/>
    </row>
    <row r="119" spans="1:14" ht="22.6" customHeight="1" x14ac:dyDescent="0.25">
      <c r="A119" s="1191"/>
      <c r="B119" s="151" t="s">
        <v>194</v>
      </c>
      <c r="C119" s="151" t="s">
        <v>195</v>
      </c>
      <c r="D119" s="583">
        <v>34961797</v>
      </c>
      <c r="E119" s="156" t="s">
        <v>831</v>
      </c>
      <c r="F119" s="570">
        <v>43528</v>
      </c>
      <c r="G119" s="570">
        <v>43555</v>
      </c>
      <c r="H119" s="571" t="s">
        <v>33</v>
      </c>
      <c r="I119" s="564">
        <v>12</v>
      </c>
      <c r="J119" s="564" t="s">
        <v>4</v>
      </c>
      <c r="K119" s="440">
        <v>3116916694</v>
      </c>
      <c r="L119" s="150" t="s">
        <v>335</v>
      </c>
      <c r="M119" s="169"/>
      <c r="N119" s="151"/>
    </row>
    <row r="120" spans="1:14" ht="22.6" customHeight="1" x14ac:dyDescent="0.25">
      <c r="A120" s="1191"/>
      <c r="B120" s="858" t="s">
        <v>1318</v>
      </c>
      <c r="C120" s="858" t="s">
        <v>1317</v>
      </c>
      <c r="D120" s="588">
        <v>1007573270</v>
      </c>
      <c r="E120" s="553" t="s">
        <v>566</v>
      </c>
      <c r="F120" s="570">
        <v>43528</v>
      </c>
      <c r="G120" s="570">
        <v>43555</v>
      </c>
      <c r="H120" s="571" t="s">
        <v>33</v>
      </c>
      <c r="I120" s="564">
        <v>12</v>
      </c>
      <c r="J120" s="564" t="s">
        <v>4</v>
      </c>
      <c r="K120" s="566" t="s">
        <v>1319</v>
      </c>
      <c r="L120" s="540" t="s">
        <v>1320</v>
      </c>
      <c r="M120" s="538"/>
      <c r="N120" s="206"/>
    </row>
    <row r="121" spans="1:14" ht="22.6" customHeight="1" x14ac:dyDescent="0.25">
      <c r="A121" s="1191"/>
      <c r="B121" s="858" t="s">
        <v>1313</v>
      </c>
      <c r="C121" s="858" t="s">
        <v>1312</v>
      </c>
      <c r="D121" s="588">
        <v>1003394959</v>
      </c>
      <c r="E121" s="553" t="s">
        <v>1314</v>
      </c>
      <c r="F121" s="570">
        <v>43528</v>
      </c>
      <c r="G121" s="570">
        <v>43555</v>
      </c>
      <c r="H121" s="571" t="s">
        <v>33</v>
      </c>
      <c r="I121" s="564">
        <v>12</v>
      </c>
      <c r="J121" s="564" t="s">
        <v>4</v>
      </c>
      <c r="K121" s="566" t="s">
        <v>1316</v>
      </c>
      <c r="L121" s="538" t="s">
        <v>1315</v>
      </c>
      <c r="M121" s="538"/>
      <c r="N121" s="206"/>
    </row>
    <row r="122" spans="1:14" ht="20.05" customHeight="1" x14ac:dyDescent="0.25">
      <c r="A122" s="1191"/>
      <c r="B122" s="1132" t="s">
        <v>196</v>
      </c>
      <c r="C122" s="1132" t="s">
        <v>197</v>
      </c>
      <c r="D122" s="1134">
        <v>9750222</v>
      </c>
      <c r="E122" s="1136" t="s">
        <v>528</v>
      </c>
      <c r="F122" s="570">
        <v>43528</v>
      </c>
      <c r="G122" s="570">
        <v>43555</v>
      </c>
      <c r="H122" s="571" t="s">
        <v>33</v>
      </c>
      <c r="I122" s="564">
        <v>12</v>
      </c>
      <c r="J122" s="564" t="s">
        <v>4</v>
      </c>
      <c r="K122" s="1138" t="s">
        <v>609</v>
      </c>
      <c r="L122" s="1136" t="s">
        <v>239</v>
      </c>
      <c r="M122" s="1136"/>
      <c r="N122" s="206"/>
    </row>
    <row r="123" spans="1:14" ht="20.05" customHeight="1" x14ac:dyDescent="0.25">
      <c r="A123" s="1191"/>
      <c r="B123" s="1166"/>
      <c r="C123" s="1166"/>
      <c r="D123" s="1148"/>
      <c r="E123" s="1140"/>
      <c r="F123" s="1141">
        <v>43531</v>
      </c>
      <c r="G123" s="1141">
        <v>43555</v>
      </c>
      <c r="H123" s="1146" t="s">
        <v>765</v>
      </c>
      <c r="I123" s="564">
        <v>8</v>
      </c>
      <c r="J123" s="564" t="s">
        <v>8</v>
      </c>
      <c r="K123" s="1149"/>
      <c r="L123" s="1140"/>
      <c r="M123" s="1140"/>
      <c r="N123" s="206"/>
    </row>
    <row r="124" spans="1:14" ht="20.05" customHeight="1" x14ac:dyDescent="0.25">
      <c r="A124" s="1191"/>
      <c r="B124" s="1166"/>
      <c r="C124" s="1166"/>
      <c r="D124" s="1148"/>
      <c r="E124" s="1140"/>
      <c r="F124" s="1150"/>
      <c r="G124" s="1150"/>
      <c r="H124" s="1157"/>
      <c r="I124" s="564">
        <v>20</v>
      </c>
      <c r="J124" s="564" t="s">
        <v>226</v>
      </c>
      <c r="K124" s="1149"/>
      <c r="L124" s="1140"/>
      <c r="M124" s="1140"/>
      <c r="N124" s="206"/>
    </row>
    <row r="125" spans="1:14" ht="20.05" customHeight="1" x14ac:dyDescent="0.25">
      <c r="A125" s="1191"/>
      <c r="B125" s="1133"/>
      <c r="C125" s="1133"/>
      <c r="D125" s="1135"/>
      <c r="E125" s="1137"/>
      <c r="F125" s="1142"/>
      <c r="G125" s="1142"/>
      <c r="H125" s="1147"/>
      <c r="I125" s="564">
        <v>8</v>
      </c>
      <c r="J125" s="564" t="s">
        <v>4</v>
      </c>
      <c r="K125" s="1139"/>
      <c r="L125" s="1137"/>
      <c r="M125" s="1137"/>
      <c r="N125" s="206"/>
    </row>
    <row r="126" spans="1:14" ht="20.05" customHeight="1" x14ac:dyDescent="0.25">
      <c r="A126" s="1191"/>
      <c r="B126" s="1132" t="s">
        <v>198</v>
      </c>
      <c r="C126" s="1132" t="s">
        <v>199</v>
      </c>
      <c r="D126" s="1134">
        <v>34980584</v>
      </c>
      <c r="E126" s="1136" t="s">
        <v>520</v>
      </c>
      <c r="F126" s="570">
        <v>43528</v>
      </c>
      <c r="G126" s="570">
        <v>43555</v>
      </c>
      <c r="H126" s="571" t="s">
        <v>33</v>
      </c>
      <c r="I126" s="564">
        <v>12</v>
      </c>
      <c r="J126" s="564" t="s">
        <v>4</v>
      </c>
      <c r="K126" s="1138">
        <v>3145653404</v>
      </c>
      <c r="L126" s="1136" t="s">
        <v>326</v>
      </c>
      <c r="M126" s="155"/>
      <c r="N126" s="151"/>
    </row>
    <row r="127" spans="1:14" ht="20.05" customHeight="1" x14ac:dyDescent="0.25">
      <c r="A127" s="1191"/>
      <c r="B127" s="1166"/>
      <c r="C127" s="1166"/>
      <c r="D127" s="1148"/>
      <c r="E127" s="1140"/>
      <c r="F127" s="1141">
        <v>43531</v>
      </c>
      <c r="G127" s="1141">
        <v>43544</v>
      </c>
      <c r="H127" s="1146" t="s">
        <v>765</v>
      </c>
      <c r="I127" s="564">
        <v>8</v>
      </c>
      <c r="J127" s="564" t="s">
        <v>226</v>
      </c>
      <c r="K127" s="1149"/>
      <c r="L127" s="1140"/>
      <c r="M127" s="155"/>
      <c r="N127" s="151"/>
    </row>
    <row r="128" spans="1:14" ht="20.05" customHeight="1" x14ac:dyDescent="0.25">
      <c r="A128" s="1191"/>
      <c r="B128" s="1133"/>
      <c r="C128" s="1133"/>
      <c r="D128" s="1135"/>
      <c r="E128" s="1137"/>
      <c r="F128" s="1142"/>
      <c r="G128" s="1142"/>
      <c r="H128" s="1147"/>
      <c r="I128" s="564">
        <v>20</v>
      </c>
      <c r="J128" s="564" t="s">
        <v>8</v>
      </c>
      <c r="K128" s="1139"/>
      <c r="L128" s="1137"/>
      <c r="M128" s="150"/>
      <c r="N128" s="151"/>
    </row>
    <row r="129" spans="1:14" ht="20.05" customHeight="1" x14ac:dyDescent="0.25">
      <c r="A129" s="1191"/>
      <c r="B129" s="151" t="s">
        <v>200</v>
      </c>
      <c r="C129" s="151" t="s">
        <v>201</v>
      </c>
      <c r="D129" s="583">
        <v>34960348</v>
      </c>
      <c r="E129" s="439" t="s">
        <v>529</v>
      </c>
      <c r="F129" s="570">
        <v>43528</v>
      </c>
      <c r="G129" s="570">
        <v>43555</v>
      </c>
      <c r="H129" s="571" t="s">
        <v>33</v>
      </c>
      <c r="I129" s="564">
        <v>12</v>
      </c>
      <c r="J129" s="564" t="s">
        <v>4</v>
      </c>
      <c r="K129" s="440">
        <v>3108443930</v>
      </c>
      <c r="L129" s="150" t="s">
        <v>312</v>
      </c>
      <c r="M129" s="150"/>
      <c r="N129" s="151"/>
    </row>
    <row r="130" spans="1:14" ht="20.05" customHeight="1" x14ac:dyDescent="0.25">
      <c r="A130" s="1191"/>
      <c r="B130" s="151" t="s">
        <v>495</v>
      </c>
      <c r="C130" s="151" t="s">
        <v>496</v>
      </c>
      <c r="D130" s="583">
        <v>25753786</v>
      </c>
      <c r="E130" s="439" t="s">
        <v>532</v>
      </c>
      <c r="F130" s="570">
        <v>43528</v>
      </c>
      <c r="G130" s="570">
        <v>43555</v>
      </c>
      <c r="H130" s="571" t="s">
        <v>33</v>
      </c>
      <c r="I130" s="564">
        <v>12</v>
      </c>
      <c r="J130" s="564" t="s">
        <v>4</v>
      </c>
      <c r="K130" s="440">
        <v>3126464928</v>
      </c>
      <c r="L130" s="150" t="s">
        <v>497</v>
      </c>
      <c r="M130" s="150"/>
      <c r="N130" s="151"/>
    </row>
    <row r="131" spans="1:14" ht="20.05" customHeight="1" x14ac:dyDescent="0.25">
      <c r="A131" s="1191"/>
      <c r="B131" s="151" t="s">
        <v>824</v>
      </c>
      <c r="C131" s="151" t="s">
        <v>1342</v>
      </c>
      <c r="D131" s="583">
        <v>25754049</v>
      </c>
      <c r="E131" s="548" t="s">
        <v>532</v>
      </c>
      <c r="F131" s="570">
        <v>43528</v>
      </c>
      <c r="G131" s="570">
        <v>43555</v>
      </c>
      <c r="H131" s="571" t="s">
        <v>33</v>
      </c>
      <c r="I131" s="564">
        <v>12</v>
      </c>
      <c r="J131" s="564" t="s">
        <v>4</v>
      </c>
      <c r="K131" s="440">
        <v>3157774860</v>
      </c>
      <c r="L131" s="156" t="s">
        <v>1343</v>
      </c>
      <c r="M131" s="548"/>
      <c r="N131" s="151"/>
    </row>
    <row r="132" spans="1:14" ht="20.05" customHeight="1" x14ac:dyDescent="0.25">
      <c r="A132" s="1191"/>
      <c r="B132" s="151" t="s">
        <v>202</v>
      </c>
      <c r="C132" s="151" t="s">
        <v>203</v>
      </c>
      <c r="D132" s="583">
        <v>34959672</v>
      </c>
      <c r="E132" s="439" t="s">
        <v>515</v>
      </c>
      <c r="F132" s="570">
        <v>43528</v>
      </c>
      <c r="G132" s="570">
        <v>43555</v>
      </c>
      <c r="H132" s="571" t="s">
        <v>33</v>
      </c>
      <c r="I132" s="564">
        <v>12</v>
      </c>
      <c r="J132" s="564" t="s">
        <v>4</v>
      </c>
      <c r="K132" s="440">
        <v>3105140952</v>
      </c>
      <c r="L132" s="150" t="s">
        <v>309</v>
      </c>
      <c r="M132" s="150"/>
      <c r="N132" s="151"/>
    </row>
    <row r="133" spans="1:14" ht="20.05" customHeight="1" x14ac:dyDescent="0.25">
      <c r="A133" s="1191"/>
      <c r="B133" s="1143" t="s">
        <v>204</v>
      </c>
      <c r="C133" s="1143" t="s">
        <v>205</v>
      </c>
      <c r="D133" s="1134">
        <v>26042656</v>
      </c>
      <c r="E133" s="1136" t="s">
        <v>564</v>
      </c>
      <c r="F133" s="570">
        <v>43528</v>
      </c>
      <c r="G133" s="570">
        <v>43555</v>
      </c>
      <c r="H133" s="571" t="s">
        <v>33</v>
      </c>
      <c r="I133" s="564">
        <v>12</v>
      </c>
      <c r="J133" s="564" t="s">
        <v>4</v>
      </c>
      <c r="K133" s="1138" t="s">
        <v>316</v>
      </c>
      <c r="L133" s="1136" t="s">
        <v>317</v>
      </c>
      <c r="M133" s="150"/>
      <c r="N133" s="151"/>
    </row>
    <row r="134" spans="1:14" ht="20.05" customHeight="1" x14ac:dyDescent="0.25">
      <c r="A134" s="1191"/>
      <c r="B134" s="1143"/>
      <c r="C134" s="1143"/>
      <c r="D134" s="1148"/>
      <c r="E134" s="1140"/>
      <c r="F134" s="570">
        <v>43531</v>
      </c>
      <c r="G134" s="570">
        <v>43555</v>
      </c>
      <c r="H134" s="571" t="s">
        <v>765</v>
      </c>
      <c r="I134" s="564">
        <v>8</v>
      </c>
      <c r="J134" s="564" t="s">
        <v>226</v>
      </c>
      <c r="K134" s="1149"/>
      <c r="L134" s="1140"/>
      <c r="M134" s="150"/>
      <c r="N134" s="151"/>
    </row>
    <row r="135" spans="1:14" ht="20.05" hidden="1" customHeight="1" x14ac:dyDescent="0.25">
      <c r="A135" s="1191"/>
      <c r="B135" s="1143"/>
      <c r="C135" s="1143"/>
      <c r="D135" s="1135"/>
      <c r="E135" s="1137"/>
      <c r="F135" s="547"/>
      <c r="G135" s="547"/>
      <c r="H135" s="532"/>
      <c r="I135" s="17"/>
      <c r="J135" s="17"/>
      <c r="K135" s="1139"/>
      <c r="L135" s="1137"/>
      <c r="M135" s="150"/>
      <c r="N135" s="151"/>
    </row>
    <row r="136" spans="1:14" ht="20.05" customHeight="1" x14ac:dyDescent="0.25">
      <c r="A136" s="1191"/>
      <c r="B136" s="151" t="s">
        <v>490</v>
      </c>
      <c r="C136" s="151" t="s">
        <v>491</v>
      </c>
      <c r="D136" s="583">
        <v>34957352</v>
      </c>
      <c r="E136" s="440" t="s">
        <v>569</v>
      </c>
      <c r="F136" s="570">
        <v>43528</v>
      </c>
      <c r="G136" s="570">
        <v>43555</v>
      </c>
      <c r="H136" s="571" t="s">
        <v>33</v>
      </c>
      <c r="I136" s="564">
        <v>12</v>
      </c>
      <c r="J136" s="564" t="s">
        <v>4</v>
      </c>
      <c r="K136" s="440">
        <v>7924056</v>
      </c>
      <c r="L136" s="150" t="s">
        <v>492</v>
      </c>
      <c r="M136" s="150"/>
      <c r="N136" s="151"/>
    </row>
    <row r="137" spans="1:14" ht="20.05" customHeight="1" x14ac:dyDescent="0.25">
      <c r="A137" s="1191"/>
      <c r="B137" s="1143" t="s">
        <v>510</v>
      </c>
      <c r="C137" s="1143" t="s">
        <v>511</v>
      </c>
      <c r="D137" s="1134">
        <v>25751804</v>
      </c>
      <c r="E137" s="1145" t="s">
        <v>532</v>
      </c>
      <c r="F137" s="1141">
        <v>43530</v>
      </c>
      <c r="G137" s="1141">
        <v>43555</v>
      </c>
      <c r="H137" s="1146" t="s">
        <v>765</v>
      </c>
      <c r="I137" s="564">
        <v>20</v>
      </c>
      <c r="J137" s="564" t="s">
        <v>226</v>
      </c>
      <c r="K137" s="1144">
        <v>3205407531</v>
      </c>
      <c r="L137" s="1145" t="s">
        <v>512</v>
      </c>
      <c r="M137" s="150"/>
      <c r="N137" s="151"/>
    </row>
    <row r="138" spans="1:14" ht="20.05" customHeight="1" x14ac:dyDescent="0.25">
      <c r="A138" s="1191"/>
      <c r="B138" s="1143"/>
      <c r="C138" s="1143"/>
      <c r="D138" s="1148"/>
      <c r="E138" s="1145"/>
      <c r="F138" s="1142"/>
      <c r="G138" s="1142"/>
      <c r="H138" s="1147"/>
      <c r="I138" s="564">
        <v>8</v>
      </c>
      <c r="J138" s="564" t="s">
        <v>4</v>
      </c>
      <c r="K138" s="1144"/>
      <c r="L138" s="1145"/>
      <c r="M138" s="150"/>
      <c r="N138" s="151"/>
    </row>
    <row r="139" spans="1:14" ht="20.05" hidden="1" customHeight="1" x14ac:dyDescent="0.25">
      <c r="A139" s="1191"/>
      <c r="B139" s="1143"/>
      <c r="C139" s="1143"/>
      <c r="D139" s="1135"/>
      <c r="E139" s="1145"/>
      <c r="F139" s="577"/>
      <c r="G139" s="577" t="s">
        <v>1635</v>
      </c>
      <c r="H139" s="578"/>
      <c r="I139" s="17"/>
      <c r="J139" s="17"/>
      <c r="K139" s="1144"/>
      <c r="L139" s="1145"/>
      <c r="M139" s="150"/>
      <c r="N139" s="151"/>
    </row>
    <row r="140" spans="1:14" ht="20.05" customHeight="1" x14ac:dyDescent="0.25">
      <c r="A140" s="1191"/>
      <c r="B140" s="1132" t="s">
        <v>1385</v>
      </c>
      <c r="C140" s="1132" t="s">
        <v>1386</v>
      </c>
      <c r="D140" s="1134">
        <v>2778651</v>
      </c>
      <c r="E140" s="1136" t="s">
        <v>520</v>
      </c>
      <c r="F140" s="1141">
        <v>43531</v>
      </c>
      <c r="G140" s="1141">
        <v>43555</v>
      </c>
      <c r="H140" s="1151" t="s">
        <v>66</v>
      </c>
      <c r="I140" s="564">
        <v>25</v>
      </c>
      <c r="J140" s="564" t="s">
        <v>4</v>
      </c>
      <c r="K140" s="1138" t="s">
        <v>1387</v>
      </c>
      <c r="L140" s="1136" t="s">
        <v>1388</v>
      </c>
      <c r="M140" s="572"/>
      <c r="N140" s="151"/>
    </row>
    <row r="141" spans="1:14" ht="20.05" customHeight="1" x14ac:dyDescent="0.25">
      <c r="A141" s="1191"/>
      <c r="B141" s="1133"/>
      <c r="C141" s="1133"/>
      <c r="D141" s="1135"/>
      <c r="E141" s="1137"/>
      <c r="F141" s="1142"/>
      <c r="G141" s="1142"/>
      <c r="H141" s="1153"/>
      <c r="I141" s="564">
        <v>25</v>
      </c>
      <c r="J141" s="564" t="s">
        <v>5</v>
      </c>
      <c r="K141" s="1139"/>
      <c r="L141" s="1137"/>
      <c r="M141" s="572"/>
      <c r="N141" s="151"/>
    </row>
    <row r="142" spans="1:14" ht="20.05" customHeight="1" x14ac:dyDescent="0.25">
      <c r="A142" s="1191"/>
      <c r="B142" s="442" t="s">
        <v>730</v>
      </c>
      <c r="C142" s="442" t="s">
        <v>731</v>
      </c>
      <c r="D142" s="585">
        <v>25900052</v>
      </c>
      <c r="E142" s="439" t="s">
        <v>732</v>
      </c>
      <c r="F142" s="568">
        <v>43528</v>
      </c>
      <c r="G142" s="568">
        <v>43555</v>
      </c>
      <c r="H142" s="569" t="s">
        <v>33</v>
      </c>
      <c r="I142" s="564">
        <v>12</v>
      </c>
      <c r="J142" s="564" t="s">
        <v>4</v>
      </c>
      <c r="K142" s="440">
        <v>3114233313</v>
      </c>
      <c r="L142" s="169" t="s">
        <v>733</v>
      </c>
      <c r="M142" s="150"/>
      <c r="N142" s="151"/>
    </row>
    <row r="143" spans="1:14" ht="20.05" customHeight="1" x14ac:dyDescent="0.25">
      <c r="A143" s="1191"/>
      <c r="B143" s="861" t="s">
        <v>734</v>
      </c>
      <c r="C143" s="861" t="s">
        <v>735</v>
      </c>
      <c r="D143" s="628">
        <v>25751201</v>
      </c>
      <c r="E143" s="629" t="s">
        <v>532</v>
      </c>
      <c r="F143" s="644">
        <v>43528</v>
      </c>
      <c r="G143" s="644">
        <v>43555</v>
      </c>
      <c r="H143" s="645" t="s">
        <v>33</v>
      </c>
      <c r="I143" s="630">
        <v>12</v>
      </c>
      <c r="J143" s="630" t="s">
        <v>4</v>
      </c>
      <c r="K143" s="646">
        <v>4599257</v>
      </c>
      <c r="L143" s="629" t="s">
        <v>318</v>
      </c>
      <c r="M143" s="1182" t="s">
        <v>1573</v>
      </c>
      <c r="N143" s="1183"/>
    </row>
    <row r="144" spans="1:14" ht="20.05" customHeight="1" x14ac:dyDescent="0.25">
      <c r="A144" s="1191"/>
      <c r="B144" s="1132" t="s">
        <v>737</v>
      </c>
      <c r="C144" s="1192" t="s">
        <v>738</v>
      </c>
      <c r="D144" s="586">
        <v>25758424</v>
      </c>
      <c r="E144" s="1136" t="s">
        <v>739</v>
      </c>
      <c r="F144" s="568">
        <v>43528</v>
      </c>
      <c r="G144" s="568">
        <v>43555</v>
      </c>
      <c r="H144" s="569" t="s">
        <v>33</v>
      </c>
      <c r="I144" s="564">
        <v>12</v>
      </c>
      <c r="J144" s="564" t="s">
        <v>4</v>
      </c>
      <c r="K144" s="1138" t="s">
        <v>740</v>
      </c>
      <c r="L144" s="1136" t="s">
        <v>741</v>
      </c>
      <c r="M144" s="233"/>
      <c r="N144" s="151"/>
    </row>
    <row r="145" spans="1:14" ht="20.05" hidden="1" customHeight="1" x14ac:dyDescent="0.25">
      <c r="A145" s="1191"/>
      <c r="B145" s="1133"/>
      <c r="C145" s="1193"/>
      <c r="D145" s="587"/>
      <c r="E145" s="1137"/>
      <c r="F145" s="577"/>
      <c r="G145" s="577"/>
      <c r="H145" s="578"/>
      <c r="I145" s="17"/>
      <c r="J145" s="17"/>
      <c r="K145" s="1139"/>
      <c r="L145" s="1137"/>
      <c r="M145" s="150"/>
      <c r="N145" s="151"/>
    </row>
    <row r="146" spans="1:14" ht="20.05" customHeight="1" x14ac:dyDescent="0.25">
      <c r="A146" s="1191"/>
      <c r="B146" s="857" t="s">
        <v>847</v>
      </c>
      <c r="C146" s="857" t="s">
        <v>848</v>
      </c>
      <c r="D146" s="587">
        <v>25765237</v>
      </c>
      <c r="E146" s="438" t="s">
        <v>514</v>
      </c>
      <c r="F146" s="568">
        <v>43528</v>
      </c>
      <c r="G146" s="568">
        <v>43555</v>
      </c>
      <c r="H146" s="569" t="s">
        <v>33</v>
      </c>
      <c r="I146" s="564">
        <v>12</v>
      </c>
      <c r="J146" s="564" t="s">
        <v>4</v>
      </c>
      <c r="K146" s="567" t="s">
        <v>996</v>
      </c>
      <c r="L146" s="222" t="s">
        <v>849</v>
      </c>
      <c r="M146" s="223"/>
      <c r="N146" s="151"/>
    </row>
    <row r="147" spans="1:14" ht="20.05" hidden="1" customHeight="1" x14ac:dyDescent="0.25">
      <c r="A147" s="1191"/>
      <c r="B147" s="857" t="s">
        <v>853</v>
      </c>
      <c r="C147" s="857" t="s">
        <v>854</v>
      </c>
      <c r="D147" s="587">
        <v>15017180</v>
      </c>
      <c r="E147" s="438" t="s">
        <v>855</v>
      </c>
      <c r="F147" s="577"/>
      <c r="G147" s="577"/>
      <c r="H147" s="578"/>
      <c r="I147" s="17"/>
      <c r="J147" s="17"/>
      <c r="K147" s="567">
        <v>3126460478</v>
      </c>
      <c r="L147" s="222" t="s">
        <v>856</v>
      </c>
      <c r="M147" s="223"/>
      <c r="N147" s="151"/>
    </row>
    <row r="148" spans="1:14" ht="20.05" customHeight="1" x14ac:dyDescent="0.25">
      <c r="A148" s="1191"/>
      <c r="B148" s="857" t="s">
        <v>877</v>
      </c>
      <c r="C148" s="857" t="s">
        <v>878</v>
      </c>
      <c r="D148" s="587">
        <v>25763301</v>
      </c>
      <c r="E148" s="438" t="s">
        <v>532</v>
      </c>
      <c r="F148" s="568">
        <v>43528</v>
      </c>
      <c r="G148" s="568">
        <v>43555</v>
      </c>
      <c r="H148" s="569" t="s">
        <v>33</v>
      </c>
      <c r="I148" s="564">
        <v>12</v>
      </c>
      <c r="J148" s="564" t="s">
        <v>4</v>
      </c>
      <c r="K148" s="567">
        <v>7865974</v>
      </c>
      <c r="L148" s="228" t="s">
        <v>879</v>
      </c>
      <c r="M148" s="229"/>
      <c r="N148" s="151"/>
    </row>
    <row r="149" spans="1:14" ht="20.05" customHeight="1" x14ac:dyDescent="0.25">
      <c r="A149" s="1191"/>
      <c r="B149" s="857" t="s">
        <v>1369</v>
      </c>
      <c r="C149" s="857" t="s">
        <v>1368</v>
      </c>
      <c r="D149" s="587">
        <v>34962109</v>
      </c>
      <c r="E149" s="546" t="s">
        <v>520</v>
      </c>
      <c r="F149" s="568">
        <v>43528</v>
      </c>
      <c r="G149" s="568">
        <v>43555</v>
      </c>
      <c r="H149" s="569" t="s">
        <v>33</v>
      </c>
      <c r="I149" s="564">
        <v>12</v>
      </c>
      <c r="J149" s="564" t="s">
        <v>4</v>
      </c>
      <c r="K149" s="567" t="s">
        <v>1370</v>
      </c>
      <c r="L149" s="546" t="s">
        <v>1371</v>
      </c>
      <c r="M149" s="548"/>
      <c r="N149" s="151"/>
    </row>
    <row r="150" spans="1:14" ht="20.05" customHeight="1" x14ac:dyDescent="0.25">
      <c r="A150" s="1191"/>
      <c r="B150" s="857" t="s">
        <v>861</v>
      </c>
      <c r="C150" s="857" t="s">
        <v>862</v>
      </c>
      <c r="D150" s="587">
        <v>25757263</v>
      </c>
      <c r="E150" s="438" t="s">
        <v>863</v>
      </c>
      <c r="F150" s="568">
        <v>43528</v>
      </c>
      <c r="G150" s="568">
        <v>43555</v>
      </c>
      <c r="H150" s="569" t="s">
        <v>33</v>
      </c>
      <c r="I150" s="564">
        <v>12</v>
      </c>
      <c r="J150" s="564" t="s">
        <v>4</v>
      </c>
      <c r="K150" s="567">
        <v>3013716845</v>
      </c>
      <c r="L150" s="228" t="s">
        <v>864</v>
      </c>
      <c r="M150" s="229"/>
      <c r="N150" s="151"/>
    </row>
    <row r="151" spans="1:14" s="560" customFormat="1" ht="20.05" customHeight="1" x14ac:dyDescent="0.25">
      <c r="A151" s="1191"/>
      <c r="B151" s="862" t="s">
        <v>850</v>
      </c>
      <c r="C151" s="863" t="s">
        <v>851</v>
      </c>
      <c r="D151" s="590">
        <v>25751951</v>
      </c>
      <c r="E151" s="357" t="s">
        <v>750</v>
      </c>
      <c r="F151" s="581">
        <v>43528</v>
      </c>
      <c r="G151" s="581">
        <v>43555</v>
      </c>
      <c r="H151" s="579" t="s">
        <v>33</v>
      </c>
      <c r="I151" s="357">
        <v>12</v>
      </c>
      <c r="J151" s="357" t="s">
        <v>4</v>
      </c>
      <c r="K151" s="559">
        <v>3148856380</v>
      </c>
      <c r="L151" s="523" t="s">
        <v>852</v>
      </c>
      <c r="M151" s="1179" t="s">
        <v>1382</v>
      </c>
      <c r="N151" s="1180"/>
    </row>
    <row r="152" spans="1:14" ht="20.05" hidden="1" customHeight="1" x14ac:dyDescent="0.25">
      <c r="A152" s="1191"/>
      <c r="B152" s="857" t="s">
        <v>772</v>
      </c>
      <c r="C152" s="442" t="s">
        <v>773</v>
      </c>
      <c r="D152" s="585">
        <v>25763155</v>
      </c>
      <c r="E152" s="439" t="s">
        <v>514</v>
      </c>
      <c r="F152" s="577"/>
      <c r="G152" s="577"/>
      <c r="H152" s="578"/>
      <c r="I152" s="17"/>
      <c r="J152" s="17"/>
      <c r="K152" s="567"/>
      <c r="L152" s="172"/>
      <c r="M152" s="169"/>
      <c r="N152" s="151"/>
    </row>
    <row r="153" spans="1:14" ht="20.05" hidden="1" customHeight="1" x14ac:dyDescent="0.25">
      <c r="A153" s="1191"/>
      <c r="B153" s="442" t="s">
        <v>746</v>
      </c>
      <c r="C153" s="442" t="s">
        <v>747</v>
      </c>
      <c r="D153" s="585">
        <v>6891726</v>
      </c>
      <c r="E153" s="157" t="s">
        <v>748</v>
      </c>
      <c r="F153" s="577"/>
      <c r="G153" s="577"/>
      <c r="H153" s="578"/>
      <c r="I153" s="17"/>
      <c r="J153" s="17"/>
      <c r="K153" s="567" t="s">
        <v>819</v>
      </c>
      <c r="L153" s="155" t="s">
        <v>886</v>
      </c>
      <c r="M153" s="156"/>
      <c r="N153" s="151"/>
    </row>
    <row r="154" spans="1:14" ht="20.05" hidden="1" customHeight="1" x14ac:dyDescent="0.25">
      <c r="A154" s="1191"/>
      <c r="B154" s="442" t="s">
        <v>752</v>
      </c>
      <c r="C154" s="442" t="s">
        <v>749</v>
      </c>
      <c r="D154" s="585">
        <v>25778030</v>
      </c>
      <c r="E154" s="178" t="s">
        <v>750</v>
      </c>
      <c r="F154" s="577"/>
      <c r="G154" s="577"/>
      <c r="H154" s="578"/>
      <c r="I154" s="17"/>
      <c r="J154" s="17"/>
      <c r="K154" s="567">
        <v>3157490621</v>
      </c>
      <c r="L154" s="155" t="s">
        <v>751</v>
      </c>
      <c r="M154" s="150"/>
      <c r="N154" s="151"/>
    </row>
    <row r="155" spans="1:14" ht="20.05" hidden="1" customHeight="1" x14ac:dyDescent="0.25">
      <c r="A155" s="1191"/>
      <c r="B155" s="857" t="s">
        <v>761</v>
      </c>
      <c r="C155" s="442" t="s">
        <v>762</v>
      </c>
      <c r="D155" s="585">
        <v>6868341</v>
      </c>
      <c r="E155" s="178" t="s">
        <v>763</v>
      </c>
      <c r="F155" s="577"/>
      <c r="G155" s="577"/>
      <c r="H155" s="578"/>
      <c r="I155" s="17"/>
      <c r="J155" s="17"/>
      <c r="K155" s="567">
        <v>3106164747</v>
      </c>
      <c r="L155" s="155" t="s">
        <v>764</v>
      </c>
      <c r="M155" s="150"/>
      <c r="N155" s="151"/>
    </row>
    <row r="156" spans="1:14" ht="20.05" customHeight="1" x14ac:dyDescent="0.25">
      <c r="A156" s="1191"/>
      <c r="B156" s="442" t="s">
        <v>717</v>
      </c>
      <c r="C156" s="442" t="s">
        <v>718</v>
      </c>
      <c r="D156" s="585">
        <v>25877307</v>
      </c>
      <c r="E156" s="439" t="s">
        <v>719</v>
      </c>
      <c r="F156" s="568">
        <v>43528</v>
      </c>
      <c r="G156" s="568">
        <v>43555</v>
      </c>
      <c r="H156" s="569" t="s">
        <v>33</v>
      </c>
      <c r="I156" s="564">
        <v>12</v>
      </c>
      <c r="J156" s="564" t="s">
        <v>4</v>
      </c>
      <c r="K156" s="440" t="s">
        <v>720</v>
      </c>
      <c r="L156" s="150" t="s">
        <v>721</v>
      </c>
      <c r="M156" s="157"/>
      <c r="N156" s="151"/>
    </row>
    <row r="157" spans="1:14" ht="20.05" customHeight="1" x14ac:dyDescent="0.25">
      <c r="A157" s="1191"/>
      <c r="B157" s="442" t="s">
        <v>1213</v>
      </c>
      <c r="C157" s="442" t="s">
        <v>1214</v>
      </c>
      <c r="D157" s="585">
        <v>8172332</v>
      </c>
      <c r="E157" s="468" t="s">
        <v>571</v>
      </c>
      <c r="F157" s="568">
        <v>43526</v>
      </c>
      <c r="G157" s="568">
        <v>43555</v>
      </c>
      <c r="H157" s="569" t="s">
        <v>33</v>
      </c>
      <c r="I157" s="564">
        <v>12</v>
      </c>
      <c r="J157" s="564" t="s">
        <v>4</v>
      </c>
      <c r="K157" s="440">
        <v>3127444774</v>
      </c>
      <c r="L157" s="468" t="s">
        <v>1259</v>
      </c>
      <c r="M157" s="157"/>
      <c r="N157" s="158"/>
    </row>
    <row r="158" spans="1:14" ht="20.05" customHeight="1" x14ac:dyDescent="0.25">
      <c r="A158" s="1191"/>
      <c r="B158" s="442" t="s">
        <v>980</v>
      </c>
      <c r="C158" s="442" t="s">
        <v>981</v>
      </c>
      <c r="D158" s="585">
        <v>25907980</v>
      </c>
      <c r="E158" s="439" t="s">
        <v>647</v>
      </c>
      <c r="F158" s="568">
        <v>43528</v>
      </c>
      <c r="G158" s="568">
        <v>43555</v>
      </c>
      <c r="H158" s="569" t="s">
        <v>33</v>
      </c>
      <c r="I158" s="564">
        <v>12</v>
      </c>
      <c r="J158" s="564" t="s">
        <v>4</v>
      </c>
      <c r="K158" s="440" t="s">
        <v>982</v>
      </c>
      <c r="L158" s="366" t="s">
        <v>983</v>
      </c>
      <c r="M158" s="157"/>
      <c r="N158" s="158"/>
    </row>
    <row r="159" spans="1:14" ht="20.05" customHeight="1" x14ac:dyDescent="0.25">
      <c r="A159" s="1191"/>
      <c r="B159" s="864" t="s">
        <v>698</v>
      </c>
      <c r="C159" s="864" t="s">
        <v>699</v>
      </c>
      <c r="D159" s="584">
        <v>26158393</v>
      </c>
      <c r="E159" s="437" t="s">
        <v>736</v>
      </c>
      <c r="F159" s="568">
        <v>43528</v>
      </c>
      <c r="G159" s="568">
        <v>43555</v>
      </c>
      <c r="H159" s="569" t="s">
        <v>33</v>
      </c>
      <c r="I159" s="564">
        <v>12</v>
      </c>
      <c r="J159" s="564" t="s">
        <v>4</v>
      </c>
      <c r="K159" s="575">
        <v>3126457569</v>
      </c>
      <c r="L159" s="154" t="s">
        <v>700</v>
      </c>
      <c r="M159" s="155"/>
      <c r="N159" s="158"/>
    </row>
    <row r="160" spans="1:14" ht="20.05" customHeight="1" x14ac:dyDescent="0.25">
      <c r="A160" s="1191"/>
      <c r="B160" s="1188" t="s">
        <v>150</v>
      </c>
      <c r="C160" s="1188" t="s">
        <v>101</v>
      </c>
      <c r="D160" s="1170">
        <v>25762427</v>
      </c>
      <c r="E160" s="1154" t="s">
        <v>520</v>
      </c>
      <c r="F160" s="1155">
        <v>43528</v>
      </c>
      <c r="G160" s="1155">
        <v>43555</v>
      </c>
      <c r="H160" s="1158" t="s">
        <v>66</v>
      </c>
      <c r="I160" s="837">
        <v>24</v>
      </c>
      <c r="J160" s="837" t="s">
        <v>4</v>
      </c>
      <c r="K160" s="1158" t="s">
        <v>513</v>
      </c>
      <c r="L160" s="1177" t="s">
        <v>801</v>
      </c>
      <c r="M160" s="1184" t="s">
        <v>1572</v>
      </c>
      <c r="N160" s="1185"/>
    </row>
    <row r="161" spans="1:14" ht="20.05" customHeight="1" x14ac:dyDescent="0.25">
      <c r="A161" s="1191"/>
      <c r="B161" s="1188"/>
      <c r="C161" s="1188"/>
      <c r="D161" s="1172"/>
      <c r="E161" s="1154"/>
      <c r="F161" s="1156"/>
      <c r="G161" s="1156"/>
      <c r="H161" s="1159"/>
      <c r="I161" s="837">
        <v>24</v>
      </c>
      <c r="J161" s="837" t="s">
        <v>5</v>
      </c>
      <c r="K161" s="1181"/>
      <c r="L161" s="1178"/>
      <c r="M161" s="1186"/>
      <c r="N161" s="1187"/>
    </row>
    <row r="162" spans="1:14" s="2" customFormat="1" ht="22.6" customHeight="1" x14ac:dyDescent="0.25">
      <c r="A162" s="1191"/>
      <c r="B162" s="1132" t="s">
        <v>90</v>
      </c>
      <c r="C162" s="1132" t="s">
        <v>575</v>
      </c>
      <c r="D162" s="586"/>
      <c r="E162" s="1136"/>
      <c r="F162" s="1141">
        <v>43528</v>
      </c>
      <c r="G162" s="1141">
        <v>43555</v>
      </c>
      <c r="H162" s="1151" t="s">
        <v>66</v>
      </c>
      <c r="I162" s="564">
        <v>20</v>
      </c>
      <c r="J162" s="564" t="s">
        <v>4</v>
      </c>
      <c r="K162" s="1138" t="s">
        <v>576</v>
      </c>
      <c r="L162" s="1136" t="s">
        <v>577</v>
      </c>
      <c r="M162" s="1176"/>
      <c r="N162" s="213"/>
    </row>
    <row r="163" spans="1:14" s="2" customFormat="1" ht="22.6" customHeight="1" x14ac:dyDescent="0.25">
      <c r="A163" s="1191"/>
      <c r="B163" s="1166"/>
      <c r="C163" s="1166"/>
      <c r="D163" s="584">
        <v>34956000</v>
      </c>
      <c r="E163" s="1140"/>
      <c r="F163" s="1150"/>
      <c r="G163" s="1150"/>
      <c r="H163" s="1152"/>
      <c r="I163" s="564">
        <v>20</v>
      </c>
      <c r="J163" s="564" t="s">
        <v>226</v>
      </c>
      <c r="K163" s="1149"/>
      <c r="L163" s="1140"/>
      <c r="M163" s="1176"/>
      <c r="N163" s="214"/>
    </row>
    <row r="164" spans="1:14" s="2" customFormat="1" ht="22.6" customHeight="1" x14ac:dyDescent="0.25">
      <c r="A164" s="1191"/>
      <c r="B164" s="1133"/>
      <c r="C164" s="1133"/>
      <c r="D164" s="587"/>
      <c r="E164" s="1137"/>
      <c r="F164" s="1142"/>
      <c r="G164" s="1142"/>
      <c r="H164" s="1153"/>
      <c r="I164" s="564">
        <v>20</v>
      </c>
      <c r="J164" s="564" t="s">
        <v>8</v>
      </c>
      <c r="K164" s="1139"/>
      <c r="L164" s="1137"/>
      <c r="M164" s="1176"/>
      <c r="N164" s="215"/>
    </row>
    <row r="165" spans="1:14" s="2" customFormat="1" ht="22.6" customHeight="1" x14ac:dyDescent="0.25">
      <c r="A165" s="1191"/>
      <c r="B165" s="1132" t="s">
        <v>221</v>
      </c>
      <c r="C165" s="1132" t="s">
        <v>222</v>
      </c>
      <c r="D165" s="586">
        <v>26186140</v>
      </c>
      <c r="E165" s="1138" t="s">
        <v>572</v>
      </c>
      <c r="F165" s="568">
        <v>43528</v>
      </c>
      <c r="G165" s="568">
        <v>43555</v>
      </c>
      <c r="H165" s="569" t="s">
        <v>33</v>
      </c>
      <c r="I165" s="564">
        <v>12</v>
      </c>
      <c r="J165" s="564" t="s">
        <v>4</v>
      </c>
      <c r="K165" s="1138">
        <v>3135338592</v>
      </c>
      <c r="L165" s="1136" t="s">
        <v>311</v>
      </c>
      <c r="M165" s="253"/>
      <c r="N165" s="254"/>
    </row>
    <row r="166" spans="1:14" s="2" customFormat="1" ht="22.6" hidden="1" customHeight="1" x14ac:dyDescent="0.25">
      <c r="A166" s="1191"/>
      <c r="B166" s="1133"/>
      <c r="C166" s="1133"/>
      <c r="D166" s="587"/>
      <c r="E166" s="1139"/>
      <c r="F166" s="577"/>
      <c r="G166" s="577"/>
      <c r="H166" s="578"/>
      <c r="I166" s="17"/>
      <c r="J166" s="17"/>
      <c r="K166" s="1139"/>
      <c r="L166" s="1137"/>
      <c r="M166" s="169"/>
      <c r="N166" s="169"/>
    </row>
    <row r="167" spans="1:14" ht="20.05" customHeight="1" x14ac:dyDescent="0.25">
      <c r="F167" s="160"/>
      <c r="G167" s="160"/>
      <c r="H167" s="580"/>
      <c r="I167" s="381"/>
      <c r="J167" s="381"/>
    </row>
    <row r="168" spans="1:14" ht="20.05" customHeight="1" x14ac:dyDescent="0.25">
      <c r="F168" s="160"/>
      <c r="G168" s="160"/>
      <c r="H168" s="580"/>
      <c r="I168" s="381"/>
      <c r="J168" s="381"/>
    </row>
    <row r="169" spans="1:14" ht="20.05" customHeight="1" x14ac:dyDescent="0.25">
      <c r="J169" s="381"/>
    </row>
    <row r="170" spans="1:14" ht="20.05" customHeight="1" x14ac:dyDescent="0.25">
      <c r="C170" s="865"/>
      <c r="D170" s="592"/>
      <c r="J170" s="381"/>
    </row>
    <row r="171" spans="1:14" ht="20.05" customHeight="1" x14ac:dyDescent="0.25">
      <c r="J171" s="381"/>
    </row>
    <row r="172" spans="1:14" ht="20.05" customHeight="1" x14ac:dyDescent="0.25">
      <c r="J172" s="381"/>
    </row>
  </sheetData>
  <autoFilter ref="A1:N166"/>
  <mergeCells count="227">
    <mergeCell ref="B6:B7"/>
    <mergeCell ref="C6:C7"/>
    <mergeCell ref="D6:D7"/>
    <mergeCell ref="E6:E7"/>
    <mergeCell ref="F6:F7"/>
    <mergeCell ref="G6:G7"/>
    <mergeCell ref="H6:H7"/>
    <mergeCell ref="K6:K7"/>
    <mergeCell ref="L6:L7"/>
    <mergeCell ref="B140:B141"/>
    <mergeCell ref="C140:C141"/>
    <mergeCell ref="B115:B116"/>
    <mergeCell ref="M53:N53"/>
    <mergeCell ref="M41:M44"/>
    <mergeCell ref="M87:M89"/>
    <mergeCell ref="E126:E128"/>
    <mergeCell ref="E111:E112"/>
    <mergeCell ref="M111:M112"/>
    <mergeCell ref="K83:K86"/>
    <mergeCell ref="L83:L86"/>
    <mergeCell ref="K91:K94"/>
    <mergeCell ref="M122:M125"/>
    <mergeCell ref="M91:M94"/>
    <mergeCell ref="F106:F107"/>
    <mergeCell ref="G106:G107"/>
    <mergeCell ref="H106:H107"/>
    <mergeCell ref="F85:F86"/>
    <mergeCell ref="F91:F93"/>
    <mergeCell ref="G91:G93"/>
    <mergeCell ref="H91:H93"/>
    <mergeCell ref="E46:E47"/>
    <mergeCell ref="B133:B135"/>
    <mergeCell ref="C133:C135"/>
    <mergeCell ref="C122:C125"/>
    <mergeCell ref="B122:B125"/>
    <mergeCell ref="B113:B114"/>
    <mergeCell ref="E113:E114"/>
    <mergeCell ref="E91:E94"/>
    <mergeCell ref="B105:B107"/>
    <mergeCell ref="E109:E110"/>
    <mergeCell ref="B109:B110"/>
    <mergeCell ref="C111:C112"/>
    <mergeCell ref="C115:C116"/>
    <mergeCell ref="A2:A166"/>
    <mergeCell ref="B91:B94"/>
    <mergeCell ref="C91:C94"/>
    <mergeCell ref="C3:C5"/>
    <mergeCell ref="B83:B86"/>
    <mergeCell ref="C83:C86"/>
    <mergeCell ref="B3:B5"/>
    <mergeCell ref="B80:B82"/>
    <mergeCell ref="C80:C82"/>
    <mergeCell ref="B41:B44"/>
    <mergeCell ref="C41:C44"/>
    <mergeCell ref="B14:B17"/>
    <mergeCell ref="C14:C17"/>
    <mergeCell ref="C137:C139"/>
    <mergeCell ref="B111:B112"/>
    <mergeCell ref="C113:C114"/>
    <mergeCell ref="C126:C128"/>
    <mergeCell ref="B126:B128"/>
    <mergeCell ref="C162:C164"/>
    <mergeCell ref="B144:B145"/>
    <mergeCell ref="C144:C145"/>
    <mergeCell ref="C109:C110"/>
    <mergeCell ref="B137:B139"/>
    <mergeCell ref="B87:B89"/>
    <mergeCell ref="B165:B166"/>
    <mergeCell ref="C165:C166"/>
    <mergeCell ref="C105:C107"/>
    <mergeCell ref="C31:C33"/>
    <mergeCell ref="B160:B161"/>
    <mergeCell ref="C160:C161"/>
    <mergeCell ref="B162:B164"/>
    <mergeCell ref="B46:B47"/>
    <mergeCell ref="L3:L5"/>
    <mergeCell ref="K3:K5"/>
    <mergeCell ref="K14:K17"/>
    <mergeCell ref="B27:B30"/>
    <mergeCell ref="C27:C30"/>
    <mergeCell ref="E27:E30"/>
    <mergeCell ref="E3:E5"/>
    <mergeCell ref="E14:E17"/>
    <mergeCell ref="H27:H30"/>
    <mergeCell ref="G27:G30"/>
    <mergeCell ref="F27:F30"/>
    <mergeCell ref="F4:F5"/>
    <mergeCell ref="G4:G5"/>
    <mergeCell ref="H4:H5"/>
    <mergeCell ref="L14:L17"/>
    <mergeCell ref="K27:K30"/>
    <mergeCell ref="M162:M164"/>
    <mergeCell ref="L160:L161"/>
    <mergeCell ref="K126:K128"/>
    <mergeCell ref="K122:K125"/>
    <mergeCell ref="L122:L125"/>
    <mergeCell ref="K115:K116"/>
    <mergeCell ref="K137:K139"/>
    <mergeCell ref="L137:L139"/>
    <mergeCell ref="K133:K135"/>
    <mergeCell ref="L115:L116"/>
    <mergeCell ref="L126:L128"/>
    <mergeCell ref="L133:L135"/>
    <mergeCell ref="K144:K145"/>
    <mergeCell ref="L144:L145"/>
    <mergeCell ref="M151:N151"/>
    <mergeCell ref="K160:K161"/>
    <mergeCell ref="M117:N117"/>
    <mergeCell ref="M160:N161"/>
    <mergeCell ref="M143:N143"/>
    <mergeCell ref="D160:D161"/>
    <mergeCell ref="D122:D125"/>
    <mergeCell ref="D126:D128"/>
    <mergeCell ref="D140:D141"/>
    <mergeCell ref="E144:E145"/>
    <mergeCell ref="F46:F47"/>
    <mergeCell ref="G46:G47"/>
    <mergeCell ref="K46:K47"/>
    <mergeCell ref="K113:K114"/>
    <mergeCell ref="E105:E107"/>
    <mergeCell ref="E122:E125"/>
    <mergeCell ref="D3:D5"/>
    <mergeCell ref="D27:D30"/>
    <mergeCell ref="D14:D17"/>
    <mergeCell ref="M100:N100"/>
    <mergeCell ref="H88:H89"/>
    <mergeCell ref="L87:L89"/>
    <mergeCell ref="K87:K89"/>
    <mergeCell ref="L91:L94"/>
    <mergeCell ref="G42:G44"/>
    <mergeCell ref="H42:H44"/>
    <mergeCell ref="K80:K82"/>
    <mergeCell ref="L113:L114"/>
    <mergeCell ref="L111:L112"/>
    <mergeCell ref="L105:L107"/>
    <mergeCell ref="C87:C89"/>
    <mergeCell ref="K50:K51"/>
    <mergeCell ref="H80:H82"/>
    <mergeCell ref="D115:D116"/>
    <mergeCell ref="K109:K110"/>
    <mergeCell ref="E41:E43"/>
    <mergeCell ref="K105:K107"/>
    <mergeCell ref="K111:K112"/>
    <mergeCell ref="H111:H112"/>
    <mergeCell ref="E80:E82"/>
    <mergeCell ref="D41:D44"/>
    <mergeCell ref="D80:D82"/>
    <mergeCell ref="D50:D51"/>
    <mergeCell ref="C46:C47"/>
    <mergeCell ref="D46:D47"/>
    <mergeCell ref="G80:G82"/>
    <mergeCell ref="F80:F82"/>
    <mergeCell ref="K41:K44"/>
    <mergeCell ref="C50:C51"/>
    <mergeCell ref="E50:E51"/>
    <mergeCell ref="F42:F44"/>
    <mergeCell ref="M101:N101"/>
    <mergeCell ref="F137:F138"/>
    <mergeCell ref="G137:G138"/>
    <mergeCell ref="D137:D139"/>
    <mergeCell ref="E133:E135"/>
    <mergeCell ref="D133:D135"/>
    <mergeCell ref="D111:D112"/>
    <mergeCell ref="D83:D86"/>
    <mergeCell ref="D109:D110"/>
    <mergeCell ref="D91:D94"/>
    <mergeCell ref="G85:G86"/>
    <mergeCell ref="H85:H86"/>
    <mergeCell ref="F88:F89"/>
    <mergeCell ref="G88:G89"/>
    <mergeCell ref="G127:G128"/>
    <mergeCell ref="D105:D107"/>
    <mergeCell ref="F127:F128"/>
    <mergeCell ref="G111:G112"/>
    <mergeCell ref="F111:F112"/>
    <mergeCell ref="E115:E116"/>
    <mergeCell ref="E83:E86"/>
    <mergeCell ref="E87:E89"/>
    <mergeCell ref="L109:L110"/>
    <mergeCell ref="H127:H128"/>
    <mergeCell ref="E165:E166"/>
    <mergeCell ref="K165:K166"/>
    <mergeCell ref="L165:L166"/>
    <mergeCell ref="K162:K164"/>
    <mergeCell ref="L162:L164"/>
    <mergeCell ref="E162:E164"/>
    <mergeCell ref="F123:F125"/>
    <mergeCell ref="G123:G125"/>
    <mergeCell ref="E137:E139"/>
    <mergeCell ref="H162:H164"/>
    <mergeCell ref="E160:E161"/>
    <mergeCell ref="F160:F161"/>
    <mergeCell ref="G160:G161"/>
    <mergeCell ref="F162:F164"/>
    <mergeCell ref="G162:G164"/>
    <mergeCell ref="E140:E141"/>
    <mergeCell ref="F140:F141"/>
    <mergeCell ref="G140:G141"/>
    <mergeCell ref="H123:H125"/>
    <mergeCell ref="H140:H141"/>
    <mergeCell ref="K140:K141"/>
    <mergeCell ref="L140:L141"/>
    <mergeCell ref="H137:H138"/>
    <mergeCell ref="H160:H161"/>
    <mergeCell ref="B19:B20"/>
    <mergeCell ref="C19:C20"/>
    <mergeCell ref="D19:D20"/>
    <mergeCell ref="E19:E20"/>
    <mergeCell ref="K19:K20"/>
    <mergeCell ref="L19:L20"/>
    <mergeCell ref="M83:M86"/>
    <mergeCell ref="F83:F84"/>
    <mergeCell ref="G83:G84"/>
    <mergeCell ref="L46:L47"/>
    <mergeCell ref="B50:B51"/>
    <mergeCell ref="B31:B33"/>
    <mergeCell ref="K31:K33"/>
    <mergeCell ref="L31:L33"/>
    <mergeCell ref="F32:F33"/>
    <mergeCell ref="G32:G33"/>
    <mergeCell ref="H32:H33"/>
    <mergeCell ref="E31:E33"/>
    <mergeCell ref="L41:L44"/>
    <mergeCell ref="D31:D33"/>
    <mergeCell ref="L50:L51"/>
    <mergeCell ref="L80:L82"/>
    <mergeCell ref="L27:L30"/>
  </mergeCells>
  <pageMargins left="0.70866141732283472" right="0.70866141732283472" top="0.55118110236220474" bottom="0.55118110236220474" header="0.31496062992125984" footer="0.31496062992125984"/>
  <pageSetup scale="52" fitToHeight="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16"/>
  <sheetViews>
    <sheetView zoomScaleNormal="100" workbookViewId="0">
      <pane ySplit="1" topLeftCell="A104" activePane="bottomLeft" state="frozen"/>
      <selection pane="bottomLeft" activeCell="E110" sqref="E110"/>
    </sheetView>
  </sheetViews>
  <sheetFormatPr baseColWidth="10" defaultColWidth="11.375" defaultRowHeight="30.1" customHeight="1" x14ac:dyDescent="0.25"/>
  <cols>
    <col min="1" max="1" width="5" style="5" customWidth="1"/>
    <col min="2" max="2" width="17.625" style="1" customWidth="1"/>
    <col min="3" max="3" width="22.375" style="1" customWidth="1"/>
    <col min="4" max="4" width="4.25" style="1" customWidth="1"/>
    <col min="5" max="5" width="14.875" style="606" customWidth="1"/>
    <col min="6" max="7" width="14.375" style="1" customWidth="1"/>
    <col min="8" max="8" width="13.25" style="1" customWidth="1"/>
    <col min="9" max="9" width="12.375" style="355" customWidth="1"/>
    <col min="10" max="10" width="5.875" style="114" customWidth="1"/>
    <col min="11" max="11" width="5.375" style="114" customWidth="1"/>
    <col min="12" max="13" width="7.375" style="1" customWidth="1"/>
    <col min="14" max="14" width="20.375" style="1" customWidth="1"/>
    <col min="15" max="15" width="45.125" style="1" customWidth="1"/>
    <col min="16" max="16" width="23.75" style="1" customWidth="1"/>
    <col min="17" max="16384" width="11.375" style="1"/>
  </cols>
  <sheetData>
    <row r="1" spans="1:16" ht="30.1" customHeight="1" x14ac:dyDescent="0.25">
      <c r="A1" s="161" t="s">
        <v>350</v>
      </c>
      <c r="B1" s="162" t="s">
        <v>351</v>
      </c>
      <c r="C1" s="162" t="s">
        <v>352</v>
      </c>
      <c r="D1" s="162" t="s">
        <v>353</v>
      </c>
      <c r="E1" s="693" t="s">
        <v>354</v>
      </c>
      <c r="F1" s="162" t="s">
        <v>355</v>
      </c>
      <c r="G1" s="162" t="s">
        <v>505</v>
      </c>
      <c r="H1" s="162" t="s">
        <v>12</v>
      </c>
      <c r="I1" s="162" t="s">
        <v>1503</v>
      </c>
      <c r="J1" s="694" t="s">
        <v>1</v>
      </c>
      <c r="K1" s="694" t="s">
        <v>2</v>
      </c>
      <c r="L1" s="695" t="s">
        <v>358</v>
      </c>
      <c r="M1" s="162" t="s">
        <v>359</v>
      </c>
      <c r="N1" s="162" t="s">
        <v>406</v>
      </c>
      <c r="O1" s="162" t="s">
        <v>3</v>
      </c>
      <c r="P1" s="696" t="s">
        <v>978</v>
      </c>
    </row>
    <row r="2" spans="1:16" ht="30.1" customHeight="1" x14ac:dyDescent="0.25">
      <c r="A2" s="1219">
        <v>1</v>
      </c>
      <c r="B2" s="1212" t="s">
        <v>410</v>
      </c>
      <c r="C2" s="1212" t="s">
        <v>411</v>
      </c>
      <c r="D2" s="1207" t="s">
        <v>361</v>
      </c>
      <c r="E2" s="1209">
        <v>26174568</v>
      </c>
      <c r="F2" s="633" t="s">
        <v>367</v>
      </c>
      <c r="G2" s="1212" t="s">
        <v>515</v>
      </c>
      <c r="H2" s="634" t="s">
        <v>9</v>
      </c>
      <c r="I2" s="1210" t="s">
        <v>412</v>
      </c>
      <c r="J2" s="1221">
        <v>1</v>
      </c>
      <c r="K2" s="1221">
        <v>30</v>
      </c>
      <c r="L2" s="634">
        <v>12</v>
      </c>
      <c r="M2" s="634" t="s">
        <v>4</v>
      </c>
      <c r="N2" s="634" t="s">
        <v>10</v>
      </c>
      <c r="O2" s="637"/>
      <c r="P2" s="637"/>
    </row>
    <row r="3" spans="1:16" ht="30.1" customHeight="1" x14ac:dyDescent="0.25">
      <c r="A3" s="1219"/>
      <c r="B3" s="1212"/>
      <c r="C3" s="1212"/>
      <c r="D3" s="1207"/>
      <c r="E3" s="1209"/>
      <c r="F3" s="633" t="s">
        <v>367</v>
      </c>
      <c r="G3" s="1212"/>
      <c r="H3" s="634" t="s">
        <v>9</v>
      </c>
      <c r="I3" s="1210"/>
      <c r="J3" s="1221"/>
      <c r="K3" s="1221"/>
      <c r="L3" s="634">
        <v>12</v>
      </c>
      <c r="M3" s="634" t="s">
        <v>226</v>
      </c>
      <c r="N3" s="637" t="s">
        <v>381</v>
      </c>
      <c r="O3" s="637"/>
      <c r="P3" s="637"/>
    </row>
    <row r="4" spans="1:16" ht="30.1" customHeight="1" x14ac:dyDescent="0.25">
      <c r="A4" s="1219"/>
      <c r="B4" s="1212"/>
      <c r="C4" s="1212"/>
      <c r="D4" s="1207"/>
      <c r="E4" s="1209"/>
      <c r="F4" s="633" t="s">
        <v>367</v>
      </c>
      <c r="G4" s="1212"/>
      <c r="H4" s="634" t="s">
        <v>9</v>
      </c>
      <c r="I4" s="1210"/>
      <c r="J4" s="1221"/>
      <c r="K4" s="1221"/>
      <c r="L4" s="634">
        <v>12</v>
      </c>
      <c r="M4" s="634" t="s">
        <v>8</v>
      </c>
      <c r="N4" s="634" t="s">
        <v>398</v>
      </c>
      <c r="O4" s="637"/>
      <c r="P4" s="637"/>
    </row>
    <row r="5" spans="1:16" ht="30.1" customHeight="1" x14ac:dyDescent="0.25">
      <c r="A5" s="636">
        <v>2</v>
      </c>
      <c r="B5" s="634" t="s">
        <v>417</v>
      </c>
      <c r="C5" s="634" t="s">
        <v>418</v>
      </c>
      <c r="D5" s="637" t="s">
        <v>361</v>
      </c>
      <c r="E5" s="638">
        <v>78301572</v>
      </c>
      <c r="F5" s="633" t="s">
        <v>419</v>
      </c>
      <c r="G5" s="640" t="s">
        <v>540</v>
      </c>
      <c r="H5" s="634" t="s">
        <v>15</v>
      </c>
      <c r="I5" s="353" t="s">
        <v>420</v>
      </c>
      <c r="J5" s="641">
        <v>1</v>
      </c>
      <c r="K5" s="641">
        <v>30</v>
      </c>
      <c r="L5" s="634">
        <v>20</v>
      </c>
      <c r="M5" s="634" t="s">
        <v>4</v>
      </c>
      <c r="N5" s="634" t="s">
        <v>16</v>
      </c>
      <c r="O5" s="634" t="s">
        <v>1381</v>
      </c>
      <c r="P5" s="634"/>
    </row>
    <row r="6" spans="1:16" ht="33.799999999999997" customHeight="1" x14ac:dyDescent="0.25">
      <c r="A6" s="1219">
        <v>3</v>
      </c>
      <c r="B6" s="1212" t="s">
        <v>423</v>
      </c>
      <c r="C6" s="1212" t="s">
        <v>424</v>
      </c>
      <c r="D6" s="1207" t="s">
        <v>361</v>
      </c>
      <c r="E6" s="1209">
        <v>1067922440</v>
      </c>
      <c r="F6" s="634" t="s">
        <v>378</v>
      </c>
      <c r="G6" s="1212" t="s">
        <v>528</v>
      </c>
      <c r="H6" s="634" t="s">
        <v>425</v>
      </c>
      <c r="I6" s="1210">
        <v>3106613592</v>
      </c>
      <c r="J6" s="1211">
        <v>8</v>
      </c>
      <c r="K6" s="1211">
        <v>7</v>
      </c>
      <c r="L6" s="163">
        <v>20</v>
      </c>
      <c r="M6" s="163" t="s">
        <v>4</v>
      </c>
      <c r="N6" s="163" t="s">
        <v>409</v>
      </c>
      <c r="O6" s="1250" t="s">
        <v>1474</v>
      </c>
      <c r="P6" s="1207"/>
    </row>
    <row r="7" spans="1:16" ht="25.5" customHeight="1" x14ac:dyDescent="0.25">
      <c r="A7" s="1219"/>
      <c r="B7" s="1212"/>
      <c r="C7" s="1212"/>
      <c r="D7" s="1207"/>
      <c r="E7" s="1209"/>
      <c r="F7" s="634" t="s">
        <v>378</v>
      </c>
      <c r="G7" s="1212"/>
      <c r="H7" s="634" t="s">
        <v>425</v>
      </c>
      <c r="I7" s="1210"/>
      <c r="J7" s="1211"/>
      <c r="K7" s="1211"/>
      <c r="L7" s="163">
        <v>4</v>
      </c>
      <c r="M7" s="163" t="s">
        <v>8</v>
      </c>
      <c r="N7" s="163" t="s">
        <v>409</v>
      </c>
      <c r="O7" s="1251"/>
      <c r="P7" s="1207"/>
    </row>
    <row r="8" spans="1:16" ht="25.5" customHeight="1" x14ac:dyDescent="0.25">
      <c r="A8" s="1219"/>
      <c r="B8" s="1212"/>
      <c r="C8" s="1212"/>
      <c r="D8" s="1207"/>
      <c r="E8" s="1209"/>
      <c r="F8" s="634" t="s">
        <v>378</v>
      </c>
      <c r="G8" s="1212"/>
      <c r="H8" s="634" t="s">
        <v>425</v>
      </c>
      <c r="I8" s="1210"/>
      <c r="J8" s="1211"/>
      <c r="K8" s="1211"/>
      <c r="L8" s="163">
        <v>1</v>
      </c>
      <c r="M8" s="163" t="s">
        <v>225</v>
      </c>
      <c r="N8" s="163" t="s">
        <v>426</v>
      </c>
      <c r="O8" s="1251"/>
      <c r="P8" s="163"/>
    </row>
    <row r="9" spans="1:16" s="2" customFormat="1" ht="30.1" customHeight="1" x14ac:dyDescent="0.25">
      <c r="A9" s="1219"/>
      <c r="B9" s="1212"/>
      <c r="C9" s="1212"/>
      <c r="D9" s="1207"/>
      <c r="E9" s="1209"/>
      <c r="F9" s="634" t="s">
        <v>378</v>
      </c>
      <c r="G9" s="1212"/>
      <c r="H9" s="634" t="s">
        <v>425</v>
      </c>
      <c r="I9" s="1210"/>
      <c r="J9" s="1211"/>
      <c r="K9" s="1211"/>
      <c r="L9" s="634">
        <v>16</v>
      </c>
      <c r="M9" s="634" t="s">
        <v>226</v>
      </c>
      <c r="N9" s="634" t="s">
        <v>409</v>
      </c>
      <c r="O9" s="1252"/>
      <c r="P9" s="634"/>
    </row>
    <row r="10" spans="1:16" s="2" customFormat="1" ht="30.1" customHeight="1" x14ac:dyDescent="0.25">
      <c r="A10" s="1219">
        <v>4</v>
      </c>
      <c r="B10" s="1212" t="s">
        <v>427</v>
      </c>
      <c r="C10" s="1212" t="s">
        <v>428</v>
      </c>
      <c r="D10" s="1207" t="s">
        <v>361</v>
      </c>
      <c r="E10" s="1209">
        <v>1003644606</v>
      </c>
      <c r="F10" s="634" t="s">
        <v>378</v>
      </c>
      <c r="G10" s="1212" t="s">
        <v>518</v>
      </c>
      <c r="H10" s="634" t="s">
        <v>429</v>
      </c>
      <c r="I10" s="1232">
        <v>3215976449</v>
      </c>
      <c r="J10" s="1211">
        <v>5</v>
      </c>
      <c r="K10" s="1211">
        <v>4</v>
      </c>
      <c r="L10" s="634">
        <v>12</v>
      </c>
      <c r="M10" s="634" t="s">
        <v>4</v>
      </c>
      <c r="N10" s="634" t="s">
        <v>685</v>
      </c>
      <c r="O10" s="1212" t="s">
        <v>1594</v>
      </c>
      <c r="P10" s="1212" t="s">
        <v>987</v>
      </c>
    </row>
    <row r="11" spans="1:16" s="2" customFormat="1" ht="31.6" customHeight="1" x14ac:dyDescent="0.25">
      <c r="A11" s="1219"/>
      <c r="B11" s="1212"/>
      <c r="C11" s="1212"/>
      <c r="D11" s="1207"/>
      <c r="E11" s="1209"/>
      <c r="F11" s="634" t="s">
        <v>378</v>
      </c>
      <c r="G11" s="1212"/>
      <c r="H11" s="634" t="s">
        <v>429</v>
      </c>
      <c r="I11" s="1232"/>
      <c r="J11" s="1211"/>
      <c r="K11" s="1211"/>
      <c r="L11" s="634">
        <v>30</v>
      </c>
      <c r="M11" s="634" t="s">
        <v>5</v>
      </c>
      <c r="N11" s="634" t="s">
        <v>685</v>
      </c>
      <c r="O11" s="1212"/>
      <c r="P11" s="1212"/>
    </row>
    <row r="12" spans="1:16" ht="30.1" customHeight="1" x14ac:dyDescent="0.25">
      <c r="A12" s="1219">
        <v>5</v>
      </c>
      <c r="B12" s="1212" t="s">
        <v>430</v>
      </c>
      <c r="C12" s="1212" t="s">
        <v>431</v>
      </c>
      <c r="D12" s="1207" t="s">
        <v>361</v>
      </c>
      <c r="E12" s="1209">
        <v>4021122</v>
      </c>
      <c r="F12" s="634" t="s">
        <v>378</v>
      </c>
      <c r="G12" s="1212" t="s">
        <v>544</v>
      </c>
      <c r="H12" s="634" t="s">
        <v>19</v>
      </c>
      <c r="I12" s="1242">
        <v>3004931017</v>
      </c>
      <c r="J12" s="1211">
        <v>10</v>
      </c>
      <c r="K12" s="1211">
        <v>9</v>
      </c>
      <c r="L12" s="634">
        <v>12</v>
      </c>
      <c r="M12" s="634" t="s">
        <v>4</v>
      </c>
      <c r="N12" s="634" t="s">
        <v>18</v>
      </c>
      <c r="O12" s="1215" t="s">
        <v>1475</v>
      </c>
      <c r="P12" s="634"/>
    </row>
    <row r="13" spans="1:16" ht="30.1" customHeight="1" x14ac:dyDescent="0.25">
      <c r="A13" s="1219"/>
      <c r="B13" s="1212"/>
      <c r="C13" s="1212"/>
      <c r="D13" s="1207"/>
      <c r="E13" s="1209"/>
      <c r="F13" s="634" t="s">
        <v>378</v>
      </c>
      <c r="G13" s="1212"/>
      <c r="H13" s="634" t="s">
        <v>19</v>
      </c>
      <c r="I13" s="1242"/>
      <c r="J13" s="1211"/>
      <c r="K13" s="1211"/>
      <c r="L13" s="634">
        <v>12</v>
      </c>
      <c r="M13" s="634" t="s">
        <v>226</v>
      </c>
      <c r="N13" s="634" t="s">
        <v>216</v>
      </c>
      <c r="O13" s="1217"/>
      <c r="P13" s="634"/>
    </row>
    <row r="14" spans="1:16" ht="18.7" customHeight="1" x14ac:dyDescent="0.25">
      <c r="A14" s="1219">
        <v>6</v>
      </c>
      <c r="B14" s="1212" t="s">
        <v>432</v>
      </c>
      <c r="C14" s="1212" t="s">
        <v>433</v>
      </c>
      <c r="D14" s="1207" t="s">
        <v>361</v>
      </c>
      <c r="E14" s="1209">
        <v>1067938627</v>
      </c>
      <c r="F14" s="634" t="s">
        <v>378</v>
      </c>
      <c r="G14" s="1212" t="s">
        <v>546</v>
      </c>
      <c r="H14" s="634" t="s">
        <v>425</v>
      </c>
      <c r="I14" s="1242"/>
      <c r="J14" s="1211">
        <v>12</v>
      </c>
      <c r="K14" s="1211">
        <v>11</v>
      </c>
      <c r="L14" s="634">
        <v>60</v>
      </c>
      <c r="M14" s="634" t="s">
        <v>5</v>
      </c>
      <c r="N14" s="1212" t="s">
        <v>409</v>
      </c>
      <c r="O14" s="1212"/>
      <c r="P14" s="634"/>
    </row>
    <row r="15" spans="1:16" ht="18.7" customHeight="1" x14ac:dyDescent="0.25">
      <c r="A15" s="1219"/>
      <c r="B15" s="1212"/>
      <c r="C15" s="1212"/>
      <c r="D15" s="1207"/>
      <c r="E15" s="1209"/>
      <c r="F15" s="634" t="s">
        <v>378</v>
      </c>
      <c r="G15" s="1212"/>
      <c r="H15" s="634" t="s">
        <v>425</v>
      </c>
      <c r="I15" s="1242"/>
      <c r="J15" s="1211"/>
      <c r="K15" s="1211"/>
      <c r="L15" s="634">
        <v>30</v>
      </c>
      <c r="M15" s="634" t="s">
        <v>4</v>
      </c>
      <c r="N15" s="1212"/>
      <c r="O15" s="1212"/>
      <c r="P15" s="1207"/>
    </row>
    <row r="16" spans="1:16" ht="18" customHeight="1" x14ac:dyDescent="0.25">
      <c r="A16" s="1219"/>
      <c r="B16" s="1212"/>
      <c r="C16" s="1212"/>
      <c r="D16" s="1207"/>
      <c r="E16" s="1209"/>
      <c r="F16" s="634" t="s">
        <v>378</v>
      </c>
      <c r="G16" s="1212"/>
      <c r="H16" s="634" t="s">
        <v>425</v>
      </c>
      <c r="I16" s="1242"/>
      <c r="J16" s="1211"/>
      <c r="K16" s="1211"/>
      <c r="L16" s="634">
        <v>4</v>
      </c>
      <c r="M16" s="634" t="s">
        <v>8</v>
      </c>
      <c r="N16" s="1212"/>
      <c r="O16" s="1212"/>
      <c r="P16" s="1207"/>
    </row>
    <row r="17" spans="1:16" ht="16.5" customHeight="1" x14ac:dyDescent="0.25">
      <c r="A17" s="1219"/>
      <c r="B17" s="1212"/>
      <c r="C17" s="1212"/>
      <c r="D17" s="1207"/>
      <c r="E17" s="1209"/>
      <c r="F17" s="634" t="s">
        <v>378</v>
      </c>
      <c r="G17" s="1212"/>
      <c r="H17" s="634" t="s">
        <v>425</v>
      </c>
      <c r="I17" s="1242"/>
      <c r="J17" s="1211"/>
      <c r="K17" s="1211"/>
      <c r="L17" s="634">
        <v>1</v>
      </c>
      <c r="M17" s="634" t="s">
        <v>225</v>
      </c>
      <c r="N17" s="1212"/>
      <c r="O17" s="1212"/>
      <c r="P17" s="634"/>
    </row>
    <row r="18" spans="1:16" ht="20.25" customHeight="1" x14ac:dyDescent="0.25">
      <c r="A18" s="1219"/>
      <c r="B18" s="1212"/>
      <c r="C18" s="1212"/>
      <c r="D18" s="1207"/>
      <c r="E18" s="1209"/>
      <c r="F18" s="634" t="s">
        <v>378</v>
      </c>
      <c r="G18" s="1212"/>
      <c r="H18" s="634" t="s">
        <v>425</v>
      </c>
      <c r="I18" s="1242"/>
      <c r="J18" s="1211"/>
      <c r="K18" s="1211"/>
      <c r="L18" s="634">
        <v>4</v>
      </c>
      <c r="M18" s="634" t="s">
        <v>226</v>
      </c>
      <c r="N18" s="1212"/>
      <c r="O18" s="1212"/>
      <c r="P18" s="634"/>
    </row>
    <row r="19" spans="1:16" ht="22.6" customHeight="1" x14ac:dyDescent="0.25">
      <c r="A19" s="1219">
        <v>7</v>
      </c>
      <c r="B19" s="1212" t="s">
        <v>434</v>
      </c>
      <c r="C19" s="1212" t="s">
        <v>435</v>
      </c>
      <c r="D19" s="1207" t="s">
        <v>361</v>
      </c>
      <c r="E19" s="1209">
        <v>1003004997</v>
      </c>
      <c r="F19" s="634" t="s">
        <v>378</v>
      </c>
      <c r="G19" s="1212" t="s">
        <v>528</v>
      </c>
      <c r="H19" s="634" t="s">
        <v>425</v>
      </c>
      <c r="I19" s="1242"/>
      <c r="J19" s="1211">
        <v>4</v>
      </c>
      <c r="K19" s="1211">
        <v>3</v>
      </c>
      <c r="L19" s="634">
        <v>1</v>
      </c>
      <c r="M19" s="634" t="s">
        <v>225</v>
      </c>
      <c r="N19" s="1212" t="s">
        <v>409</v>
      </c>
      <c r="O19" s="1243"/>
      <c r="P19" s="634"/>
    </row>
    <row r="20" spans="1:16" ht="21.1" customHeight="1" x14ac:dyDescent="0.25">
      <c r="A20" s="1219"/>
      <c r="B20" s="1212"/>
      <c r="C20" s="1212"/>
      <c r="D20" s="1207"/>
      <c r="E20" s="1209"/>
      <c r="F20" s="634" t="s">
        <v>378</v>
      </c>
      <c r="G20" s="1212"/>
      <c r="H20" s="634" t="s">
        <v>425</v>
      </c>
      <c r="I20" s="1242"/>
      <c r="J20" s="1211"/>
      <c r="K20" s="1211"/>
      <c r="L20" s="634">
        <v>15</v>
      </c>
      <c r="M20" s="634" t="s">
        <v>5</v>
      </c>
      <c r="N20" s="1212"/>
      <c r="O20" s="1244"/>
      <c r="P20" s="634"/>
    </row>
    <row r="21" spans="1:16" ht="21.75" customHeight="1" x14ac:dyDescent="0.25">
      <c r="A21" s="1219"/>
      <c r="B21" s="1212"/>
      <c r="C21" s="1212"/>
      <c r="D21" s="1207"/>
      <c r="E21" s="1209"/>
      <c r="F21" s="634" t="s">
        <v>378</v>
      </c>
      <c r="G21" s="1212"/>
      <c r="H21" s="634" t="s">
        <v>425</v>
      </c>
      <c r="I21" s="1242"/>
      <c r="J21" s="1211"/>
      <c r="K21" s="1211"/>
      <c r="L21" s="634">
        <v>4</v>
      </c>
      <c r="M21" s="634" t="s">
        <v>8</v>
      </c>
      <c r="N21" s="1212"/>
      <c r="O21" s="1244"/>
      <c r="P21" s="634"/>
    </row>
    <row r="22" spans="1:16" ht="20.25" customHeight="1" x14ac:dyDescent="0.25">
      <c r="A22" s="1219"/>
      <c r="B22" s="1212"/>
      <c r="C22" s="1212"/>
      <c r="D22" s="1207"/>
      <c r="E22" s="1209"/>
      <c r="F22" s="634" t="s">
        <v>378</v>
      </c>
      <c r="G22" s="1212"/>
      <c r="H22" s="634" t="s">
        <v>425</v>
      </c>
      <c r="I22" s="1242"/>
      <c r="J22" s="1211"/>
      <c r="K22" s="1211"/>
      <c r="L22" s="634">
        <v>15</v>
      </c>
      <c r="M22" s="634" t="s">
        <v>4</v>
      </c>
      <c r="N22" s="1212"/>
      <c r="O22" s="1244"/>
      <c r="P22" s="634"/>
    </row>
    <row r="23" spans="1:16" ht="21.75" customHeight="1" x14ac:dyDescent="0.25">
      <c r="A23" s="1219"/>
      <c r="B23" s="1212"/>
      <c r="C23" s="1212"/>
      <c r="D23" s="1207"/>
      <c r="E23" s="1209"/>
      <c r="F23" s="634" t="s">
        <v>378</v>
      </c>
      <c r="G23" s="1212"/>
      <c r="H23" s="634" t="s">
        <v>425</v>
      </c>
      <c r="I23" s="1242"/>
      <c r="J23" s="1211"/>
      <c r="K23" s="1211"/>
      <c r="L23" s="634">
        <v>4</v>
      </c>
      <c r="M23" s="634" t="s">
        <v>226</v>
      </c>
      <c r="N23" s="1212"/>
      <c r="O23" s="1245"/>
      <c r="P23" s="634"/>
    </row>
    <row r="24" spans="1:16" ht="23.95" customHeight="1" x14ac:dyDescent="0.25">
      <c r="A24" s="1219">
        <v>8</v>
      </c>
      <c r="B24" s="1212" t="s">
        <v>436</v>
      </c>
      <c r="C24" s="1212" t="s">
        <v>437</v>
      </c>
      <c r="D24" s="1207" t="s">
        <v>361</v>
      </c>
      <c r="E24" s="1209">
        <v>1003189185</v>
      </c>
      <c r="F24" s="634" t="s">
        <v>362</v>
      </c>
      <c r="G24" s="1212" t="s">
        <v>518</v>
      </c>
      <c r="H24" s="634" t="s">
        <v>22</v>
      </c>
      <c r="I24" s="1242">
        <v>3126882922</v>
      </c>
      <c r="J24" s="1221">
        <v>1</v>
      </c>
      <c r="K24" s="1211">
        <v>30</v>
      </c>
      <c r="L24" s="634">
        <v>20</v>
      </c>
      <c r="M24" s="634" t="s">
        <v>4</v>
      </c>
      <c r="N24" s="634" t="s">
        <v>23</v>
      </c>
      <c r="O24" s="1212" t="s">
        <v>1431</v>
      </c>
      <c r="P24" s="634"/>
    </row>
    <row r="25" spans="1:16" ht="24.8" customHeight="1" x14ac:dyDescent="0.25">
      <c r="A25" s="1219"/>
      <c r="B25" s="1212"/>
      <c r="C25" s="1212"/>
      <c r="D25" s="1207"/>
      <c r="E25" s="1209"/>
      <c r="F25" s="634" t="s">
        <v>362</v>
      </c>
      <c r="G25" s="1212"/>
      <c r="H25" s="634" t="s">
        <v>22</v>
      </c>
      <c r="I25" s="1242"/>
      <c r="J25" s="1221"/>
      <c r="K25" s="1211"/>
      <c r="L25" s="634">
        <v>8</v>
      </c>
      <c r="M25" s="634" t="s">
        <v>226</v>
      </c>
      <c r="N25" s="634" t="s">
        <v>595</v>
      </c>
      <c r="O25" s="1212"/>
      <c r="P25" s="634"/>
    </row>
    <row r="26" spans="1:16" ht="27" customHeight="1" x14ac:dyDescent="0.25">
      <c r="A26" s="1219"/>
      <c r="B26" s="1212"/>
      <c r="C26" s="1212"/>
      <c r="D26" s="1207"/>
      <c r="E26" s="1209"/>
      <c r="F26" s="634" t="s">
        <v>362</v>
      </c>
      <c r="G26" s="1212"/>
      <c r="H26" s="634" t="s">
        <v>22</v>
      </c>
      <c r="I26" s="1242"/>
      <c r="J26" s="1221"/>
      <c r="K26" s="1211"/>
      <c r="L26" s="634">
        <v>60</v>
      </c>
      <c r="M26" s="634" t="s">
        <v>5</v>
      </c>
      <c r="N26" s="634" t="s">
        <v>23</v>
      </c>
      <c r="O26" s="607"/>
      <c r="P26" s="634"/>
    </row>
    <row r="27" spans="1:16" ht="21.1" customHeight="1" x14ac:dyDescent="0.25">
      <c r="A27" s="1219">
        <v>9</v>
      </c>
      <c r="B27" s="1212" t="s">
        <v>438</v>
      </c>
      <c r="C27" s="1212" t="s">
        <v>439</v>
      </c>
      <c r="D27" s="1207" t="s">
        <v>361</v>
      </c>
      <c r="E27" s="1209">
        <v>15725655</v>
      </c>
      <c r="F27" s="634" t="s">
        <v>362</v>
      </c>
      <c r="G27" s="1212" t="s">
        <v>940</v>
      </c>
      <c r="H27" s="634" t="s">
        <v>24</v>
      </c>
      <c r="I27" s="1210">
        <v>3008807535</v>
      </c>
      <c r="J27" s="1221">
        <v>1</v>
      </c>
      <c r="K27" s="1211">
        <v>30</v>
      </c>
      <c r="L27" s="634">
        <v>20</v>
      </c>
      <c r="M27" s="634" t="s">
        <v>4</v>
      </c>
      <c r="N27" s="634" t="s">
        <v>380</v>
      </c>
      <c r="O27" s="1246" t="s">
        <v>1390</v>
      </c>
      <c r="P27" s="634"/>
    </row>
    <row r="28" spans="1:16" ht="21.75" customHeight="1" x14ac:dyDescent="0.25">
      <c r="A28" s="1219"/>
      <c r="B28" s="1212"/>
      <c r="C28" s="1212"/>
      <c r="D28" s="1207"/>
      <c r="E28" s="1209"/>
      <c r="F28" s="634" t="s">
        <v>362</v>
      </c>
      <c r="G28" s="1212"/>
      <c r="H28" s="634" t="s">
        <v>24</v>
      </c>
      <c r="I28" s="1210"/>
      <c r="J28" s="1221"/>
      <c r="K28" s="1211"/>
      <c r="L28" s="634">
        <v>20</v>
      </c>
      <c r="M28" s="634" t="s">
        <v>226</v>
      </c>
      <c r="N28" s="634" t="s">
        <v>134</v>
      </c>
      <c r="O28" s="1246"/>
      <c r="P28" s="634"/>
    </row>
    <row r="29" spans="1:16" ht="21.75" customHeight="1" x14ac:dyDescent="0.25">
      <c r="A29" s="1219"/>
      <c r="B29" s="1212"/>
      <c r="C29" s="1212"/>
      <c r="D29" s="1207"/>
      <c r="E29" s="1209"/>
      <c r="F29" s="634" t="s">
        <v>362</v>
      </c>
      <c r="G29" s="1212"/>
      <c r="H29" s="634" t="s">
        <v>24</v>
      </c>
      <c r="I29" s="1210"/>
      <c r="J29" s="1221"/>
      <c r="K29" s="1211"/>
      <c r="L29" s="142">
        <v>20</v>
      </c>
      <c r="M29" s="142" t="s">
        <v>8</v>
      </c>
      <c r="N29" s="142" t="s">
        <v>728</v>
      </c>
      <c r="O29" s="1246"/>
      <c r="P29" s="634"/>
    </row>
    <row r="30" spans="1:16" ht="30.1" customHeight="1" x14ac:dyDescent="0.25">
      <c r="A30" s="1219">
        <v>10</v>
      </c>
      <c r="B30" s="1212" t="s">
        <v>440</v>
      </c>
      <c r="C30" s="1212" t="s">
        <v>441</v>
      </c>
      <c r="D30" s="1207" t="s">
        <v>370</v>
      </c>
      <c r="E30" s="1209">
        <v>1063160266</v>
      </c>
      <c r="F30" s="634" t="s">
        <v>362</v>
      </c>
      <c r="G30" s="1212" t="s">
        <v>518</v>
      </c>
      <c r="H30" s="634" t="s">
        <v>21</v>
      </c>
      <c r="I30" s="1210" t="s">
        <v>442</v>
      </c>
      <c r="J30" s="1221">
        <v>1</v>
      </c>
      <c r="K30" s="1211">
        <v>30</v>
      </c>
      <c r="L30" s="634">
        <v>20</v>
      </c>
      <c r="M30" s="634" t="s">
        <v>4</v>
      </c>
      <c r="N30" s="634" t="s">
        <v>586</v>
      </c>
      <c r="O30" s="1218" t="s">
        <v>977</v>
      </c>
      <c r="P30" s="634"/>
    </row>
    <row r="31" spans="1:16" ht="30.1" customHeight="1" x14ac:dyDescent="0.25">
      <c r="A31" s="1219"/>
      <c r="B31" s="1212"/>
      <c r="C31" s="1212"/>
      <c r="D31" s="1207"/>
      <c r="E31" s="1209"/>
      <c r="F31" s="634" t="s">
        <v>362</v>
      </c>
      <c r="G31" s="1212"/>
      <c r="H31" s="634" t="s">
        <v>21</v>
      </c>
      <c r="I31" s="1210"/>
      <c r="J31" s="1221"/>
      <c r="K31" s="1211"/>
      <c r="L31" s="634">
        <v>60</v>
      </c>
      <c r="M31" s="634" t="s">
        <v>5</v>
      </c>
      <c r="N31" s="634" t="s">
        <v>586</v>
      </c>
      <c r="O31" s="1218"/>
      <c r="P31" s="634"/>
    </row>
    <row r="32" spans="1:16" ht="30.1" customHeight="1" x14ac:dyDescent="0.25">
      <c r="A32" s="1219"/>
      <c r="B32" s="1212"/>
      <c r="C32" s="1212"/>
      <c r="D32" s="1207"/>
      <c r="E32" s="1209"/>
      <c r="F32" s="634" t="s">
        <v>362</v>
      </c>
      <c r="G32" s="1212"/>
      <c r="H32" s="634" t="s">
        <v>21</v>
      </c>
      <c r="I32" s="1210"/>
      <c r="J32" s="1221"/>
      <c r="K32" s="1211"/>
      <c r="L32" s="634">
        <v>20</v>
      </c>
      <c r="M32" s="634" t="s">
        <v>226</v>
      </c>
      <c r="N32" s="634" t="s">
        <v>216</v>
      </c>
      <c r="O32" s="1218"/>
      <c r="P32" s="634"/>
    </row>
    <row r="33" spans="1:16" ht="30.1" customHeight="1" x14ac:dyDescent="0.25">
      <c r="A33" s="1219">
        <v>11</v>
      </c>
      <c r="B33" s="1212" t="s">
        <v>443</v>
      </c>
      <c r="C33" s="1212" t="s">
        <v>444</v>
      </c>
      <c r="D33" s="1207" t="s">
        <v>370</v>
      </c>
      <c r="E33" s="1209">
        <v>1063286269</v>
      </c>
      <c r="F33" s="634" t="s">
        <v>362</v>
      </c>
      <c r="G33" s="1212" t="s">
        <v>941</v>
      </c>
      <c r="H33" s="634" t="s">
        <v>15</v>
      </c>
      <c r="I33" s="1210" t="s">
        <v>445</v>
      </c>
      <c r="J33" s="1211">
        <v>1</v>
      </c>
      <c r="K33" s="1211">
        <v>30</v>
      </c>
      <c r="L33" s="634">
        <v>180</v>
      </c>
      <c r="M33" s="634" t="s">
        <v>5</v>
      </c>
      <c r="N33" s="634" t="s">
        <v>16</v>
      </c>
      <c r="O33" s="634"/>
      <c r="P33" s="634"/>
    </row>
    <row r="34" spans="1:16" ht="30.1" customHeight="1" x14ac:dyDescent="0.25">
      <c r="A34" s="1219"/>
      <c r="B34" s="1212"/>
      <c r="C34" s="1212"/>
      <c r="D34" s="1207"/>
      <c r="E34" s="1209"/>
      <c r="F34" s="634" t="s">
        <v>362</v>
      </c>
      <c r="G34" s="1212"/>
      <c r="H34" s="634" t="s">
        <v>15</v>
      </c>
      <c r="I34" s="1210"/>
      <c r="J34" s="1211"/>
      <c r="K34" s="1211"/>
      <c r="L34" s="634">
        <v>30</v>
      </c>
      <c r="M34" s="634" t="s">
        <v>4</v>
      </c>
      <c r="N34" s="634" t="s">
        <v>16</v>
      </c>
      <c r="O34" s="634"/>
      <c r="P34" s="634"/>
    </row>
    <row r="35" spans="1:16" ht="30.1" customHeight="1" x14ac:dyDescent="0.25">
      <c r="A35" s="1219"/>
      <c r="B35" s="1212"/>
      <c r="C35" s="1212"/>
      <c r="D35" s="1207"/>
      <c r="E35" s="1209"/>
      <c r="F35" s="634" t="s">
        <v>362</v>
      </c>
      <c r="G35" s="1212"/>
      <c r="H35" s="634" t="s">
        <v>15</v>
      </c>
      <c r="I35" s="1210"/>
      <c r="J35" s="1211"/>
      <c r="K35" s="1211"/>
      <c r="L35" s="634">
        <v>20</v>
      </c>
      <c r="M35" s="634" t="s">
        <v>8</v>
      </c>
      <c r="N35" s="634" t="s">
        <v>991</v>
      </c>
      <c r="O35" s="1212" t="s">
        <v>992</v>
      </c>
      <c r="P35" s="634"/>
    </row>
    <row r="36" spans="1:16" ht="30.1" customHeight="1" x14ac:dyDescent="0.25">
      <c r="A36" s="1219"/>
      <c r="B36" s="1212"/>
      <c r="C36" s="1212"/>
      <c r="D36" s="1207"/>
      <c r="E36" s="1209"/>
      <c r="F36" s="634" t="s">
        <v>362</v>
      </c>
      <c r="G36" s="1212"/>
      <c r="H36" s="634" t="s">
        <v>15</v>
      </c>
      <c r="I36" s="1210"/>
      <c r="J36" s="1211"/>
      <c r="K36" s="1211"/>
      <c r="L36" s="634">
        <v>20</v>
      </c>
      <c r="M36" s="634" t="s">
        <v>226</v>
      </c>
      <c r="N36" s="634" t="s">
        <v>727</v>
      </c>
      <c r="O36" s="1212"/>
      <c r="P36" s="634"/>
    </row>
    <row r="37" spans="1:16" ht="30.1" customHeight="1" x14ac:dyDescent="0.25">
      <c r="A37" s="1219">
        <v>12</v>
      </c>
      <c r="B37" s="1212" t="s">
        <v>446</v>
      </c>
      <c r="C37" s="1212" t="s">
        <v>447</v>
      </c>
      <c r="D37" s="1248" t="s">
        <v>361</v>
      </c>
      <c r="E37" s="1247">
        <v>32270273</v>
      </c>
      <c r="F37" s="634" t="s">
        <v>362</v>
      </c>
      <c r="G37" s="1212" t="s">
        <v>515</v>
      </c>
      <c r="H37" s="634" t="s">
        <v>14</v>
      </c>
      <c r="I37" s="1210" t="s">
        <v>448</v>
      </c>
      <c r="J37" s="1221">
        <v>1</v>
      </c>
      <c r="K37" s="1211">
        <v>30</v>
      </c>
      <c r="L37" s="634">
        <v>20</v>
      </c>
      <c r="M37" s="634" t="s">
        <v>4</v>
      </c>
      <c r="N37" s="634" t="s">
        <v>409</v>
      </c>
      <c r="O37" s="1212" t="s">
        <v>1480</v>
      </c>
      <c r="P37" s="1212"/>
    </row>
    <row r="38" spans="1:16" ht="30.1" customHeight="1" x14ac:dyDescent="0.25">
      <c r="A38" s="1219"/>
      <c r="B38" s="1212"/>
      <c r="C38" s="1212"/>
      <c r="D38" s="1248"/>
      <c r="E38" s="1247"/>
      <c r="F38" s="634" t="s">
        <v>362</v>
      </c>
      <c r="G38" s="1212"/>
      <c r="H38" s="634" t="s">
        <v>14</v>
      </c>
      <c r="I38" s="1210"/>
      <c r="J38" s="1221"/>
      <c r="K38" s="1211"/>
      <c r="L38" s="634">
        <v>20</v>
      </c>
      <c r="M38" s="634" t="s">
        <v>226</v>
      </c>
      <c r="N38" s="634" t="s">
        <v>409</v>
      </c>
      <c r="O38" s="1212"/>
      <c r="P38" s="1212"/>
    </row>
    <row r="39" spans="1:16" ht="30.1" customHeight="1" x14ac:dyDescent="0.25">
      <c r="A39" s="636">
        <v>13</v>
      </c>
      <c r="B39" s="634" t="s">
        <v>450</v>
      </c>
      <c r="C39" s="634" t="s">
        <v>451</v>
      </c>
      <c r="D39" s="637" t="s">
        <v>361</v>
      </c>
      <c r="E39" s="638">
        <v>1007557031</v>
      </c>
      <c r="F39" s="634" t="s">
        <v>378</v>
      </c>
      <c r="G39" s="634" t="s">
        <v>515</v>
      </c>
      <c r="H39" s="634" t="s">
        <v>25</v>
      </c>
      <c r="I39" s="640">
        <v>3184441237</v>
      </c>
      <c r="J39" s="639">
        <v>1</v>
      </c>
      <c r="K39" s="639">
        <v>30</v>
      </c>
      <c r="L39" s="634">
        <v>20</v>
      </c>
      <c r="M39" s="634" t="s">
        <v>4</v>
      </c>
      <c r="N39" s="634" t="s">
        <v>26</v>
      </c>
      <c r="O39" s="846" t="s">
        <v>1595</v>
      </c>
      <c r="P39" s="634"/>
    </row>
    <row r="40" spans="1:16" ht="30.1" customHeight="1" x14ac:dyDescent="0.25">
      <c r="A40" s="1219">
        <v>14</v>
      </c>
      <c r="B40" s="1212" t="s">
        <v>452</v>
      </c>
      <c r="C40" s="1212" t="s">
        <v>453</v>
      </c>
      <c r="D40" s="1207" t="s">
        <v>361</v>
      </c>
      <c r="E40" s="1209">
        <v>25751068</v>
      </c>
      <c r="F40" s="633" t="s">
        <v>372</v>
      </c>
      <c r="G40" s="1212" t="s">
        <v>942</v>
      </c>
      <c r="H40" s="634" t="s">
        <v>14</v>
      </c>
      <c r="I40" s="1232">
        <v>7850717</v>
      </c>
      <c r="J40" s="1249">
        <v>1</v>
      </c>
      <c r="K40" s="1249">
        <v>30</v>
      </c>
      <c r="L40" s="634">
        <v>30</v>
      </c>
      <c r="M40" s="634" t="s">
        <v>4</v>
      </c>
      <c r="N40" s="1212" t="s">
        <v>409</v>
      </c>
      <c r="O40" s="633" t="s">
        <v>1198</v>
      </c>
      <c r="P40" s="634"/>
    </row>
    <row r="41" spans="1:16" ht="30.1" customHeight="1" x14ac:dyDescent="0.25">
      <c r="A41" s="1219"/>
      <c r="B41" s="1212"/>
      <c r="C41" s="1212"/>
      <c r="D41" s="1207"/>
      <c r="E41" s="1209"/>
      <c r="F41" s="633" t="s">
        <v>372</v>
      </c>
      <c r="G41" s="1212"/>
      <c r="H41" s="634" t="s">
        <v>14</v>
      </c>
      <c r="I41" s="1232"/>
      <c r="J41" s="1249"/>
      <c r="K41" s="1249"/>
      <c r="L41" s="634">
        <v>12</v>
      </c>
      <c r="M41" s="634" t="s">
        <v>226</v>
      </c>
      <c r="N41" s="1212"/>
      <c r="O41" s="634"/>
      <c r="P41" s="634"/>
    </row>
    <row r="42" spans="1:16" ht="30.1" customHeight="1" x14ac:dyDescent="0.25">
      <c r="A42" s="1219"/>
      <c r="B42" s="1212"/>
      <c r="C42" s="1212"/>
      <c r="D42" s="1207"/>
      <c r="E42" s="1209"/>
      <c r="F42" s="633" t="s">
        <v>372</v>
      </c>
      <c r="G42" s="1212"/>
      <c r="H42" s="634" t="s">
        <v>14</v>
      </c>
      <c r="I42" s="1232"/>
      <c r="J42" s="1249"/>
      <c r="K42" s="1249"/>
      <c r="L42" s="634">
        <v>12</v>
      </c>
      <c r="M42" s="634" t="s">
        <v>8</v>
      </c>
      <c r="N42" s="1212"/>
      <c r="O42" s="634"/>
      <c r="P42" s="634"/>
    </row>
    <row r="43" spans="1:16" ht="30.1" customHeight="1" x14ac:dyDescent="0.25">
      <c r="A43" s="636">
        <v>15</v>
      </c>
      <c r="B43" s="637" t="s">
        <v>454</v>
      </c>
      <c r="C43" s="637" t="s">
        <v>455</v>
      </c>
      <c r="D43" s="637" t="s">
        <v>361</v>
      </c>
      <c r="E43" s="638">
        <v>25955012</v>
      </c>
      <c r="F43" s="637" t="s">
        <v>362</v>
      </c>
      <c r="G43" s="637" t="s">
        <v>933</v>
      </c>
      <c r="H43" s="637" t="s">
        <v>456</v>
      </c>
      <c r="I43" s="353" t="s">
        <v>457</v>
      </c>
      <c r="J43" s="639">
        <v>1</v>
      </c>
      <c r="K43" s="639">
        <v>30</v>
      </c>
      <c r="L43" s="637">
        <v>12</v>
      </c>
      <c r="M43" s="637" t="s">
        <v>4</v>
      </c>
      <c r="N43" s="637" t="s">
        <v>586</v>
      </c>
      <c r="O43" s="639" t="s">
        <v>1391</v>
      </c>
      <c r="P43" s="637"/>
    </row>
    <row r="44" spans="1:16" ht="30.1" customHeight="1" x14ac:dyDescent="0.25">
      <c r="A44" s="88">
        <v>16</v>
      </c>
      <c r="B44" s="631" t="s">
        <v>458</v>
      </c>
      <c r="C44" s="631" t="s">
        <v>459</v>
      </c>
      <c r="D44" s="631"/>
      <c r="E44" s="605"/>
      <c r="F44" s="631"/>
      <c r="G44" s="631" t="s">
        <v>546</v>
      </c>
      <c r="H44" s="631" t="s">
        <v>14</v>
      </c>
      <c r="I44" s="354"/>
      <c r="J44" s="97">
        <v>11</v>
      </c>
      <c r="K44" s="97">
        <v>10</v>
      </c>
      <c r="L44" s="631">
        <v>120</v>
      </c>
      <c r="M44" s="631" t="s">
        <v>460</v>
      </c>
      <c r="N44" s="631" t="s">
        <v>409</v>
      </c>
      <c r="O44" s="631" t="s">
        <v>461</v>
      </c>
      <c r="P44" s="631"/>
    </row>
    <row r="45" spans="1:16" ht="20.25" customHeight="1" x14ac:dyDescent="0.25">
      <c r="A45" s="1219">
        <v>17</v>
      </c>
      <c r="B45" s="1207" t="s">
        <v>462</v>
      </c>
      <c r="C45" s="1207" t="s">
        <v>463</v>
      </c>
      <c r="D45" s="1207" t="s">
        <v>361</v>
      </c>
      <c r="E45" s="1209">
        <v>78675759</v>
      </c>
      <c r="F45" s="750" t="s">
        <v>378</v>
      </c>
      <c r="G45" s="1207" t="s">
        <v>547</v>
      </c>
      <c r="H45" s="750" t="s">
        <v>425</v>
      </c>
      <c r="I45" s="1210"/>
      <c r="J45" s="1238">
        <v>12</v>
      </c>
      <c r="K45" s="1238">
        <v>11</v>
      </c>
      <c r="L45" s="750">
        <v>15</v>
      </c>
      <c r="M45" s="750" t="s">
        <v>5</v>
      </c>
      <c r="N45" s="1207" t="s">
        <v>409</v>
      </c>
      <c r="O45" s="1207" t="s">
        <v>1476</v>
      </c>
      <c r="P45" s="1207" t="s">
        <v>1435</v>
      </c>
    </row>
    <row r="46" spans="1:16" ht="18.7" customHeight="1" x14ac:dyDescent="0.25">
      <c r="A46" s="1219"/>
      <c r="B46" s="1207"/>
      <c r="C46" s="1207"/>
      <c r="D46" s="1207"/>
      <c r="E46" s="1209"/>
      <c r="F46" s="750" t="s">
        <v>378</v>
      </c>
      <c r="G46" s="1207"/>
      <c r="H46" s="750" t="s">
        <v>425</v>
      </c>
      <c r="I46" s="1210"/>
      <c r="J46" s="1238"/>
      <c r="K46" s="1238"/>
      <c r="L46" s="750">
        <v>20</v>
      </c>
      <c r="M46" s="750" t="s">
        <v>4</v>
      </c>
      <c r="N46" s="1207"/>
      <c r="O46" s="1207"/>
      <c r="P46" s="1207"/>
    </row>
    <row r="47" spans="1:16" ht="20.25" customHeight="1" x14ac:dyDescent="0.25">
      <c r="A47" s="1219"/>
      <c r="B47" s="1207"/>
      <c r="C47" s="1207"/>
      <c r="D47" s="1207"/>
      <c r="E47" s="1209"/>
      <c r="F47" s="750" t="s">
        <v>378</v>
      </c>
      <c r="G47" s="1207"/>
      <c r="H47" s="750" t="s">
        <v>425</v>
      </c>
      <c r="I47" s="1210"/>
      <c r="J47" s="1238"/>
      <c r="K47" s="1238"/>
      <c r="L47" s="750">
        <v>20</v>
      </c>
      <c r="M47" s="750" t="s">
        <v>8</v>
      </c>
      <c r="N47" s="1207"/>
      <c r="O47" s="1207"/>
      <c r="P47" s="1207"/>
    </row>
    <row r="48" spans="1:16" ht="22.6" customHeight="1" x14ac:dyDescent="0.25">
      <c r="A48" s="1219"/>
      <c r="B48" s="1207"/>
      <c r="C48" s="1207"/>
      <c r="D48" s="1207"/>
      <c r="E48" s="1209"/>
      <c r="F48" s="750" t="s">
        <v>378</v>
      </c>
      <c r="G48" s="1207"/>
      <c r="H48" s="750" t="s">
        <v>425</v>
      </c>
      <c r="I48" s="1210"/>
      <c r="J48" s="1238"/>
      <c r="K48" s="1238"/>
      <c r="L48" s="750">
        <v>1</v>
      </c>
      <c r="M48" s="750" t="s">
        <v>225</v>
      </c>
      <c r="N48" s="1207"/>
      <c r="O48" s="1207"/>
      <c r="P48" s="1207"/>
    </row>
    <row r="49" spans="1:19" ht="19.55" customHeight="1" x14ac:dyDescent="0.25">
      <c r="A49" s="1219"/>
      <c r="B49" s="1207"/>
      <c r="C49" s="1207"/>
      <c r="D49" s="1207"/>
      <c r="E49" s="1209"/>
      <c r="F49" s="750" t="s">
        <v>378</v>
      </c>
      <c r="G49" s="1207"/>
      <c r="H49" s="750" t="s">
        <v>425</v>
      </c>
      <c r="I49" s="1210"/>
      <c r="J49" s="1238"/>
      <c r="K49" s="1238"/>
      <c r="L49" s="750">
        <v>20</v>
      </c>
      <c r="M49" s="750" t="s">
        <v>226</v>
      </c>
      <c r="N49" s="1207"/>
      <c r="O49" s="1207"/>
      <c r="P49" s="1207"/>
    </row>
    <row r="50" spans="1:19" s="2" customFormat="1" ht="24.8" customHeight="1" x14ac:dyDescent="0.25">
      <c r="A50" s="1219">
        <v>18</v>
      </c>
      <c r="B50" s="1207" t="s">
        <v>464</v>
      </c>
      <c r="C50" s="1207" t="s">
        <v>465</v>
      </c>
      <c r="D50" s="1207" t="s">
        <v>361</v>
      </c>
      <c r="E50" s="1209">
        <v>1003358375</v>
      </c>
      <c r="F50" s="637" t="s">
        <v>378</v>
      </c>
      <c r="G50" s="1207" t="s">
        <v>541</v>
      </c>
      <c r="H50" s="637" t="s">
        <v>114</v>
      </c>
      <c r="I50" s="1232" t="s">
        <v>466</v>
      </c>
      <c r="J50" s="1211">
        <v>1</v>
      </c>
      <c r="K50" s="1211">
        <v>30</v>
      </c>
      <c r="L50" s="637">
        <v>60</v>
      </c>
      <c r="M50" s="637" t="s">
        <v>5</v>
      </c>
      <c r="N50" s="637" t="s">
        <v>115</v>
      </c>
      <c r="O50" s="1212" t="s">
        <v>1392</v>
      </c>
      <c r="P50" s="1240" t="s">
        <v>1506</v>
      </c>
    </row>
    <row r="51" spans="1:19" ht="27" customHeight="1" x14ac:dyDescent="0.25">
      <c r="A51" s="1219"/>
      <c r="B51" s="1207"/>
      <c r="C51" s="1207"/>
      <c r="D51" s="1207"/>
      <c r="E51" s="1209"/>
      <c r="F51" s="637" t="s">
        <v>378</v>
      </c>
      <c r="G51" s="1207"/>
      <c r="H51" s="637" t="s">
        <v>114</v>
      </c>
      <c r="I51" s="1232"/>
      <c r="J51" s="1211"/>
      <c r="K51" s="1211"/>
      <c r="L51" s="637">
        <v>60</v>
      </c>
      <c r="M51" s="637" t="s">
        <v>4</v>
      </c>
      <c r="N51" s="637" t="s">
        <v>115</v>
      </c>
      <c r="O51" s="1212"/>
      <c r="P51" s="1241"/>
    </row>
    <row r="52" spans="1:19" ht="27" customHeight="1" x14ac:dyDescent="0.25">
      <c r="A52" s="1219">
        <v>19</v>
      </c>
      <c r="B52" s="1207" t="s">
        <v>467</v>
      </c>
      <c r="C52" s="1207" t="s">
        <v>468</v>
      </c>
      <c r="D52" s="1207" t="s">
        <v>361</v>
      </c>
      <c r="E52" s="1209">
        <v>1067097250</v>
      </c>
      <c r="F52" s="637" t="s">
        <v>362</v>
      </c>
      <c r="G52" s="1207"/>
      <c r="H52" s="637" t="s">
        <v>401</v>
      </c>
      <c r="I52" s="1210">
        <v>3007763838</v>
      </c>
      <c r="J52" s="1211">
        <v>1</v>
      </c>
      <c r="K52" s="1211">
        <v>30</v>
      </c>
      <c r="L52" s="637">
        <v>20</v>
      </c>
      <c r="M52" s="637" t="s">
        <v>8</v>
      </c>
      <c r="N52" s="637" t="s">
        <v>494</v>
      </c>
      <c r="O52" s="1237" t="s">
        <v>1477</v>
      </c>
      <c r="P52" s="164"/>
    </row>
    <row r="53" spans="1:19" ht="27" customHeight="1" x14ac:dyDescent="0.25">
      <c r="A53" s="1219"/>
      <c r="B53" s="1207"/>
      <c r="C53" s="1207"/>
      <c r="D53" s="1207"/>
      <c r="E53" s="1209"/>
      <c r="F53" s="637" t="s">
        <v>362</v>
      </c>
      <c r="G53" s="1207"/>
      <c r="H53" s="637" t="s">
        <v>401</v>
      </c>
      <c r="I53" s="1210"/>
      <c r="J53" s="1211"/>
      <c r="K53" s="1211"/>
      <c r="L53" s="637">
        <v>20</v>
      </c>
      <c r="M53" s="637" t="s">
        <v>4</v>
      </c>
      <c r="N53" s="637" t="s">
        <v>399</v>
      </c>
      <c r="O53" s="1237"/>
      <c r="P53" s="358">
        <v>30</v>
      </c>
    </row>
    <row r="54" spans="1:19" ht="47.25" customHeight="1" x14ac:dyDescent="0.25">
      <c r="A54" s="636">
        <v>20</v>
      </c>
      <c r="B54" s="637" t="s">
        <v>469</v>
      </c>
      <c r="C54" s="637" t="s">
        <v>470</v>
      </c>
      <c r="D54" s="637" t="s">
        <v>361</v>
      </c>
      <c r="E54" s="638">
        <v>50919775</v>
      </c>
      <c r="F54" s="637" t="s">
        <v>362</v>
      </c>
      <c r="G54" s="637"/>
      <c r="H54" s="637" t="s">
        <v>14</v>
      </c>
      <c r="I54" s="640"/>
      <c r="J54" s="639">
        <v>1</v>
      </c>
      <c r="K54" s="639">
        <v>30</v>
      </c>
      <c r="L54" s="637">
        <v>40</v>
      </c>
      <c r="M54" s="637" t="s">
        <v>4</v>
      </c>
      <c r="N54" s="637" t="s">
        <v>409</v>
      </c>
      <c r="O54" s="637" t="s">
        <v>669</v>
      </c>
      <c r="P54" s="637"/>
    </row>
    <row r="55" spans="1:19" ht="30.1" customHeight="1" x14ac:dyDescent="0.25">
      <c r="A55" s="1219">
        <v>21</v>
      </c>
      <c r="B55" s="1231" t="s">
        <v>471</v>
      </c>
      <c r="C55" s="1231" t="s">
        <v>472</v>
      </c>
      <c r="D55" s="1231" t="s">
        <v>361</v>
      </c>
      <c r="E55" s="1257">
        <v>25843953</v>
      </c>
      <c r="F55" s="166" t="s">
        <v>362</v>
      </c>
      <c r="G55" s="1212" t="s">
        <v>556</v>
      </c>
      <c r="H55" s="166" t="s">
        <v>22</v>
      </c>
      <c r="I55" s="1229"/>
      <c r="J55" s="1221">
        <v>1</v>
      </c>
      <c r="K55" s="1211">
        <v>30</v>
      </c>
      <c r="L55" s="166">
        <v>20</v>
      </c>
      <c r="M55" s="166" t="s">
        <v>4</v>
      </c>
      <c r="N55" s="637" t="s">
        <v>23</v>
      </c>
      <c r="O55" s="322" t="s">
        <v>977</v>
      </c>
      <c r="P55" s="637"/>
    </row>
    <row r="56" spans="1:19" ht="30.1" customHeight="1" x14ac:dyDescent="0.25">
      <c r="A56" s="1219"/>
      <c r="B56" s="1231"/>
      <c r="C56" s="1231"/>
      <c r="D56" s="1231"/>
      <c r="E56" s="1257"/>
      <c r="F56" s="166" t="s">
        <v>362</v>
      </c>
      <c r="G56" s="1212"/>
      <c r="H56" s="166" t="s">
        <v>22</v>
      </c>
      <c r="I56" s="1229"/>
      <c r="J56" s="1221"/>
      <c r="K56" s="1211"/>
      <c r="L56" s="382">
        <v>20</v>
      </c>
      <c r="M56" s="382" t="s">
        <v>8</v>
      </c>
      <c r="N56" s="383" t="s">
        <v>594</v>
      </c>
      <c r="O56" s="632" t="s">
        <v>1393</v>
      </c>
      <c r="P56" s="637"/>
    </row>
    <row r="57" spans="1:19" ht="30.1" customHeight="1" x14ac:dyDescent="0.25">
      <c r="A57" s="1219">
        <v>22</v>
      </c>
      <c r="B57" s="1207" t="s">
        <v>473</v>
      </c>
      <c r="C57" s="1207" t="s">
        <v>474</v>
      </c>
      <c r="D57" s="1207" t="s">
        <v>361</v>
      </c>
      <c r="E57" s="1209">
        <v>25839044</v>
      </c>
      <c r="F57" s="637" t="s">
        <v>475</v>
      </c>
      <c r="G57" s="1207" t="s">
        <v>532</v>
      </c>
      <c r="H57" s="637" t="s">
        <v>9</v>
      </c>
      <c r="I57" s="1210" t="s">
        <v>476</v>
      </c>
      <c r="J57" s="1211">
        <v>1</v>
      </c>
      <c r="K57" s="1211">
        <v>30</v>
      </c>
      <c r="L57" s="637">
        <v>12</v>
      </c>
      <c r="M57" s="637" t="s">
        <v>5</v>
      </c>
      <c r="N57" s="637" t="s">
        <v>7</v>
      </c>
      <c r="O57" s="1207"/>
      <c r="P57" s="1207"/>
    </row>
    <row r="58" spans="1:19" ht="30.1" customHeight="1" x14ac:dyDescent="0.25">
      <c r="A58" s="1219"/>
      <c r="B58" s="1207"/>
      <c r="C58" s="1207"/>
      <c r="D58" s="1207"/>
      <c r="E58" s="1209"/>
      <c r="F58" s="637" t="s">
        <v>475</v>
      </c>
      <c r="G58" s="1207"/>
      <c r="H58" s="637" t="s">
        <v>9</v>
      </c>
      <c r="I58" s="1210"/>
      <c r="J58" s="1211"/>
      <c r="K58" s="1211"/>
      <c r="L58" s="637">
        <v>20</v>
      </c>
      <c r="M58" s="637" t="s">
        <v>4</v>
      </c>
      <c r="N58" s="637" t="s">
        <v>7</v>
      </c>
      <c r="O58" s="1207"/>
      <c r="P58" s="1207"/>
    </row>
    <row r="59" spans="1:19" ht="30.1" customHeight="1" x14ac:dyDescent="0.25">
      <c r="A59" s="1219"/>
      <c r="B59" s="1207"/>
      <c r="C59" s="1207"/>
      <c r="D59" s="1207"/>
      <c r="E59" s="1209"/>
      <c r="F59" s="637" t="s">
        <v>475</v>
      </c>
      <c r="G59" s="1207"/>
      <c r="H59" s="637" t="s">
        <v>9</v>
      </c>
      <c r="I59" s="1210"/>
      <c r="J59" s="1211"/>
      <c r="K59" s="1211"/>
      <c r="L59" s="637">
        <v>8</v>
      </c>
      <c r="M59" s="637" t="s">
        <v>226</v>
      </c>
      <c r="N59" s="637" t="s">
        <v>381</v>
      </c>
      <c r="O59" s="1207"/>
      <c r="P59" s="637"/>
    </row>
    <row r="60" spans="1:19" ht="30.1" customHeight="1" x14ac:dyDescent="0.25">
      <c r="A60" s="636">
        <v>23</v>
      </c>
      <c r="B60" s="637" t="s">
        <v>606</v>
      </c>
      <c r="C60" s="637" t="s">
        <v>607</v>
      </c>
      <c r="D60" s="637" t="s">
        <v>361</v>
      </c>
      <c r="E60" s="638">
        <v>22156814</v>
      </c>
      <c r="F60" s="637" t="s">
        <v>362</v>
      </c>
      <c r="G60" s="637" t="s">
        <v>608</v>
      </c>
      <c r="H60" s="637" t="s">
        <v>425</v>
      </c>
      <c r="I60" s="640"/>
      <c r="J60" s="639">
        <v>1</v>
      </c>
      <c r="K60" s="639">
        <v>30</v>
      </c>
      <c r="L60" s="637">
        <v>12</v>
      </c>
      <c r="M60" s="637" t="s">
        <v>4</v>
      </c>
      <c r="N60" s="637" t="s">
        <v>409</v>
      </c>
      <c r="O60" s="637" t="s">
        <v>1394</v>
      </c>
      <c r="P60" s="637"/>
    </row>
    <row r="61" spans="1:19" ht="30.1" customHeight="1" x14ac:dyDescent="0.25">
      <c r="A61" s="636">
        <v>24</v>
      </c>
      <c r="B61" s="634" t="s">
        <v>695</v>
      </c>
      <c r="C61" s="634" t="s">
        <v>696</v>
      </c>
      <c r="D61" s="634" t="s">
        <v>361</v>
      </c>
      <c r="E61" s="167">
        <v>26060033</v>
      </c>
      <c r="F61" s="634" t="s">
        <v>378</v>
      </c>
      <c r="G61" s="634" t="s">
        <v>532</v>
      </c>
      <c r="H61" s="634" t="s">
        <v>244</v>
      </c>
      <c r="I61" s="640" t="s">
        <v>697</v>
      </c>
      <c r="J61" s="641">
        <v>12</v>
      </c>
      <c r="K61" s="641">
        <v>11</v>
      </c>
      <c r="L61" s="641">
        <v>12</v>
      </c>
      <c r="M61" s="168" t="s">
        <v>226</v>
      </c>
      <c r="N61" s="634" t="s">
        <v>134</v>
      </c>
      <c r="O61" s="846"/>
      <c r="P61" s="165"/>
    </row>
    <row r="62" spans="1:19" s="8" customFormat="1" ht="30.1" customHeight="1" x14ac:dyDescent="0.25">
      <c r="A62" s="636">
        <v>25</v>
      </c>
      <c r="B62" s="634" t="s">
        <v>824</v>
      </c>
      <c r="C62" s="634" t="s">
        <v>825</v>
      </c>
      <c r="D62" s="634" t="s">
        <v>361</v>
      </c>
      <c r="E62" s="167">
        <v>25949685</v>
      </c>
      <c r="F62" s="634" t="s">
        <v>362</v>
      </c>
      <c r="G62" s="634" t="s">
        <v>826</v>
      </c>
      <c r="H62" s="634" t="s">
        <v>21</v>
      </c>
      <c r="I62" s="634" t="s">
        <v>1011</v>
      </c>
      <c r="J62" s="641">
        <v>1</v>
      </c>
      <c r="K62" s="641">
        <v>30</v>
      </c>
      <c r="L62" s="641">
        <v>16</v>
      </c>
      <c r="M62" s="168" t="s">
        <v>4</v>
      </c>
      <c r="N62" s="634" t="s">
        <v>586</v>
      </c>
      <c r="O62" s="634" t="s">
        <v>1395</v>
      </c>
      <c r="P62" s="634"/>
      <c r="Q62" s="635"/>
      <c r="R62" s="11"/>
      <c r="S62" s="384"/>
    </row>
    <row r="63" spans="1:19" s="8" customFormat="1" ht="30.1" customHeight="1" x14ac:dyDescent="0.25">
      <c r="A63" s="1219">
        <v>26</v>
      </c>
      <c r="B63" s="1212" t="s">
        <v>392</v>
      </c>
      <c r="C63" s="1212" t="s">
        <v>391</v>
      </c>
      <c r="D63" s="1212" t="s">
        <v>361</v>
      </c>
      <c r="E63" s="1222">
        <v>26027649</v>
      </c>
      <c r="F63" s="634" t="s">
        <v>362</v>
      </c>
      <c r="G63" s="1212" t="s">
        <v>549</v>
      </c>
      <c r="H63" s="607" t="s">
        <v>20</v>
      </c>
      <c r="I63" s="1212" t="s">
        <v>1012</v>
      </c>
      <c r="J63" s="1212">
        <v>1</v>
      </c>
      <c r="K63" s="1221">
        <v>30</v>
      </c>
      <c r="L63" s="641">
        <v>20</v>
      </c>
      <c r="M63" s="168" t="s">
        <v>4</v>
      </c>
      <c r="N63" s="634" t="s">
        <v>6</v>
      </c>
      <c r="O63" s="1212" t="s">
        <v>1449</v>
      </c>
      <c r="P63" s="634"/>
      <c r="Q63" s="635"/>
      <c r="R63" s="441"/>
      <c r="S63" s="384"/>
    </row>
    <row r="64" spans="1:19" s="8" customFormat="1" ht="30.1" customHeight="1" x14ac:dyDescent="0.25">
      <c r="A64" s="1219"/>
      <c r="B64" s="1212"/>
      <c r="C64" s="1212"/>
      <c r="D64" s="1212"/>
      <c r="E64" s="1222"/>
      <c r="F64" s="634"/>
      <c r="G64" s="1212"/>
      <c r="H64" s="607" t="s">
        <v>20</v>
      </c>
      <c r="I64" s="1212"/>
      <c r="J64" s="1212"/>
      <c r="K64" s="1221"/>
      <c r="L64" s="634">
        <v>20</v>
      </c>
      <c r="M64" s="634" t="s">
        <v>226</v>
      </c>
      <c r="N64" s="634" t="s">
        <v>679</v>
      </c>
      <c r="O64" s="1239"/>
      <c r="P64" s="634"/>
      <c r="Q64" s="635"/>
      <c r="R64" s="489"/>
      <c r="S64" s="384"/>
    </row>
    <row r="65" spans="1:19" s="8" customFormat="1" ht="30.1" customHeight="1" x14ac:dyDescent="0.25">
      <c r="A65" s="1219"/>
      <c r="B65" s="1212"/>
      <c r="C65" s="1212"/>
      <c r="D65" s="1212"/>
      <c r="E65" s="1222"/>
      <c r="F65" s="634" t="s">
        <v>362</v>
      </c>
      <c r="G65" s="1212"/>
      <c r="H65" s="607" t="s">
        <v>20</v>
      </c>
      <c r="I65" s="1212"/>
      <c r="J65" s="1212"/>
      <c r="K65" s="1221"/>
      <c r="L65" s="634">
        <v>20</v>
      </c>
      <c r="M65" s="634" t="s">
        <v>8</v>
      </c>
      <c r="N65" s="634" t="s">
        <v>679</v>
      </c>
      <c r="O65" s="607" t="s">
        <v>1254</v>
      </c>
      <c r="P65" s="634"/>
      <c r="Q65" s="635"/>
      <c r="R65" s="385"/>
      <c r="S65" s="384"/>
    </row>
    <row r="66" spans="1:19" s="8" customFormat="1" ht="30.1" customHeight="1" x14ac:dyDescent="0.25">
      <c r="A66" s="1219">
        <v>27</v>
      </c>
      <c r="B66" s="1212" t="s">
        <v>389</v>
      </c>
      <c r="C66" s="1212" t="s">
        <v>388</v>
      </c>
      <c r="D66" s="1212" t="s">
        <v>361</v>
      </c>
      <c r="E66" s="1222">
        <v>1546849</v>
      </c>
      <c r="F66" s="634" t="s">
        <v>362</v>
      </c>
      <c r="G66" s="1212"/>
      <c r="H66" s="634" t="s">
        <v>9</v>
      </c>
      <c r="I66" s="1212" t="s">
        <v>1013</v>
      </c>
      <c r="J66" s="1212">
        <v>1</v>
      </c>
      <c r="K66" s="1221">
        <v>30</v>
      </c>
      <c r="L66" s="634">
        <v>12</v>
      </c>
      <c r="M66" s="634" t="s">
        <v>4</v>
      </c>
      <c r="N66" s="634" t="s">
        <v>7</v>
      </c>
      <c r="O66" s="1212" t="s">
        <v>1396</v>
      </c>
      <c r="P66" s="634"/>
      <c r="Q66" s="635"/>
      <c r="R66" s="11"/>
      <c r="S66" s="1234"/>
    </row>
    <row r="67" spans="1:19" s="8" customFormat="1" ht="30.1" customHeight="1" x14ac:dyDescent="0.25">
      <c r="A67" s="1219"/>
      <c r="B67" s="1212"/>
      <c r="C67" s="1212"/>
      <c r="D67" s="1212"/>
      <c r="E67" s="1222"/>
      <c r="F67" s="634" t="s">
        <v>362</v>
      </c>
      <c r="G67" s="1212"/>
      <c r="H67" s="634" t="s">
        <v>9</v>
      </c>
      <c r="I67" s="1212"/>
      <c r="J67" s="1212"/>
      <c r="K67" s="1221"/>
      <c r="L67" s="634">
        <v>60</v>
      </c>
      <c r="M67" s="634" t="s">
        <v>5</v>
      </c>
      <c r="N67" s="634" t="s">
        <v>7</v>
      </c>
      <c r="O67" s="1212"/>
      <c r="P67" s="634"/>
      <c r="Q67" s="635"/>
      <c r="R67" s="11"/>
      <c r="S67" s="1234"/>
    </row>
    <row r="68" spans="1:19" s="8" customFormat="1" ht="30.1" customHeight="1" x14ac:dyDescent="0.25">
      <c r="A68" s="1219"/>
      <c r="B68" s="1212"/>
      <c r="C68" s="1212"/>
      <c r="D68" s="1212"/>
      <c r="E68" s="1222"/>
      <c r="F68" s="634" t="s">
        <v>362</v>
      </c>
      <c r="G68" s="1212"/>
      <c r="H68" s="634" t="s">
        <v>9</v>
      </c>
      <c r="I68" s="1212"/>
      <c r="J68" s="1212"/>
      <c r="K68" s="1221"/>
      <c r="L68" s="634">
        <v>12</v>
      </c>
      <c r="M68" s="634" t="s">
        <v>226</v>
      </c>
      <c r="N68" s="634" t="s">
        <v>381</v>
      </c>
      <c r="O68" s="1212"/>
      <c r="P68" s="634"/>
      <c r="Q68" s="635"/>
      <c r="R68" s="11"/>
      <c r="S68" s="1234"/>
    </row>
    <row r="69" spans="1:19" s="8" customFormat="1" ht="30.1" customHeight="1" x14ac:dyDescent="0.25">
      <c r="A69" s="1236">
        <v>28</v>
      </c>
      <c r="B69" s="1212" t="s">
        <v>393</v>
      </c>
      <c r="C69" s="1212" t="s">
        <v>493</v>
      </c>
      <c r="D69" s="1212" t="s">
        <v>361</v>
      </c>
      <c r="E69" s="1222">
        <v>1564567</v>
      </c>
      <c r="F69" s="634" t="s">
        <v>362</v>
      </c>
      <c r="G69" s="1212" t="s">
        <v>520</v>
      </c>
      <c r="H69" s="634" t="s">
        <v>244</v>
      </c>
      <c r="I69" s="1212" t="s">
        <v>1014</v>
      </c>
      <c r="J69" s="1212">
        <v>1</v>
      </c>
      <c r="K69" s="1221">
        <v>30</v>
      </c>
      <c r="L69" s="634">
        <v>20</v>
      </c>
      <c r="M69" s="634" t="s">
        <v>4</v>
      </c>
      <c r="N69" s="634" t="s">
        <v>47</v>
      </c>
      <c r="O69" s="1212" t="s">
        <v>1081</v>
      </c>
      <c r="P69" s="634"/>
      <c r="Q69" s="635"/>
      <c r="R69" s="1235"/>
      <c r="S69" s="1234"/>
    </row>
    <row r="70" spans="1:19" s="8" customFormat="1" ht="30.1" customHeight="1" x14ac:dyDescent="0.25">
      <c r="A70" s="1236"/>
      <c r="B70" s="1212"/>
      <c r="C70" s="1212"/>
      <c r="D70" s="1212"/>
      <c r="E70" s="1222"/>
      <c r="F70" s="634" t="s">
        <v>362</v>
      </c>
      <c r="G70" s="1212"/>
      <c r="H70" s="634" t="s">
        <v>244</v>
      </c>
      <c r="I70" s="1212"/>
      <c r="J70" s="1212"/>
      <c r="K70" s="1221"/>
      <c r="L70" s="634">
        <v>20</v>
      </c>
      <c r="M70" s="634" t="s">
        <v>5</v>
      </c>
      <c r="N70" s="634" t="s">
        <v>47</v>
      </c>
      <c r="O70" s="1212"/>
      <c r="P70" s="634"/>
      <c r="Q70" s="635"/>
      <c r="R70" s="1235"/>
      <c r="S70" s="1234"/>
    </row>
    <row r="71" spans="1:19" s="8" customFormat="1" ht="30.1" customHeight="1" x14ac:dyDescent="0.25">
      <c r="A71" s="1219"/>
      <c r="B71" s="1212"/>
      <c r="C71" s="1212"/>
      <c r="D71" s="1212"/>
      <c r="E71" s="1222"/>
      <c r="F71" s="634" t="s">
        <v>362</v>
      </c>
      <c r="G71" s="1212"/>
      <c r="H71" s="634" t="s">
        <v>244</v>
      </c>
      <c r="I71" s="1212"/>
      <c r="J71" s="1212"/>
      <c r="K71" s="1221"/>
      <c r="L71" s="634">
        <v>20</v>
      </c>
      <c r="M71" s="634" t="s">
        <v>226</v>
      </c>
      <c r="N71" s="634" t="s">
        <v>134</v>
      </c>
      <c r="O71" s="1212"/>
      <c r="P71" s="634"/>
      <c r="Q71" s="635"/>
      <c r="R71" s="1235"/>
      <c r="S71" s="1234"/>
    </row>
    <row r="72" spans="1:19" s="8" customFormat="1" ht="30.1" customHeight="1" x14ac:dyDescent="0.25">
      <c r="A72" s="356">
        <v>29</v>
      </c>
      <c r="B72" s="343" t="s">
        <v>202</v>
      </c>
      <c r="C72" s="343" t="s">
        <v>615</v>
      </c>
      <c r="D72" s="343" t="s">
        <v>361</v>
      </c>
      <c r="E72" s="386">
        <v>35045166</v>
      </c>
      <c r="F72" s="343" t="s">
        <v>362</v>
      </c>
      <c r="G72" s="343" t="s">
        <v>529</v>
      </c>
      <c r="H72" s="343" t="s">
        <v>21</v>
      </c>
      <c r="I72" s="343" t="s">
        <v>1015</v>
      </c>
      <c r="J72" s="869">
        <v>1</v>
      </c>
      <c r="K72" s="869">
        <v>30</v>
      </c>
      <c r="L72" s="869">
        <v>8</v>
      </c>
      <c r="M72" s="387" t="s">
        <v>4</v>
      </c>
      <c r="N72" s="343" t="s">
        <v>586</v>
      </c>
      <c r="O72" s="343" t="s">
        <v>1081</v>
      </c>
      <c r="P72" s="343" t="s">
        <v>1625</v>
      </c>
      <c r="Q72" s="635"/>
      <c r="R72" s="11"/>
      <c r="S72" s="384"/>
    </row>
    <row r="73" spans="1:19" s="8" customFormat="1" ht="30.1" customHeight="1" x14ac:dyDescent="0.25">
      <c r="A73" s="636">
        <v>30</v>
      </c>
      <c r="B73" s="634" t="s">
        <v>670</v>
      </c>
      <c r="C73" s="634" t="s">
        <v>671</v>
      </c>
      <c r="D73" s="634" t="s">
        <v>361</v>
      </c>
      <c r="E73" s="167">
        <v>1003717867</v>
      </c>
      <c r="F73" s="634" t="s">
        <v>362</v>
      </c>
      <c r="G73" s="634" t="s">
        <v>672</v>
      </c>
      <c r="H73" s="634" t="s">
        <v>99</v>
      </c>
      <c r="I73" s="634" t="s">
        <v>1016</v>
      </c>
      <c r="J73" s="697">
        <v>1</v>
      </c>
      <c r="K73" s="641">
        <v>30</v>
      </c>
      <c r="L73" s="641">
        <v>12</v>
      </c>
      <c r="M73" s="168" t="s">
        <v>4</v>
      </c>
      <c r="N73" s="634" t="s">
        <v>960</v>
      </c>
      <c r="O73" s="634" t="s">
        <v>1081</v>
      </c>
      <c r="P73" s="634"/>
      <c r="Q73" s="635"/>
      <c r="R73" s="385" t="s">
        <v>442</v>
      </c>
      <c r="S73" s="384"/>
    </row>
    <row r="74" spans="1:19" s="4" customFormat="1" ht="22.6" customHeight="1" x14ac:dyDescent="0.25">
      <c r="A74" s="1219">
        <v>31</v>
      </c>
      <c r="B74" s="1207" t="s">
        <v>376</v>
      </c>
      <c r="C74" s="1207" t="s">
        <v>377</v>
      </c>
      <c r="D74" s="1207" t="s">
        <v>361</v>
      </c>
      <c r="E74" s="1209">
        <v>23097219</v>
      </c>
      <c r="F74" s="637" t="s">
        <v>362</v>
      </c>
      <c r="G74" s="1207" t="s">
        <v>515</v>
      </c>
      <c r="H74" s="637" t="s">
        <v>14</v>
      </c>
      <c r="I74" s="1207" t="s">
        <v>1017</v>
      </c>
      <c r="J74" s="1211">
        <v>1</v>
      </c>
      <c r="K74" s="1211">
        <v>30</v>
      </c>
      <c r="L74" s="637">
        <v>20</v>
      </c>
      <c r="M74" s="637" t="s">
        <v>4</v>
      </c>
      <c r="N74" s="637" t="s">
        <v>409</v>
      </c>
      <c r="O74" s="1207" t="s">
        <v>1018</v>
      </c>
      <c r="P74" s="1207"/>
      <c r="Q74" s="1225"/>
      <c r="R74" s="381"/>
      <c r="S74" s="381"/>
    </row>
    <row r="75" spans="1:19" s="4" customFormat="1" ht="21.75" customHeight="1" x14ac:dyDescent="0.25">
      <c r="A75" s="1219"/>
      <c r="B75" s="1207"/>
      <c r="C75" s="1207"/>
      <c r="D75" s="1207"/>
      <c r="E75" s="1209"/>
      <c r="F75" s="637" t="s">
        <v>362</v>
      </c>
      <c r="G75" s="1207"/>
      <c r="H75" s="637" t="s">
        <v>14</v>
      </c>
      <c r="I75" s="1207"/>
      <c r="J75" s="1211"/>
      <c r="K75" s="1211"/>
      <c r="L75" s="637">
        <v>20</v>
      </c>
      <c r="M75" s="637" t="s">
        <v>5</v>
      </c>
      <c r="N75" s="637" t="s">
        <v>409</v>
      </c>
      <c r="O75" s="1207"/>
      <c r="P75" s="1207"/>
      <c r="Q75" s="1225"/>
      <c r="R75" s="381"/>
      <c r="S75" s="381"/>
    </row>
    <row r="76" spans="1:19" s="4" customFormat="1" ht="21.75" customHeight="1" x14ac:dyDescent="0.25">
      <c r="A76" s="1219"/>
      <c r="B76" s="1207"/>
      <c r="C76" s="1207"/>
      <c r="D76" s="1207"/>
      <c r="E76" s="1209"/>
      <c r="F76" s="637" t="s">
        <v>362</v>
      </c>
      <c r="G76" s="1207"/>
      <c r="H76" s="637" t="s">
        <v>14</v>
      </c>
      <c r="I76" s="1207"/>
      <c r="J76" s="1211"/>
      <c r="K76" s="1211"/>
      <c r="L76" s="637">
        <v>12</v>
      </c>
      <c r="M76" s="637" t="s">
        <v>226</v>
      </c>
      <c r="N76" s="637" t="s">
        <v>409</v>
      </c>
      <c r="O76" s="1207" t="s">
        <v>1019</v>
      </c>
      <c r="P76" s="637"/>
      <c r="Q76" s="381"/>
      <c r="R76" s="381"/>
      <c r="S76" s="381"/>
    </row>
    <row r="77" spans="1:19" s="4" customFormat="1" ht="21.75" customHeight="1" x14ac:dyDescent="0.25">
      <c r="A77" s="1219"/>
      <c r="B77" s="1207"/>
      <c r="C77" s="1207"/>
      <c r="D77" s="1207"/>
      <c r="E77" s="1209"/>
      <c r="F77" s="637" t="s">
        <v>362</v>
      </c>
      <c r="G77" s="1207"/>
      <c r="H77" s="637" t="s">
        <v>14</v>
      </c>
      <c r="I77" s="1207"/>
      <c r="J77" s="1211"/>
      <c r="K77" s="1211"/>
      <c r="L77" s="637">
        <v>12</v>
      </c>
      <c r="M77" s="637" t="s">
        <v>8</v>
      </c>
      <c r="N77" s="637" t="s">
        <v>409</v>
      </c>
      <c r="O77" s="1207"/>
      <c r="P77" s="637"/>
      <c r="Q77" s="381"/>
      <c r="R77" s="381"/>
      <c r="S77" s="381"/>
    </row>
    <row r="78" spans="1:19" s="8" customFormat="1" ht="30.1" customHeight="1" x14ac:dyDescent="0.25">
      <c r="A78" s="1219">
        <v>32</v>
      </c>
      <c r="B78" s="1212" t="s">
        <v>579</v>
      </c>
      <c r="C78" s="1212" t="s">
        <v>580</v>
      </c>
      <c r="D78" s="1212" t="s">
        <v>361</v>
      </c>
      <c r="E78" s="1222">
        <v>26022651</v>
      </c>
      <c r="F78" s="633" t="s">
        <v>367</v>
      </c>
      <c r="G78" s="1212" t="s">
        <v>532</v>
      </c>
      <c r="H78" s="634" t="s">
        <v>20</v>
      </c>
      <c r="I78" s="1212" t="s">
        <v>1021</v>
      </c>
      <c r="J78" s="1221">
        <v>1</v>
      </c>
      <c r="K78" s="1221">
        <v>30</v>
      </c>
      <c r="L78" s="634">
        <v>12</v>
      </c>
      <c r="M78" s="634" t="s">
        <v>4</v>
      </c>
      <c r="N78" s="634" t="s">
        <v>6</v>
      </c>
      <c r="O78" s="1212" t="s">
        <v>1380</v>
      </c>
      <c r="P78" s="634"/>
      <c r="Q78" s="692"/>
      <c r="R78" s="1233"/>
      <c r="S78" s="384"/>
    </row>
    <row r="79" spans="1:19" s="8" customFormat="1" ht="30.1" customHeight="1" x14ac:dyDescent="0.25">
      <c r="A79" s="1219"/>
      <c r="B79" s="1212"/>
      <c r="C79" s="1212"/>
      <c r="D79" s="1212"/>
      <c r="E79" s="1222"/>
      <c r="F79" s="633" t="s">
        <v>367</v>
      </c>
      <c r="G79" s="1212"/>
      <c r="H79" s="634" t="s">
        <v>20</v>
      </c>
      <c r="I79" s="1212"/>
      <c r="J79" s="1221"/>
      <c r="K79" s="1221"/>
      <c r="L79" s="634">
        <v>12</v>
      </c>
      <c r="M79" s="634" t="s">
        <v>226</v>
      </c>
      <c r="N79" s="634" t="s">
        <v>679</v>
      </c>
      <c r="O79" s="1212"/>
      <c r="P79" s="634"/>
      <c r="Q79" s="692"/>
      <c r="R79" s="1233"/>
      <c r="S79" s="384"/>
    </row>
    <row r="80" spans="1:19" s="4" customFormat="1" ht="30.1" customHeight="1" x14ac:dyDescent="0.25">
      <c r="A80" s="1219">
        <v>33</v>
      </c>
      <c r="B80" s="1207" t="s">
        <v>363</v>
      </c>
      <c r="C80" s="1207" t="s">
        <v>364</v>
      </c>
      <c r="D80" s="1207" t="s">
        <v>361</v>
      </c>
      <c r="E80" s="1209">
        <v>1134329040</v>
      </c>
      <c r="F80" s="637" t="s">
        <v>378</v>
      </c>
      <c r="G80" s="1207" t="s">
        <v>545</v>
      </c>
      <c r="H80" s="637" t="s">
        <v>14</v>
      </c>
      <c r="I80" s="1207" t="s">
        <v>1022</v>
      </c>
      <c r="J80" s="1211">
        <v>7</v>
      </c>
      <c r="K80" s="1211">
        <v>8</v>
      </c>
      <c r="L80" s="637">
        <v>12</v>
      </c>
      <c r="M80" s="637" t="s">
        <v>226</v>
      </c>
      <c r="N80" s="637" t="s">
        <v>409</v>
      </c>
      <c r="O80" s="1207" t="s">
        <v>1397</v>
      </c>
      <c r="P80" s="637"/>
      <c r="Q80" s="381"/>
      <c r="R80" s="381"/>
      <c r="S80" s="381"/>
    </row>
    <row r="81" spans="1:19" s="4" customFormat="1" ht="30.1" customHeight="1" x14ac:dyDescent="0.25">
      <c r="A81" s="1219"/>
      <c r="B81" s="1207"/>
      <c r="C81" s="1207"/>
      <c r="D81" s="1207"/>
      <c r="E81" s="1209"/>
      <c r="F81" s="637" t="s">
        <v>378</v>
      </c>
      <c r="G81" s="1207"/>
      <c r="H81" s="637" t="s">
        <v>14</v>
      </c>
      <c r="I81" s="1207"/>
      <c r="J81" s="1211"/>
      <c r="K81" s="1211"/>
      <c r="L81" s="637">
        <v>20</v>
      </c>
      <c r="M81" s="637" t="s">
        <v>4</v>
      </c>
      <c r="N81" s="637" t="s">
        <v>409</v>
      </c>
      <c r="O81" s="1207"/>
      <c r="P81" s="637"/>
      <c r="Q81" s="381"/>
      <c r="R81" s="381"/>
      <c r="S81" s="381"/>
    </row>
    <row r="82" spans="1:19" ht="33.799999999999997" customHeight="1" x14ac:dyDescent="0.25">
      <c r="A82" s="1255">
        <v>34</v>
      </c>
      <c r="B82" s="1256" t="s">
        <v>1045</v>
      </c>
      <c r="C82" s="1256" t="s">
        <v>1046</v>
      </c>
      <c r="D82" s="1154" t="s">
        <v>361</v>
      </c>
      <c r="E82" s="1254">
        <v>2819303</v>
      </c>
      <c r="F82" s="839" t="s">
        <v>378</v>
      </c>
      <c r="G82" s="1256" t="s">
        <v>1047</v>
      </c>
      <c r="H82" s="839" t="s">
        <v>425</v>
      </c>
      <c r="I82" s="1189">
        <v>3145275942</v>
      </c>
      <c r="J82" s="1208">
        <v>18</v>
      </c>
      <c r="K82" s="1208">
        <v>17</v>
      </c>
      <c r="L82" s="868">
        <v>15</v>
      </c>
      <c r="M82" s="868" t="s">
        <v>4</v>
      </c>
      <c r="N82" s="868" t="s">
        <v>409</v>
      </c>
      <c r="O82" s="1253" t="s">
        <v>1624</v>
      </c>
      <c r="P82" s="1154"/>
    </row>
    <row r="83" spans="1:19" ht="25.5" customHeight="1" x14ac:dyDescent="0.25">
      <c r="A83" s="1255"/>
      <c r="B83" s="1256"/>
      <c r="C83" s="1256"/>
      <c r="D83" s="1154"/>
      <c r="E83" s="1254"/>
      <c r="F83" s="839" t="s">
        <v>378</v>
      </c>
      <c r="G83" s="1256"/>
      <c r="H83" s="839" t="s">
        <v>425</v>
      </c>
      <c r="I83" s="1189"/>
      <c r="J83" s="1208"/>
      <c r="K83" s="1208"/>
      <c r="L83" s="868">
        <v>15</v>
      </c>
      <c r="M83" s="868" t="s">
        <v>5</v>
      </c>
      <c r="N83" s="868" t="s">
        <v>409</v>
      </c>
      <c r="O83" s="1253"/>
      <c r="P83" s="1154"/>
    </row>
    <row r="84" spans="1:19" ht="25.5" customHeight="1" x14ac:dyDescent="0.25">
      <c r="A84" s="1255"/>
      <c r="B84" s="1256"/>
      <c r="C84" s="1256"/>
      <c r="D84" s="1154"/>
      <c r="E84" s="1254"/>
      <c r="F84" s="839" t="s">
        <v>378</v>
      </c>
      <c r="G84" s="1256"/>
      <c r="H84" s="839" t="s">
        <v>425</v>
      </c>
      <c r="I84" s="1189"/>
      <c r="J84" s="1208"/>
      <c r="K84" s="1208"/>
      <c r="L84" s="868">
        <v>4</v>
      </c>
      <c r="M84" s="868" t="s">
        <v>8</v>
      </c>
      <c r="N84" s="868" t="s">
        <v>409</v>
      </c>
      <c r="O84" s="1253"/>
      <c r="P84" s="866"/>
    </row>
    <row r="85" spans="1:19" ht="25.5" customHeight="1" x14ac:dyDescent="0.25">
      <c r="A85" s="1255"/>
      <c r="B85" s="1256"/>
      <c r="C85" s="1256"/>
      <c r="D85" s="1154"/>
      <c r="E85" s="1254"/>
      <c r="F85" s="839" t="s">
        <v>378</v>
      </c>
      <c r="G85" s="1256"/>
      <c r="H85" s="839" t="s">
        <v>425</v>
      </c>
      <c r="I85" s="1189"/>
      <c r="J85" s="1208"/>
      <c r="K85" s="1208"/>
      <c r="L85" s="868" t="s">
        <v>1384</v>
      </c>
      <c r="M85" s="868" t="s">
        <v>225</v>
      </c>
      <c r="N85" s="868" t="s">
        <v>426</v>
      </c>
      <c r="O85" s="1253"/>
      <c r="P85" s="868"/>
    </row>
    <row r="86" spans="1:19" s="2" customFormat="1" ht="30.1" customHeight="1" x14ac:dyDescent="0.25">
      <c r="A86" s="1255"/>
      <c r="B86" s="1256"/>
      <c r="C86" s="1256"/>
      <c r="D86" s="1154"/>
      <c r="E86" s="1254"/>
      <c r="F86" s="839" t="s">
        <v>378</v>
      </c>
      <c r="G86" s="1256"/>
      <c r="H86" s="839" t="s">
        <v>425</v>
      </c>
      <c r="I86" s="1189"/>
      <c r="J86" s="1208"/>
      <c r="K86" s="1208"/>
      <c r="L86" s="839">
        <v>4</v>
      </c>
      <c r="M86" s="839" t="s">
        <v>226</v>
      </c>
      <c r="N86" s="839" t="s">
        <v>409</v>
      </c>
      <c r="O86" s="1253"/>
      <c r="P86" s="839"/>
    </row>
    <row r="87" spans="1:19" ht="34.5" customHeight="1" x14ac:dyDescent="0.25">
      <c r="A87" s="636">
        <v>35</v>
      </c>
      <c r="B87" s="634" t="s">
        <v>1082</v>
      </c>
      <c r="C87" s="634" t="s">
        <v>1083</v>
      </c>
      <c r="D87" s="637" t="s">
        <v>361</v>
      </c>
      <c r="E87" s="638">
        <v>25803606</v>
      </c>
      <c r="F87" s="634" t="s">
        <v>1084</v>
      </c>
      <c r="G87" s="634" t="s">
        <v>532</v>
      </c>
      <c r="H87" s="634" t="s">
        <v>20</v>
      </c>
      <c r="I87" s="640" t="s">
        <v>1085</v>
      </c>
      <c r="J87" s="639">
        <v>1</v>
      </c>
      <c r="K87" s="639">
        <v>30</v>
      </c>
      <c r="L87" s="634">
        <v>20</v>
      </c>
      <c r="M87" s="634" t="s">
        <v>4</v>
      </c>
      <c r="N87" s="634" t="s">
        <v>6</v>
      </c>
      <c r="O87" s="634" t="s">
        <v>1389</v>
      </c>
      <c r="P87" s="634"/>
    </row>
    <row r="88" spans="1:19" ht="29.25" customHeight="1" x14ac:dyDescent="0.25">
      <c r="A88" s="1219">
        <v>36</v>
      </c>
      <c r="B88" s="1212" t="s">
        <v>1086</v>
      </c>
      <c r="C88" s="1212" t="s">
        <v>1087</v>
      </c>
      <c r="D88" s="1207" t="s">
        <v>361</v>
      </c>
      <c r="E88" s="1209">
        <v>50868322</v>
      </c>
      <c r="F88" s="634" t="s">
        <v>1084</v>
      </c>
      <c r="G88" s="1212" t="s">
        <v>1088</v>
      </c>
      <c r="H88" s="634" t="s">
        <v>20</v>
      </c>
      <c r="I88" s="1210" t="s">
        <v>1089</v>
      </c>
      <c r="J88" s="1211">
        <v>1</v>
      </c>
      <c r="K88" s="1211">
        <v>30</v>
      </c>
      <c r="L88" s="634">
        <v>60</v>
      </c>
      <c r="M88" s="634" t="s">
        <v>5</v>
      </c>
      <c r="N88" s="634" t="s">
        <v>6</v>
      </c>
      <c r="O88" s="1218" t="s">
        <v>977</v>
      </c>
      <c r="P88" s="1218" t="s">
        <v>977</v>
      </c>
    </row>
    <row r="89" spans="1:19" ht="30.1" customHeight="1" x14ac:dyDescent="0.25">
      <c r="A89" s="1219"/>
      <c r="B89" s="1212"/>
      <c r="C89" s="1212"/>
      <c r="D89" s="1207"/>
      <c r="E89" s="1209"/>
      <c r="F89" s="634" t="s">
        <v>1084</v>
      </c>
      <c r="G89" s="1212"/>
      <c r="H89" s="634" t="s">
        <v>20</v>
      </c>
      <c r="I89" s="1210"/>
      <c r="J89" s="1211"/>
      <c r="K89" s="1211"/>
      <c r="L89" s="637">
        <v>30</v>
      </c>
      <c r="M89" s="637" t="s">
        <v>4</v>
      </c>
      <c r="N89" s="634" t="s">
        <v>6</v>
      </c>
      <c r="O89" s="1218"/>
      <c r="P89" s="1218"/>
    </row>
    <row r="90" spans="1:19" ht="30.1" customHeight="1" x14ac:dyDescent="0.25">
      <c r="A90" s="636">
        <v>37</v>
      </c>
      <c r="B90" s="634" t="s">
        <v>1090</v>
      </c>
      <c r="C90" s="634" t="s">
        <v>1091</v>
      </c>
      <c r="D90" s="637" t="s">
        <v>361</v>
      </c>
      <c r="E90" s="638">
        <v>10991986</v>
      </c>
      <c r="F90" s="634" t="s">
        <v>1084</v>
      </c>
      <c r="G90" s="640" t="s">
        <v>1092</v>
      </c>
      <c r="H90" s="634" t="s">
        <v>15</v>
      </c>
      <c r="I90" s="640">
        <v>3214483439</v>
      </c>
      <c r="J90" s="641">
        <v>1</v>
      </c>
      <c r="K90" s="639">
        <v>30</v>
      </c>
      <c r="L90" s="634">
        <v>30</v>
      </c>
      <c r="M90" s="634" t="s">
        <v>4</v>
      </c>
      <c r="N90" s="634" t="s">
        <v>16</v>
      </c>
      <c r="O90" s="634" t="s">
        <v>1093</v>
      </c>
      <c r="P90" s="637"/>
    </row>
    <row r="91" spans="1:19" ht="30.1" customHeight="1" x14ac:dyDescent="0.25">
      <c r="A91" s="1219">
        <v>38</v>
      </c>
      <c r="B91" s="1212" t="s">
        <v>1094</v>
      </c>
      <c r="C91" s="1212" t="s">
        <v>1095</v>
      </c>
      <c r="D91" s="1207" t="s">
        <v>361</v>
      </c>
      <c r="E91" s="1209">
        <v>22760251</v>
      </c>
      <c r="F91" s="166" t="s">
        <v>1084</v>
      </c>
      <c r="G91" s="1231" t="s">
        <v>532</v>
      </c>
      <c r="H91" s="634" t="s">
        <v>9</v>
      </c>
      <c r="I91" s="1232" t="s">
        <v>1096</v>
      </c>
      <c r="J91" s="1221">
        <v>1</v>
      </c>
      <c r="K91" s="1211">
        <v>30</v>
      </c>
      <c r="L91" s="634">
        <v>20</v>
      </c>
      <c r="M91" s="634" t="s">
        <v>4</v>
      </c>
      <c r="N91" s="634" t="s">
        <v>7</v>
      </c>
      <c r="O91" s="1212" t="s">
        <v>1204</v>
      </c>
      <c r="P91" s="1212"/>
    </row>
    <row r="92" spans="1:19" ht="30.1" customHeight="1" x14ac:dyDescent="0.25">
      <c r="A92" s="1219"/>
      <c r="B92" s="1212"/>
      <c r="C92" s="1212"/>
      <c r="D92" s="1207"/>
      <c r="E92" s="1209"/>
      <c r="F92" s="166" t="s">
        <v>1084</v>
      </c>
      <c r="G92" s="1231"/>
      <c r="H92" s="634" t="s">
        <v>9</v>
      </c>
      <c r="I92" s="1232"/>
      <c r="J92" s="1221"/>
      <c r="K92" s="1211"/>
      <c r="L92" s="634">
        <v>20</v>
      </c>
      <c r="M92" s="634" t="s">
        <v>8</v>
      </c>
      <c r="N92" s="637" t="s">
        <v>398</v>
      </c>
      <c r="O92" s="1212"/>
      <c r="P92" s="1212"/>
    </row>
    <row r="93" spans="1:19" s="459" customFormat="1" ht="30.1" customHeight="1" x14ac:dyDescent="0.25">
      <c r="A93" s="1219">
        <v>39</v>
      </c>
      <c r="B93" s="1212" t="s">
        <v>1097</v>
      </c>
      <c r="C93" s="1212" t="s">
        <v>1098</v>
      </c>
      <c r="D93" s="1207" t="s">
        <v>361</v>
      </c>
      <c r="E93" s="1209">
        <v>6863365</v>
      </c>
      <c r="F93" s="634" t="s">
        <v>1084</v>
      </c>
      <c r="G93" s="1212" t="s">
        <v>1099</v>
      </c>
      <c r="H93" s="634" t="s">
        <v>14</v>
      </c>
      <c r="I93" s="1210">
        <v>3008151227</v>
      </c>
      <c r="J93" s="1221">
        <v>2</v>
      </c>
      <c r="K93" s="1211">
        <v>1</v>
      </c>
      <c r="L93" s="637">
        <v>60</v>
      </c>
      <c r="M93" s="637" t="s">
        <v>5</v>
      </c>
      <c r="N93" s="1212" t="s">
        <v>409</v>
      </c>
      <c r="O93" s="1212" t="s">
        <v>1430</v>
      </c>
      <c r="P93" s="1212"/>
    </row>
    <row r="94" spans="1:19" s="459" customFormat="1" ht="30.1" customHeight="1" x14ac:dyDescent="0.25">
      <c r="A94" s="1219"/>
      <c r="B94" s="1212"/>
      <c r="C94" s="1212"/>
      <c r="D94" s="1207"/>
      <c r="E94" s="1209"/>
      <c r="F94" s="634" t="s">
        <v>1084</v>
      </c>
      <c r="G94" s="1212"/>
      <c r="H94" s="634" t="s">
        <v>14</v>
      </c>
      <c r="I94" s="1210"/>
      <c r="J94" s="1221"/>
      <c r="K94" s="1211"/>
      <c r="L94" s="637">
        <v>60</v>
      </c>
      <c r="M94" s="637" t="s">
        <v>4</v>
      </c>
      <c r="N94" s="1212"/>
      <c r="O94" s="1212"/>
      <c r="P94" s="1212"/>
    </row>
    <row r="95" spans="1:19" s="459" customFormat="1" ht="30.1" customHeight="1" x14ac:dyDescent="0.25">
      <c r="A95" s="1219"/>
      <c r="B95" s="1212"/>
      <c r="C95" s="1212"/>
      <c r="D95" s="1207"/>
      <c r="E95" s="1209"/>
      <c r="F95" s="634" t="s">
        <v>1084</v>
      </c>
      <c r="G95" s="1212"/>
      <c r="H95" s="634" t="s">
        <v>14</v>
      </c>
      <c r="I95" s="1210"/>
      <c r="J95" s="1221"/>
      <c r="K95" s="1211"/>
      <c r="L95" s="637">
        <v>12</v>
      </c>
      <c r="M95" s="637" t="s">
        <v>226</v>
      </c>
      <c r="N95" s="1212"/>
      <c r="O95" s="1212"/>
      <c r="P95" s="1212"/>
    </row>
    <row r="96" spans="1:19" ht="23.95" customHeight="1" x14ac:dyDescent="0.25">
      <c r="A96" s="1219">
        <v>40</v>
      </c>
      <c r="B96" s="1227" t="s">
        <v>393</v>
      </c>
      <c r="C96" s="1227" t="s">
        <v>1100</v>
      </c>
      <c r="D96" s="1227" t="s">
        <v>361</v>
      </c>
      <c r="E96" s="1228">
        <v>78037181</v>
      </c>
      <c r="F96" s="461" t="s">
        <v>1101</v>
      </c>
      <c r="G96" s="1207" t="s">
        <v>1102</v>
      </c>
      <c r="H96" s="461" t="s">
        <v>22</v>
      </c>
      <c r="I96" s="1229">
        <v>3045339349</v>
      </c>
      <c r="J96" s="1230">
        <v>1</v>
      </c>
      <c r="K96" s="1230">
        <v>30</v>
      </c>
      <c r="L96" s="460">
        <v>20</v>
      </c>
      <c r="M96" s="461" t="s">
        <v>4</v>
      </c>
      <c r="N96" s="461" t="s">
        <v>23</v>
      </c>
      <c r="O96" s="1207" t="s">
        <v>1103</v>
      </c>
      <c r="P96" s="1212"/>
    </row>
    <row r="97" spans="1:16" ht="23.95" customHeight="1" x14ac:dyDescent="0.25">
      <c r="A97" s="1219"/>
      <c r="B97" s="1227"/>
      <c r="C97" s="1227"/>
      <c r="D97" s="1227"/>
      <c r="E97" s="1228"/>
      <c r="F97" s="461" t="s">
        <v>1101</v>
      </c>
      <c r="G97" s="1207"/>
      <c r="H97" s="461" t="s">
        <v>22</v>
      </c>
      <c r="I97" s="1229"/>
      <c r="J97" s="1230"/>
      <c r="K97" s="1230"/>
      <c r="L97" s="460">
        <v>60</v>
      </c>
      <c r="M97" s="461" t="s">
        <v>5</v>
      </c>
      <c r="N97" s="461" t="s">
        <v>23</v>
      </c>
      <c r="O97" s="1207"/>
      <c r="P97" s="1212"/>
    </row>
    <row r="98" spans="1:16" ht="23.95" customHeight="1" x14ac:dyDescent="0.25">
      <c r="A98" s="1219"/>
      <c r="B98" s="1227"/>
      <c r="C98" s="1227"/>
      <c r="D98" s="1227"/>
      <c r="E98" s="1228"/>
      <c r="F98" s="461" t="s">
        <v>1101</v>
      </c>
      <c r="G98" s="1207"/>
      <c r="H98" s="461" t="s">
        <v>22</v>
      </c>
      <c r="I98" s="1229"/>
      <c r="J98" s="1230"/>
      <c r="K98" s="1230"/>
      <c r="L98" s="460">
        <v>20</v>
      </c>
      <c r="M98" s="461" t="s">
        <v>226</v>
      </c>
      <c r="N98" s="461" t="s">
        <v>1104</v>
      </c>
      <c r="O98" s="1207"/>
      <c r="P98" s="1212"/>
    </row>
    <row r="99" spans="1:16" s="459" customFormat="1" ht="30.1" customHeight="1" x14ac:dyDescent="0.25">
      <c r="A99" s="1219">
        <v>41</v>
      </c>
      <c r="B99" s="1207" t="s">
        <v>1105</v>
      </c>
      <c r="C99" s="1207" t="s">
        <v>1106</v>
      </c>
      <c r="D99" s="1207" t="s">
        <v>361</v>
      </c>
      <c r="E99" s="1209">
        <v>78027242</v>
      </c>
      <c r="F99" s="637" t="s">
        <v>1084</v>
      </c>
      <c r="G99" s="1207" t="s">
        <v>533</v>
      </c>
      <c r="H99" s="637" t="s">
        <v>9</v>
      </c>
      <c r="I99" s="1210">
        <v>3113286434</v>
      </c>
      <c r="J99" s="1211">
        <v>1</v>
      </c>
      <c r="K99" s="1211">
        <v>30</v>
      </c>
      <c r="L99" s="462">
        <v>20</v>
      </c>
      <c r="M99" s="637" t="s">
        <v>4</v>
      </c>
      <c r="N99" s="637" t="s">
        <v>7</v>
      </c>
      <c r="O99" s="1214" t="s">
        <v>1107</v>
      </c>
      <c r="P99" s="1207"/>
    </row>
    <row r="100" spans="1:16" s="459" customFormat="1" ht="30.1" customHeight="1" x14ac:dyDescent="0.25">
      <c r="A100" s="1219"/>
      <c r="B100" s="1207"/>
      <c r="C100" s="1207"/>
      <c r="D100" s="1207"/>
      <c r="E100" s="1209"/>
      <c r="F100" s="637" t="s">
        <v>1084</v>
      </c>
      <c r="G100" s="1207"/>
      <c r="H100" s="637" t="s">
        <v>9</v>
      </c>
      <c r="I100" s="1210"/>
      <c r="J100" s="1211"/>
      <c r="K100" s="1211"/>
      <c r="L100" s="462">
        <v>20</v>
      </c>
      <c r="M100" s="637" t="s">
        <v>5</v>
      </c>
      <c r="N100" s="637" t="s">
        <v>7</v>
      </c>
      <c r="O100" s="1214"/>
      <c r="P100" s="1207"/>
    </row>
    <row r="101" spans="1:16" s="459" customFormat="1" ht="30.1" customHeight="1" x14ac:dyDescent="0.25">
      <c r="A101" s="1219"/>
      <c r="B101" s="1207"/>
      <c r="C101" s="1207"/>
      <c r="D101" s="1207"/>
      <c r="E101" s="1209"/>
      <c r="F101" s="637" t="s">
        <v>1084</v>
      </c>
      <c r="G101" s="1207"/>
      <c r="H101" s="637" t="s">
        <v>9</v>
      </c>
      <c r="I101" s="1210"/>
      <c r="J101" s="1211"/>
      <c r="K101" s="1211"/>
      <c r="L101" s="462">
        <v>20</v>
      </c>
      <c r="M101" s="637" t="s">
        <v>226</v>
      </c>
      <c r="N101" s="637" t="s">
        <v>381</v>
      </c>
      <c r="O101" s="1214"/>
      <c r="P101" s="1207"/>
    </row>
    <row r="102" spans="1:16" s="459" customFormat="1" ht="30.1" customHeight="1" x14ac:dyDescent="0.25">
      <c r="A102" s="1219"/>
      <c r="B102" s="1207"/>
      <c r="C102" s="1207"/>
      <c r="D102" s="1207"/>
      <c r="E102" s="1209"/>
      <c r="F102" s="637" t="s">
        <v>1084</v>
      </c>
      <c r="G102" s="637"/>
      <c r="H102" s="637" t="s">
        <v>9</v>
      </c>
      <c r="I102" s="1210"/>
      <c r="J102" s="1211"/>
      <c r="K102" s="1211"/>
      <c r="L102" s="462">
        <v>20</v>
      </c>
      <c r="M102" s="637" t="s">
        <v>8</v>
      </c>
      <c r="N102" s="637" t="s">
        <v>398</v>
      </c>
      <c r="O102" s="1214"/>
      <c r="P102" s="1207"/>
    </row>
    <row r="103" spans="1:16" s="8" customFormat="1" ht="30.1" customHeight="1" x14ac:dyDescent="0.25">
      <c r="A103" s="1219">
        <v>42</v>
      </c>
      <c r="B103" s="1212" t="s">
        <v>1108</v>
      </c>
      <c r="C103" s="1212" t="s">
        <v>1109</v>
      </c>
      <c r="D103" s="1212" t="s">
        <v>361</v>
      </c>
      <c r="E103" s="1222">
        <v>30571313</v>
      </c>
      <c r="F103" s="688" t="s">
        <v>1084</v>
      </c>
      <c r="G103" s="1212" t="s">
        <v>1110</v>
      </c>
      <c r="H103" s="688" t="s">
        <v>20</v>
      </c>
      <c r="I103" s="1210" t="s">
        <v>1111</v>
      </c>
      <c r="J103" s="1226">
        <v>1</v>
      </c>
      <c r="K103" s="1221">
        <v>30</v>
      </c>
      <c r="L103" s="688">
        <v>12</v>
      </c>
      <c r="M103" s="688" t="s">
        <v>4</v>
      </c>
      <c r="N103" s="688" t="s">
        <v>6</v>
      </c>
      <c r="O103" s="1215" t="s">
        <v>1468</v>
      </c>
      <c r="P103" s="1212"/>
    </row>
    <row r="104" spans="1:16" s="8" customFormat="1" ht="30.1" customHeight="1" x14ac:dyDescent="0.25">
      <c r="A104" s="1219"/>
      <c r="B104" s="1212"/>
      <c r="C104" s="1212"/>
      <c r="D104" s="1212"/>
      <c r="E104" s="1222"/>
      <c r="F104" s="688" t="s">
        <v>1084</v>
      </c>
      <c r="G104" s="1212"/>
      <c r="H104" s="688" t="s">
        <v>20</v>
      </c>
      <c r="I104" s="1210"/>
      <c r="J104" s="1226"/>
      <c r="K104" s="1221"/>
      <c r="L104" s="688">
        <v>12</v>
      </c>
      <c r="M104" s="688" t="s">
        <v>8</v>
      </c>
      <c r="N104" s="688" t="s">
        <v>390</v>
      </c>
      <c r="O104" s="1216"/>
      <c r="P104" s="1212"/>
    </row>
    <row r="105" spans="1:16" s="8" customFormat="1" ht="30.1" customHeight="1" x14ac:dyDescent="0.25">
      <c r="A105" s="1219"/>
      <c r="B105" s="1212"/>
      <c r="C105" s="1212"/>
      <c r="D105" s="1212"/>
      <c r="E105" s="1222"/>
      <c r="F105" s="688" t="s">
        <v>1084</v>
      </c>
      <c r="G105" s="1212"/>
      <c r="H105" s="688" t="s">
        <v>20</v>
      </c>
      <c r="I105" s="1210"/>
      <c r="J105" s="1226"/>
      <c r="K105" s="1221"/>
      <c r="L105" s="688">
        <v>12</v>
      </c>
      <c r="M105" s="688" t="s">
        <v>226</v>
      </c>
      <c r="N105" s="688" t="s">
        <v>679</v>
      </c>
      <c r="O105" s="1217"/>
      <c r="P105" s="1212"/>
    </row>
    <row r="106" spans="1:16" s="381" customFormat="1" ht="30.1" customHeight="1" x14ac:dyDescent="0.25">
      <c r="A106" s="1219">
        <v>43</v>
      </c>
      <c r="B106" s="1220" t="s">
        <v>1112</v>
      </c>
      <c r="C106" s="1220" t="s">
        <v>1113</v>
      </c>
      <c r="D106" s="1207" t="s">
        <v>361</v>
      </c>
      <c r="E106" s="1209">
        <v>22301501</v>
      </c>
      <c r="F106" s="634" t="s">
        <v>1084</v>
      </c>
      <c r="G106" s="1212" t="s">
        <v>1114</v>
      </c>
      <c r="H106" s="634" t="s">
        <v>14</v>
      </c>
      <c r="I106" s="1210">
        <v>3012237430</v>
      </c>
      <c r="J106" s="1221">
        <v>25</v>
      </c>
      <c r="K106" s="1221">
        <v>24</v>
      </c>
      <c r="L106" s="637">
        <v>12</v>
      </c>
      <c r="M106" s="634" t="s">
        <v>4</v>
      </c>
      <c r="N106" s="634" t="s">
        <v>409</v>
      </c>
      <c r="O106" s="1207" t="s">
        <v>977</v>
      </c>
      <c r="P106" s="1213" t="s">
        <v>977</v>
      </c>
    </row>
    <row r="107" spans="1:16" s="381" customFormat="1" ht="29.25" customHeight="1" x14ac:dyDescent="0.25">
      <c r="A107" s="1219"/>
      <c r="B107" s="1220"/>
      <c r="C107" s="1220"/>
      <c r="D107" s="1207"/>
      <c r="E107" s="1209"/>
      <c r="F107" s="634" t="s">
        <v>1084</v>
      </c>
      <c r="G107" s="1212"/>
      <c r="H107" s="634" t="s">
        <v>14</v>
      </c>
      <c r="I107" s="1210"/>
      <c r="J107" s="1221"/>
      <c r="K107" s="1221"/>
      <c r="L107" s="634">
        <v>8</v>
      </c>
      <c r="M107" s="634" t="s">
        <v>226</v>
      </c>
      <c r="N107" s="634" t="s">
        <v>409</v>
      </c>
      <c r="O107" s="1207"/>
      <c r="P107" s="1213"/>
    </row>
    <row r="108" spans="1:16" s="381" customFormat="1" ht="30.1" customHeight="1" x14ac:dyDescent="0.25">
      <c r="A108" s="1219">
        <v>44</v>
      </c>
      <c r="B108" s="1224" t="s">
        <v>1115</v>
      </c>
      <c r="C108" s="1224" t="s">
        <v>1116</v>
      </c>
      <c r="D108" s="1207" t="s">
        <v>361</v>
      </c>
      <c r="E108" s="1209">
        <v>25784195</v>
      </c>
      <c r="F108" s="637" t="s">
        <v>1084</v>
      </c>
      <c r="G108" s="1207" t="s">
        <v>515</v>
      </c>
      <c r="H108" s="637" t="s">
        <v>14</v>
      </c>
      <c r="I108" s="1210" t="s">
        <v>1117</v>
      </c>
      <c r="J108" s="1211">
        <v>1</v>
      </c>
      <c r="K108" s="1211">
        <v>30</v>
      </c>
      <c r="L108" s="637">
        <v>20</v>
      </c>
      <c r="M108" s="637" t="s">
        <v>4</v>
      </c>
      <c r="N108" s="637" t="s">
        <v>409</v>
      </c>
      <c r="O108" s="1207" t="s">
        <v>1118</v>
      </c>
      <c r="P108" s="1207"/>
    </row>
    <row r="109" spans="1:16" s="381" customFormat="1" ht="30.1" customHeight="1" x14ac:dyDescent="0.25">
      <c r="A109" s="1219"/>
      <c r="B109" s="1224"/>
      <c r="C109" s="1224"/>
      <c r="D109" s="1207"/>
      <c r="E109" s="1209"/>
      <c r="F109" s="637" t="s">
        <v>1084</v>
      </c>
      <c r="G109" s="1207"/>
      <c r="H109" s="637" t="s">
        <v>14</v>
      </c>
      <c r="I109" s="1210"/>
      <c r="J109" s="1211"/>
      <c r="K109" s="1211"/>
      <c r="L109" s="637">
        <v>20</v>
      </c>
      <c r="M109" s="637" t="s">
        <v>226</v>
      </c>
      <c r="N109" s="637" t="s">
        <v>409</v>
      </c>
      <c r="O109" s="1207"/>
      <c r="P109" s="1207"/>
    </row>
    <row r="110" spans="1:16" ht="30.1" customHeight="1" x14ac:dyDescent="0.25">
      <c r="A110" s="636">
        <v>45</v>
      </c>
      <c r="B110" s="637" t="s">
        <v>1119</v>
      </c>
      <c r="C110" s="637" t="s">
        <v>1120</v>
      </c>
      <c r="D110" s="637" t="s">
        <v>361</v>
      </c>
      <c r="E110" s="638">
        <v>45425572</v>
      </c>
      <c r="F110" s="637" t="s">
        <v>1084</v>
      </c>
      <c r="G110" s="637" t="s">
        <v>532</v>
      </c>
      <c r="H110" s="637" t="s">
        <v>401</v>
      </c>
      <c r="I110" s="640">
        <v>3205178764</v>
      </c>
      <c r="J110" s="639">
        <v>1</v>
      </c>
      <c r="K110" s="639">
        <v>30</v>
      </c>
      <c r="L110" s="637">
        <v>12</v>
      </c>
      <c r="M110" s="637" t="s">
        <v>4</v>
      </c>
      <c r="N110" s="637" t="s">
        <v>593</v>
      </c>
      <c r="O110" s="637" t="s">
        <v>1121</v>
      </c>
      <c r="P110" s="637"/>
    </row>
    <row r="111" spans="1:16" s="463" customFormat="1" ht="68.3" customHeight="1" x14ac:dyDescent="0.25">
      <c r="A111" s="636">
        <v>46</v>
      </c>
      <c r="B111" s="634" t="s">
        <v>1122</v>
      </c>
      <c r="C111" s="634" t="s">
        <v>1123</v>
      </c>
      <c r="D111" s="634" t="s">
        <v>370</v>
      </c>
      <c r="E111" s="167">
        <v>1137975345</v>
      </c>
      <c r="F111" s="634" t="s">
        <v>1084</v>
      </c>
      <c r="G111" s="634" t="s">
        <v>518</v>
      </c>
      <c r="H111" s="634" t="s">
        <v>400</v>
      </c>
      <c r="I111" s="634" t="s">
        <v>1124</v>
      </c>
      <c r="J111" s="634">
        <v>6</v>
      </c>
      <c r="K111" s="641">
        <v>5</v>
      </c>
      <c r="L111" s="641">
        <v>24</v>
      </c>
      <c r="M111" s="168" t="s">
        <v>4</v>
      </c>
      <c r="N111" s="634" t="s">
        <v>1125</v>
      </c>
      <c r="O111" s="634" t="s">
        <v>1126</v>
      </c>
      <c r="P111" s="634"/>
    </row>
    <row r="112" spans="1:16" s="8" customFormat="1" ht="30.1" customHeight="1" x14ac:dyDescent="0.25">
      <c r="A112" s="636">
        <v>47</v>
      </c>
      <c r="B112" s="634" t="s">
        <v>1127</v>
      </c>
      <c r="C112" s="634" t="s">
        <v>1128</v>
      </c>
      <c r="D112" s="634" t="s">
        <v>361</v>
      </c>
      <c r="E112" s="167">
        <v>25756969</v>
      </c>
      <c r="F112" s="634" t="s">
        <v>1084</v>
      </c>
      <c r="G112" s="634" t="s">
        <v>530</v>
      </c>
      <c r="H112" s="634" t="s">
        <v>9</v>
      </c>
      <c r="I112" s="634" t="s">
        <v>1129</v>
      </c>
      <c r="J112" s="641">
        <v>1</v>
      </c>
      <c r="K112" s="641">
        <v>30</v>
      </c>
      <c r="L112" s="641">
        <v>20</v>
      </c>
      <c r="M112" s="168" t="s">
        <v>4</v>
      </c>
      <c r="N112" s="634" t="s">
        <v>1130</v>
      </c>
      <c r="O112" s="634" t="s">
        <v>1131</v>
      </c>
      <c r="P112" s="634" t="s">
        <v>1132</v>
      </c>
    </row>
    <row r="113" spans="1:17" s="8" customFormat="1" ht="30.1" customHeight="1" x14ac:dyDescent="0.25">
      <c r="A113" s="1219">
        <v>48</v>
      </c>
      <c r="B113" s="1212" t="s">
        <v>1133</v>
      </c>
      <c r="C113" s="1212" t="s">
        <v>1134</v>
      </c>
      <c r="D113" s="1212" t="s">
        <v>361</v>
      </c>
      <c r="E113" s="1222">
        <v>15302849</v>
      </c>
      <c r="F113" s="634" t="s">
        <v>1084</v>
      </c>
      <c r="G113" s="1212" t="s">
        <v>519</v>
      </c>
      <c r="H113" s="634" t="s">
        <v>20</v>
      </c>
      <c r="I113" s="1212" t="s">
        <v>1135</v>
      </c>
      <c r="J113" s="1212">
        <v>1</v>
      </c>
      <c r="K113" s="1221">
        <v>30</v>
      </c>
      <c r="L113" s="634">
        <v>20</v>
      </c>
      <c r="M113" s="634" t="s">
        <v>4</v>
      </c>
      <c r="N113" s="634" t="s">
        <v>6</v>
      </c>
      <c r="O113" s="1212" t="s">
        <v>1429</v>
      </c>
      <c r="P113" s="1223" t="s">
        <v>1136</v>
      </c>
    </row>
    <row r="114" spans="1:17" s="8" customFormat="1" ht="30.1" customHeight="1" x14ac:dyDescent="0.25">
      <c r="A114" s="1219"/>
      <c r="B114" s="1212"/>
      <c r="C114" s="1212"/>
      <c r="D114" s="1212"/>
      <c r="E114" s="1222"/>
      <c r="F114" s="634" t="s">
        <v>1084</v>
      </c>
      <c r="G114" s="1212"/>
      <c r="H114" s="634" t="s">
        <v>20</v>
      </c>
      <c r="I114" s="1212"/>
      <c r="J114" s="1212"/>
      <c r="K114" s="1221"/>
      <c r="L114" s="634">
        <v>20</v>
      </c>
      <c r="M114" s="634" t="s">
        <v>8</v>
      </c>
      <c r="N114" s="634" t="s">
        <v>494</v>
      </c>
      <c r="O114" s="1212"/>
      <c r="P114" s="1223"/>
    </row>
    <row r="115" spans="1:17" s="381" customFormat="1" ht="30.1" customHeight="1" x14ac:dyDescent="0.25">
      <c r="A115" s="1219">
        <v>49</v>
      </c>
      <c r="B115" s="1224" t="s">
        <v>1137</v>
      </c>
      <c r="C115" s="1224" t="s">
        <v>1138</v>
      </c>
      <c r="D115" s="1207" t="s">
        <v>361</v>
      </c>
      <c r="E115" s="1209">
        <v>1067959980</v>
      </c>
      <c r="F115" s="634" t="s">
        <v>1084</v>
      </c>
      <c r="G115" s="1207" t="s">
        <v>528</v>
      </c>
      <c r="H115" s="637" t="s">
        <v>14</v>
      </c>
      <c r="I115" s="1207" t="s">
        <v>1139</v>
      </c>
      <c r="J115" s="1211">
        <v>1</v>
      </c>
      <c r="K115" s="1211">
        <v>30</v>
      </c>
      <c r="L115" s="637">
        <v>20</v>
      </c>
      <c r="M115" s="637" t="s">
        <v>4</v>
      </c>
      <c r="N115" s="637" t="s">
        <v>409</v>
      </c>
      <c r="O115" s="1207" t="s">
        <v>1140</v>
      </c>
      <c r="P115" s="637"/>
      <c r="Q115" s="1225"/>
    </row>
    <row r="116" spans="1:17" s="381" customFormat="1" ht="30.1" customHeight="1" x14ac:dyDescent="0.25">
      <c r="A116" s="1219"/>
      <c r="B116" s="1224"/>
      <c r="C116" s="1224"/>
      <c r="D116" s="1207"/>
      <c r="E116" s="1209"/>
      <c r="F116" s="637" t="s">
        <v>1084</v>
      </c>
      <c r="G116" s="1207"/>
      <c r="H116" s="637" t="s">
        <v>14</v>
      </c>
      <c r="I116" s="1207"/>
      <c r="J116" s="1211"/>
      <c r="K116" s="1211"/>
      <c r="L116" s="637">
        <v>20</v>
      </c>
      <c r="M116" s="637" t="s">
        <v>8</v>
      </c>
      <c r="N116" s="637" t="s">
        <v>409</v>
      </c>
      <c r="O116" s="1207"/>
      <c r="P116" s="637"/>
      <c r="Q116" s="1225"/>
    </row>
    <row r="117" spans="1:17" s="381" customFormat="1" ht="30.1" customHeight="1" x14ac:dyDescent="0.25">
      <c r="A117" s="1219"/>
      <c r="B117" s="1224"/>
      <c r="C117" s="1224"/>
      <c r="D117" s="1207"/>
      <c r="E117" s="1209"/>
      <c r="F117" s="637" t="s">
        <v>1084</v>
      </c>
      <c r="G117" s="1207"/>
      <c r="H117" s="637" t="s">
        <v>14</v>
      </c>
      <c r="I117" s="1207"/>
      <c r="J117" s="1211"/>
      <c r="K117" s="1211"/>
      <c r="L117" s="637">
        <v>20</v>
      </c>
      <c r="M117" s="637" t="s">
        <v>226</v>
      </c>
      <c r="N117" s="637" t="s">
        <v>409</v>
      </c>
      <c r="O117" s="1207"/>
      <c r="P117" s="637"/>
      <c r="Q117" s="1225"/>
    </row>
    <row r="118" spans="1:17" s="4" customFormat="1" ht="30.1" customHeight="1" x14ac:dyDescent="0.25">
      <c r="A118" s="1219">
        <v>50</v>
      </c>
      <c r="B118" s="1207" t="s">
        <v>663</v>
      </c>
      <c r="C118" s="1207" t="s">
        <v>664</v>
      </c>
      <c r="D118" s="1207" t="s">
        <v>361</v>
      </c>
      <c r="E118" s="1209">
        <v>50896806</v>
      </c>
      <c r="F118" s="637" t="s">
        <v>362</v>
      </c>
      <c r="G118" s="1207" t="s">
        <v>1502</v>
      </c>
      <c r="H118" s="165" t="s">
        <v>14</v>
      </c>
      <c r="I118" s="1207" t="s">
        <v>1205</v>
      </c>
      <c r="J118" s="1211">
        <v>1</v>
      </c>
      <c r="K118" s="1211">
        <v>30</v>
      </c>
      <c r="L118" s="637">
        <v>12</v>
      </c>
      <c r="M118" s="637" t="s">
        <v>4</v>
      </c>
      <c r="N118" s="637" t="s">
        <v>409</v>
      </c>
      <c r="O118" s="1205" t="s">
        <v>1478</v>
      </c>
      <c r="P118" s="165"/>
      <c r="Q118" s="381"/>
    </row>
    <row r="119" spans="1:17" s="4" customFormat="1" ht="30.1" customHeight="1" x14ac:dyDescent="0.25">
      <c r="A119" s="1219"/>
      <c r="B119" s="1207"/>
      <c r="C119" s="1207"/>
      <c r="D119" s="1207"/>
      <c r="E119" s="1209"/>
      <c r="F119" s="637" t="s">
        <v>362</v>
      </c>
      <c r="G119" s="1207"/>
      <c r="H119" s="165" t="s">
        <v>14</v>
      </c>
      <c r="I119" s="1207"/>
      <c r="J119" s="1211"/>
      <c r="K119" s="1211"/>
      <c r="L119" s="637">
        <v>12</v>
      </c>
      <c r="M119" s="637" t="s">
        <v>226</v>
      </c>
      <c r="N119" s="637" t="s">
        <v>1206</v>
      </c>
      <c r="O119" s="1206"/>
      <c r="P119" s="165"/>
      <c r="Q119" s="381"/>
    </row>
    <row r="120" spans="1:17" ht="30.1" customHeight="1" x14ac:dyDescent="0.25">
      <c r="A120" s="1219"/>
      <c r="B120" s="1207"/>
      <c r="C120" s="1207"/>
      <c r="D120" s="1207"/>
      <c r="E120" s="1209"/>
      <c r="F120" s="637" t="s">
        <v>362</v>
      </c>
      <c r="G120" s="1207"/>
      <c r="H120" s="165" t="s">
        <v>14</v>
      </c>
      <c r="I120" s="1207"/>
      <c r="J120" s="1211"/>
      <c r="K120" s="1211"/>
      <c r="L120" s="637">
        <v>30</v>
      </c>
      <c r="M120" s="637" t="s">
        <v>8</v>
      </c>
      <c r="N120" s="637" t="s">
        <v>409</v>
      </c>
      <c r="O120" s="637" t="s">
        <v>1479</v>
      </c>
      <c r="P120" s="637"/>
    </row>
    <row r="121" spans="1:17" ht="30.1" customHeight="1" x14ac:dyDescent="0.25">
      <c r="A121" s="1219"/>
      <c r="B121" s="1207"/>
      <c r="C121" s="1207"/>
      <c r="D121" s="1207"/>
      <c r="E121" s="1209"/>
      <c r="F121" s="637" t="s">
        <v>362</v>
      </c>
      <c r="G121" s="1207"/>
      <c r="H121" s="165" t="s">
        <v>14</v>
      </c>
      <c r="I121" s="1207"/>
      <c r="J121" s="1211"/>
      <c r="K121" s="1211"/>
      <c r="L121" s="637">
        <v>60</v>
      </c>
      <c r="M121" s="637" t="s">
        <v>5</v>
      </c>
      <c r="N121" s="637" t="s">
        <v>409</v>
      </c>
      <c r="O121" s="637" t="s">
        <v>1207</v>
      </c>
      <c r="P121" s="637"/>
    </row>
    <row r="122" spans="1:17" ht="30.1" customHeight="1" x14ac:dyDescent="0.25">
      <c r="A122" s="1258">
        <v>51</v>
      </c>
      <c r="B122" s="1205" t="s">
        <v>1500</v>
      </c>
      <c r="C122" s="1205" t="s">
        <v>1501</v>
      </c>
      <c r="D122" s="1205" t="s">
        <v>361</v>
      </c>
      <c r="E122" s="1260">
        <v>10952415</v>
      </c>
      <c r="F122" s="637" t="s">
        <v>362</v>
      </c>
      <c r="G122" s="1205" t="s">
        <v>536</v>
      </c>
      <c r="H122" s="637" t="s">
        <v>20</v>
      </c>
      <c r="I122" s="1262" t="s">
        <v>1504</v>
      </c>
      <c r="J122" s="1264">
        <v>1</v>
      </c>
      <c r="K122" s="1264">
        <v>30</v>
      </c>
      <c r="L122" s="637">
        <v>90</v>
      </c>
      <c r="M122" s="637" t="s">
        <v>5</v>
      </c>
      <c r="N122" s="637" t="s">
        <v>6</v>
      </c>
      <c r="O122" s="1205" t="s">
        <v>1627</v>
      </c>
      <c r="P122" s="637"/>
    </row>
    <row r="123" spans="1:17" ht="30.1" customHeight="1" x14ac:dyDescent="0.25">
      <c r="A123" s="1259"/>
      <c r="B123" s="1206"/>
      <c r="C123" s="1206"/>
      <c r="D123" s="1206"/>
      <c r="E123" s="1261"/>
      <c r="F123" s="758" t="s">
        <v>362</v>
      </c>
      <c r="G123" s="1206"/>
      <c r="H123" s="851" t="s">
        <v>20</v>
      </c>
      <c r="I123" s="1263"/>
      <c r="J123" s="1265"/>
      <c r="K123" s="1265"/>
      <c r="L123" s="637">
        <v>60</v>
      </c>
      <c r="M123" s="637" t="s">
        <v>4</v>
      </c>
      <c r="N123" s="637" t="s">
        <v>6</v>
      </c>
      <c r="O123" s="1206"/>
      <c r="P123" s="637"/>
    </row>
    <row r="124" spans="1:17" ht="30.1" customHeight="1" x14ac:dyDescent="0.25">
      <c r="A124" s="444">
        <v>52</v>
      </c>
      <c r="B124" s="445" t="s">
        <v>1507</v>
      </c>
      <c r="C124" s="445" t="s">
        <v>1508</v>
      </c>
      <c r="D124" s="445" t="s">
        <v>361</v>
      </c>
      <c r="E124" s="604">
        <v>6810263</v>
      </c>
      <c r="F124" s="445" t="s">
        <v>362</v>
      </c>
      <c r="G124" s="445" t="s">
        <v>1509</v>
      </c>
      <c r="H124" s="445" t="s">
        <v>1510</v>
      </c>
      <c r="I124" s="205" t="s">
        <v>1511</v>
      </c>
      <c r="J124" s="446">
        <v>1</v>
      </c>
      <c r="K124" s="446">
        <v>30</v>
      </c>
      <c r="L124" s="445">
        <v>30</v>
      </c>
      <c r="M124" s="445" t="s">
        <v>1600</v>
      </c>
      <c r="N124" s="445" t="s">
        <v>348</v>
      </c>
      <c r="O124" s="445" t="s">
        <v>1512</v>
      </c>
      <c r="P124" s="445"/>
    </row>
    <row r="125" spans="1:17" ht="30.1" customHeight="1" x14ac:dyDescent="0.25">
      <c r="A125" s="444">
        <v>53</v>
      </c>
      <c r="B125" s="445" t="s">
        <v>1557</v>
      </c>
      <c r="C125" s="445" t="s">
        <v>1558</v>
      </c>
      <c r="D125" s="445" t="s">
        <v>361</v>
      </c>
      <c r="E125" s="604">
        <v>1551892</v>
      </c>
      <c r="F125" s="445" t="s">
        <v>378</v>
      </c>
      <c r="G125" s="445" t="s">
        <v>1559</v>
      </c>
      <c r="H125" s="445" t="s">
        <v>22</v>
      </c>
      <c r="I125" s="205" t="s">
        <v>1560</v>
      </c>
      <c r="J125" s="446">
        <v>20</v>
      </c>
      <c r="K125" s="446">
        <v>19</v>
      </c>
      <c r="L125" s="445">
        <v>20</v>
      </c>
      <c r="M125" s="445" t="s">
        <v>4</v>
      </c>
      <c r="N125" s="445" t="s">
        <v>23</v>
      </c>
      <c r="O125" s="445" t="s">
        <v>1561</v>
      </c>
      <c r="P125" s="445"/>
    </row>
    <row r="126" spans="1:17" ht="30.1" customHeight="1" x14ac:dyDescent="0.25">
      <c r="A126" s="444">
        <v>54</v>
      </c>
      <c r="B126" s="445"/>
      <c r="C126" s="445"/>
      <c r="D126" s="445"/>
      <c r="E126" s="604"/>
      <c r="F126" s="445"/>
      <c r="G126" s="445"/>
      <c r="H126" s="445"/>
      <c r="I126" s="205"/>
      <c r="J126" s="446"/>
      <c r="K126" s="446"/>
      <c r="L126" s="445"/>
      <c r="M126" s="445"/>
      <c r="N126" s="445"/>
      <c r="O126" s="445"/>
      <c r="P126" s="445"/>
    </row>
    <row r="127" spans="1:17" ht="30.1" customHeight="1" x14ac:dyDescent="0.25">
      <c r="A127" s="444">
        <v>55</v>
      </c>
      <c r="B127" s="445"/>
      <c r="C127" s="445"/>
      <c r="D127" s="445"/>
      <c r="E127" s="604"/>
      <c r="F127" s="445"/>
      <c r="G127" s="445"/>
      <c r="H127" s="445"/>
      <c r="I127" s="205"/>
      <c r="J127" s="446"/>
      <c r="K127" s="446"/>
      <c r="L127" s="445"/>
      <c r="M127" s="445"/>
      <c r="N127" s="445"/>
      <c r="O127" s="445"/>
      <c r="P127" s="445"/>
    </row>
    <row r="128" spans="1:17" ht="30.1" customHeight="1" x14ac:dyDescent="0.25">
      <c r="A128" s="444"/>
      <c r="B128" s="445"/>
      <c r="C128" s="445"/>
      <c r="D128" s="445"/>
      <c r="E128" s="604"/>
      <c r="F128" s="445"/>
      <c r="G128" s="445"/>
      <c r="H128" s="445"/>
      <c r="I128" s="205"/>
      <c r="J128" s="446"/>
      <c r="K128" s="446"/>
      <c r="L128" s="445"/>
      <c r="M128" s="445"/>
      <c r="N128" s="445"/>
      <c r="O128" s="445"/>
      <c r="P128" s="445"/>
    </row>
    <row r="129" spans="1:16" ht="30.1" customHeight="1" x14ac:dyDescent="0.25">
      <c r="A129" s="444"/>
      <c r="B129" s="445"/>
      <c r="C129" s="445"/>
      <c r="D129" s="445"/>
      <c r="E129" s="604"/>
      <c r="F129" s="445"/>
      <c r="G129" s="445"/>
      <c r="H129" s="445"/>
      <c r="I129" s="205"/>
      <c r="J129" s="446"/>
      <c r="K129" s="446"/>
      <c r="L129" s="445"/>
      <c r="M129" s="445"/>
      <c r="N129" s="445"/>
      <c r="O129" s="445"/>
      <c r="P129" s="445"/>
    </row>
    <row r="130" spans="1:16" ht="30.1" customHeight="1" x14ac:dyDescent="0.25">
      <c r="A130" s="444"/>
      <c r="B130" s="445"/>
      <c r="C130" s="445"/>
      <c r="D130" s="445"/>
      <c r="E130" s="604"/>
      <c r="F130" s="445"/>
      <c r="G130" s="445"/>
      <c r="H130" s="445"/>
      <c r="I130" s="205"/>
      <c r="J130" s="446"/>
      <c r="K130" s="446"/>
      <c r="L130" s="445"/>
      <c r="M130" s="445"/>
      <c r="N130" s="445"/>
      <c r="O130" s="445"/>
      <c r="P130" s="445"/>
    </row>
    <row r="131" spans="1:16" ht="30.1" customHeight="1" x14ac:dyDescent="0.25">
      <c r="A131" s="444"/>
      <c r="B131" s="445"/>
      <c r="C131" s="445"/>
      <c r="D131" s="445"/>
      <c r="E131" s="604"/>
      <c r="F131" s="445"/>
      <c r="G131" s="445"/>
      <c r="H131" s="445"/>
      <c r="I131" s="205"/>
      <c r="J131" s="446"/>
      <c r="K131" s="446"/>
      <c r="L131" s="445"/>
      <c r="M131" s="445"/>
      <c r="N131" s="445"/>
      <c r="O131" s="445"/>
      <c r="P131" s="445"/>
    </row>
    <row r="132" spans="1:16" ht="30.1" customHeight="1" x14ac:dyDescent="0.25">
      <c r="A132" s="444"/>
      <c r="B132" s="445"/>
      <c r="C132" s="445"/>
      <c r="D132" s="445"/>
      <c r="E132" s="604"/>
      <c r="F132" s="445"/>
      <c r="G132" s="445"/>
      <c r="H132" s="445"/>
      <c r="I132" s="205"/>
      <c r="J132" s="446"/>
      <c r="K132" s="446"/>
      <c r="L132" s="445"/>
      <c r="M132" s="445"/>
      <c r="N132" s="445"/>
      <c r="O132" s="445"/>
      <c r="P132" s="445"/>
    </row>
    <row r="133" spans="1:16" ht="30.1" customHeight="1" x14ac:dyDescent="0.25">
      <c r="A133" s="444"/>
      <c r="B133" s="445"/>
      <c r="C133" s="445"/>
      <c r="D133" s="445"/>
      <c r="E133" s="604"/>
      <c r="F133" s="445"/>
      <c r="G133" s="445"/>
      <c r="H133" s="445"/>
      <c r="I133" s="205"/>
      <c r="J133" s="446"/>
      <c r="K133" s="446"/>
      <c r="L133" s="445"/>
      <c r="M133" s="445"/>
      <c r="N133" s="445"/>
      <c r="O133" s="445"/>
      <c r="P133" s="445"/>
    </row>
    <row r="134" spans="1:16" ht="30.1" customHeight="1" x14ac:dyDescent="0.25">
      <c r="A134" s="444"/>
      <c r="B134" s="445"/>
      <c r="C134" s="445"/>
      <c r="D134" s="445"/>
      <c r="E134" s="604"/>
      <c r="F134" s="445"/>
      <c r="G134" s="445"/>
      <c r="H134" s="445"/>
      <c r="I134" s="205"/>
      <c r="J134" s="446"/>
      <c r="K134" s="446"/>
      <c r="L134" s="445"/>
      <c r="M134" s="445"/>
      <c r="N134" s="445"/>
      <c r="O134" s="445"/>
      <c r="P134" s="445"/>
    </row>
    <row r="135" spans="1:16" ht="30.1" customHeight="1" x14ac:dyDescent="0.25">
      <c r="A135" s="444"/>
      <c r="B135" s="445"/>
      <c r="C135" s="445"/>
      <c r="D135" s="445"/>
      <c r="E135" s="604"/>
      <c r="F135" s="445"/>
      <c r="G135" s="445"/>
      <c r="H135" s="445"/>
      <c r="I135" s="205"/>
      <c r="J135" s="446"/>
      <c r="K135" s="446"/>
      <c r="L135" s="445"/>
      <c r="M135" s="445"/>
      <c r="N135" s="445"/>
      <c r="O135" s="445"/>
      <c r="P135" s="445"/>
    </row>
    <row r="136" spans="1:16" ht="30.1" customHeight="1" x14ac:dyDescent="0.25">
      <c r="A136" s="444"/>
      <c r="B136" s="445"/>
      <c r="C136" s="445"/>
      <c r="D136" s="445"/>
      <c r="E136" s="604"/>
      <c r="F136" s="445"/>
      <c r="G136" s="445"/>
      <c r="H136" s="445"/>
      <c r="I136" s="205"/>
      <c r="J136" s="446"/>
      <c r="K136" s="446"/>
      <c r="L136" s="445"/>
      <c r="M136" s="445"/>
      <c r="N136" s="445"/>
      <c r="O136" s="445"/>
      <c r="P136" s="445"/>
    </row>
    <row r="137" spans="1:16" ht="30.1" customHeight="1" x14ac:dyDescent="0.25">
      <c r="A137" s="444"/>
      <c r="B137" s="445"/>
      <c r="C137" s="445"/>
      <c r="D137" s="445"/>
      <c r="E137" s="604"/>
      <c r="F137" s="445"/>
      <c r="G137" s="445"/>
      <c r="H137" s="445"/>
      <c r="I137" s="205"/>
      <c r="J137" s="446"/>
      <c r="K137" s="446"/>
      <c r="L137" s="445"/>
      <c r="M137" s="445"/>
      <c r="N137" s="445"/>
      <c r="O137" s="445"/>
      <c r="P137" s="445"/>
    </row>
    <row r="138" spans="1:16" ht="30.1" customHeight="1" x14ac:dyDescent="0.25">
      <c r="A138" s="444"/>
      <c r="B138" s="445"/>
      <c r="C138" s="445"/>
      <c r="D138" s="445"/>
      <c r="E138" s="604"/>
      <c r="F138" s="445"/>
      <c r="G138" s="445"/>
      <c r="H138" s="445"/>
      <c r="I138" s="205"/>
      <c r="J138" s="446"/>
      <c r="K138" s="446"/>
      <c r="L138" s="445"/>
      <c r="M138" s="445"/>
      <c r="N138" s="445"/>
      <c r="O138" s="445"/>
      <c r="P138" s="445"/>
    </row>
    <row r="139" spans="1:16" ht="30.1" customHeight="1" x14ac:dyDescent="0.25">
      <c r="A139" s="444"/>
      <c r="B139" s="445"/>
      <c r="C139" s="445"/>
      <c r="D139" s="445"/>
      <c r="E139" s="604"/>
      <c r="F139" s="445"/>
      <c r="G139" s="445"/>
      <c r="H139" s="445"/>
      <c r="I139" s="205"/>
      <c r="J139" s="446"/>
      <c r="K139" s="446"/>
      <c r="L139" s="445"/>
      <c r="M139" s="445"/>
      <c r="N139" s="445"/>
      <c r="O139" s="445"/>
      <c r="P139" s="445"/>
    </row>
    <row r="140" spans="1:16" ht="30.1" customHeight="1" x14ac:dyDescent="0.25">
      <c r="A140" s="444"/>
      <c r="B140" s="445"/>
      <c r="C140" s="445"/>
      <c r="D140" s="445"/>
      <c r="E140" s="604"/>
      <c r="F140" s="445"/>
      <c r="G140" s="445"/>
      <c r="H140" s="445"/>
      <c r="I140" s="205"/>
      <c r="J140" s="446"/>
      <c r="K140" s="446"/>
      <c r="L140" s="445"/>
      <c r="M140" s="445"/>
      <c r="N140" s="445"/>
      <c r="O140" s="445"/>
      <c r="P140" s="445"/>
    </row>
    <row r="141" spans="1:16" ht="30.1" customHeight="1" x14ac:dyDescent="0.25">
      <c r="A141" s="444"/>
      <c r="B141" s="445"/>
      <c r="C141" s="445"/>
      <c r="D141" s="445"/>
      <c r="E141" s="604"/>
      <c r="F141" s="445"/>
      <c r="G141" s="445"/>
      <c r="H141" s="445"/>
      <c r="I141" s="205"/>
      <c r="J141" s="446"/>
      <c r="K141" s="446"/>
      <c r="L141" s="445"/>
      <c r="M141" s="445"/>
      <c r="N141" s="445"/>
      <c r="O141" s="445"/>
      <c r="P141" s="445"/>
    </row>
    <row r="142" spans="1:16" ht="30.1" customHeight="1" x14ac:dyDescent="0.25">
      <c r="A142" s="444"/>
      <c r="B142" s="445"/>
      <c r="C142" s="445"/>
      <c r="D142" s="445"/>
      <c r="E142" s="604"/>
      <c r="F142" s="445"/>
      <c r="G142" s="445"/>
      <c r="H142" s="445"/>
      <c r="I142" s="205"/>
      <c r="J142" s="446"/>
      <c r="K142" s="446"/>
      <c r="L142" s="445"/>
      <c r="M142" s="445"/>
      <c r="N142" s="445"/>
      <c r="O142" s="445"/>
      <c r="P142" s="445"/>
    </row>
    <row r="143" spans="1:16" ht="30.1" customHeight="1" x14ac:dyDescent="0.25">
      <c r="A143" s="444"/>
      <c r="B143" s="445"/>
      <c r="C143" s="445"/>
      <c r="D143" s="445"/>
      <c r="E143" s="604"/>
      <c r="F143" s="445"/>
      <c r="G143" s="445"/>
      <c r="H143" s="445"/>
      <c r="I143" s="205"/>
      <c r="J143" s="446"/>
      <c r="K143" s="446"/>
      <c r="L143" s="445"/>
      <c r="M143" s="445"/>
      <c r="N143" s="445"/>
      <c r="O143" s="445"/>
      <c r="P143" s="445"/>
    </row>
    <row r="144" spans="1:16" ht="30.1" customHeight="1" x14ac:dyDescent="0.25">
      <c r="A144" s="444"/>
      <c r="B144" s="445"/>
      <c r="C144" s="445"/>
      <c r="D144" s="445"/>
      <c r="E144" s="604"/>
      <c r="F144" s="445"/>
      <c r="G144" s="445"/>
      <c r="H144" s="445"/>
      <c r="I144" s="205"/>
      <c r="J144" s="446"/>
      <c r="K144" s="446"/>
      <c r="L144" s="445"/>
      <c r="M144" s="445"/>
      <c r="N144" s="445"/>
      <c r="O144" s="445"/>
      <c r="P144" s="445"/>
    </row>
    <row r="145" spans="1:16" ht="30.1" customHeight="1" x14ac:dyDescent="0.25">
      <c r="A145" s="444"/>
      <c r="B145" s="445"/>
      <c r="C145" s="445"/>
      <c r="D145" s="445"/>
      <c r="E145" s="604"/>
      <c r="F145" s="445"/>
      <c r="G145" s="445"/>
      <c r="H145" s="445"/>
      <c r="I145" s="205"/>
      <c r="J145" s="446"/>
      <c r="K145" s="446"/>
      <c r="L145" s="445"/>
      <c r="M145" s="445"/>
      <c r="N145" s="445"/>
      <c r="O145" s="445"/>
      <c r="P145" s="445"/>
    </row>
    <row r="146" spans="1:16" ht="30.1" customHeight="1" x14ac:dyDescent="0.25">
      <c r="A146" s="444"/>
      <c r="B146" s="445"/>
      <c r="C146" s="445"/>
      <c r="D146" s="445"/>
      <c r="E146" s="604"/>
      <c r="F146" s="445"/>
      <c r="G146" s="445"/>
      <c r="H146" s="445"/>
      <c r="I146" s="205"/>
      <c r="J146" s="446"/>
      <c r="K146" s="446"/>
      <c r="L146" s="445"/>
      <c r="M146" s="445"/>
      <c r="N146" s="445"/>
      <c r="O146" s="445"/>
      <c r="P146" s="445"/>
    </row>
    <row r="147" spans="1:16" ht="30.1" customHeight="1" x14ac:dyDescent="0.25">
      <c r="A147" s="444"/>
      <c r="B147" s="445"/>
      <c r="C147" s="445"/>
      <c r="D147" s="445"/>
      <c r="E147" s="604"/>
      <c r="F147" s="445"/>
      <c r="G147" s="445"/>
      <c r="H147" s="445"/>
      <c r="I147" s="205"/>
      <c r="J147" s="446"/>
      <c r="K147" s="446"/>
      <c r="L147" s="445"/>
      <c r="M147" s="445"/>
      <c r="N147" s="445"/>
      <c r="O147" s="445"/>
      <c r="P147" s="445"/>
    </row>
    <row r="148" spans="1:16" ht="30.1" customHeight="1" x14ac:dyDescent="0.25">
      <c r="A148" s="444"/>
      <c r="B148" s="445"/>
      <c r="C148" s="445"/>
      <c r="D148" s="445"/>
      <c r="E148" s="604"/>
      <c r="F148" s="445"/>
      <c r="G148" s="445"/>
      <c r="H148" s="445"/>
      <c r="I148" s="205"/>
      <c r="J148" s="446"/>
      <c r="K148" s="446"/>
      <c r="L148" s="445"/>
      <c r="M148" s="445"/>
      <c r="N148" s="445"/>
      <c r="O148" s="445"/>
      <c r="P148" s="445"/>
    </row>
    <row r="149" spans="1:16" ht="30.1" customHeight="1" x14ac:dyDescent="0.25">
      <c r="A149" s="444"/>
      <c r="B149" s="445"/>
      <c r="C149" s="445"/>
      <c r="D149" s="445"/>
      <c r="E149" s="604"/>
      <c r="F149" s="445"/>
      <c r="G149" s="445"/>
      <c r="H149" s="445"/>
      <c r="I149" s="205"/>
      <c r="J149" s="446"/>
      <c r="K149" s="446"/>
      <c r="L149" s="445"/>
      <c r="M149" s="445"/>
      <c r="N149" s="445"/>
      <c r="O149" s="445"/>
      <c r="P149" s="445"/>
    </row>
    <row r="150" spans="1:16" ht="30.1" customHeight="1" x14ac:dyDescent="0.25">
      <c r="A150" s="444"/>
      <c r="B150" s="445"/>
      <c r="C150" s="445"/>
      <c r="D150" s="445"/>
      <c r="E150" s="604"/>
      <c r="F150" s="445"/>
      <c r="G150" s="445"/>
      <c r="H150" s="445"/>
      <c r="I150" s="205"/>
      <c r="J150" s="446"/>
      <c r="K150" s="446"/>
      <c r="L150" s="445"/>
      <c r="M150" s="445"/>
      <c r="N150" s="445"/>
      <c r="O150" s="445"/>
      <c r="P150" s="445"/>
    </row>
    <row r="151" spans="1:16" ht="30.1" customHeight="1" x14ac:dyDescent="0.25">
      <c r="A151" s="444"/>
      <c r="B151" s="445"/>
      <c r="C151" s="445"/>
      <c r="D151" s="445"/>
      <c r="E151" s="604"/>
      <c r="F151" s="445"/>
      <c r="G151" s="445"/>
      <c r="H151" s="445"/>
      <c r="I151" s="205"/>
      <c r="J151" s="446"/>
      <c r="K151" s="446"/>
      <c r="L151" s="445"/>
      <c r="M151" s="445"/>
      <c r="N151" s="445"/>
      <c r="O151" s="445"/>
      <c r="P151" s="445"/>
    </row>
    <row r="152" spans="1:16" ht="30.1" customHeight="1" x14ac:dyDescent="0.25">
      <c r="A152" s="444"/>
      <c r="B152" s="445"/>
      <c r="C152" s="445"/>
      <c r="D152" s="445"/>
      <c r="E152" s="604"/>
      <c r="F152" s="445"/>
      <c r="G152" s="445"/>
      <c r="H152" s="445"/>
      <c r="I152" s="205"/>
      <c r="J152" s="446"/>
      <c r="K152" s="446"/>
      <c r="L152" s="445"/>
      <c r="M152" s="445"/>
      <c r="N152" s="445"/>
      <c r="O152" s="445"/>
      <c r="P152" s="445"/>
    </row>
    <row r="153" spans="1:16" ht="30.1" customHeight="1" x14ac:dyDescent="0.25">
      <c r="A153" s="444"/>
      <c r="B153" s="445"/>
      <c r="C153" s="445"/>
      <c r="D153" s="445"/>
      <c r="E153" s="604"/>
      <c r="F153" s="445"/>
      <c r="G153" s="445"/>
      <c r="H153" s="445"/>
      <c r="I153" s="205"/>
      <c r="J153" s="446"/>
      <c r="K153" s="446"/>
      <c r="L153" s="445"/>
      <c r="M153" s="445"/>
      <c r="N153" s="445"/>
      <c r="O153" s="445"/>
      <c r="P153" s="445"/>
    </row>
    <row r="154" spans="1:16" ht="30.1" customHeight="1" x14ac:dyDescent="0.25">
      <c r="A154" s="444"/>
      <c r="B154" s="445"/>
      <c r="C154" s="445"/>
      <c r="D154" s="445"/>
      <c r="E154" s="604"/>
      <c r="F154" s="445"/>
      <c r="G154" s="445"/>
      <c r="H154" s="445"/>
      <c r="I154" s="205"/>
      <c r="J154" s="446"/>
      <c r="K154" s="446"/>
      <c r="L154" s="445"/>
      <c r="M154" s="445"/>
      <c r="N154" s="445"/>
      <c r="O154" s="445"/>
      <c r="P154" s="445"/>
    </row>
    <row r="155" spans="1:16" ht="30.1" customHeight="1" x14ac:dyDescent="0.25">
      <c r="A155" s="444"/>
      <c r="B155" s="445"/>
      <c r="C155" s="445"/>
      <c r="D155" s="445"/>
      <c r="E155" s="604"/>
      <c r="F155" s="445"/>
      <c r="G155" s="445"/>
      <c r="H155" s="445"/>
      <c r="I155" s="205"/>
      <c r="J155" s="446"/>
      <c r="K155" s="446"/>
      <c r="L155" s="445"/>
      <c r="M155" s="445"/>
      <c r="N155" s="445"/>
      <c r="O155" s="445"/>
      <c r="P155" s="445"/>
    </row>
    <row r="156" spans="1:16" ht="30.1" customHeight="1" x14ac:dyDescent="0.25">
      <c r="A156" s="444"/>
      <c r="B156" s="445"/>
      <c r="C156" s="445"/>
      <c r="D156" s="445"/>
      <c r="E156" s="604"/>
      <c r="F156" s="445"/>
      <c r="G156" s="445"/>
      <c r="H156" s="445"/>
      <c r="I156" s="205"/>
      <c r="J156" s="446"/>
      <c r="K156" s="446"/>
      <c r="L156" s="445"/>
      <c r="M156" s="445"/>
      <c r="N156" s="445"/>
      <c r="O156" s="445"/>
      <c r="P156" s="445"/>
    </row>
    <row r="157" spans="1:16" ht="30.1" customHeight="1" x14ac:dyDescent="0.25">
      <c r="A157" s="444"/>
      <c r="B157" s="445"/>
      <c r="C157" s="445"/>
      <c r="D157" s="445"/>
      <c r="E157" s="604"/>
      <c r="F157" s="445"/>
      <c r="G157" s="445"/>
      <c r="H157" s="445"/>
      <c r="I157" s="205"/>
      <c r="J157" s="446"/>
      <c r="K157" s="446"/>
      <c r="L157" s="445"/>
      <c r="M157" s="445"/>
      <c r="N157" s="445"/>
      <c r="O157" s="445"/>
      <c r="P157" s="445"/>
    </row>
    <row r="158" spans="1:16" ht="30.1" customHeight="1" x14ac:dyDescent="0.25">
      <c r="A158" s="444"/>
      <c r="B158" s="445"/>
      <c r="C158" s="445"/>
      <c r="D158" s="445"/>
      <c r="E158" s="604"/>
      <c r="F158" s="445"/>
      <c r="G158" s="445"/>
      <c r="H158" s="445"/>
      <c r="I158" s="205"/>
      <c r="J158" s="446"/>
      <c r="K158" s="446"/>
      <c r="L158" s="445"/>
      <c r="M158" s="445"/>
      <c r="N158" s="445"/>
      <c r="O158" s="445"/>
      <c r="P158" s="445"/>
    </row>
    <row r="159" spans="1:16" ht="30.1" customHeight="1" x14ac:dyDescent="0.25">
      <c r="A159" s="444"/>
      <c r="B159" s="445"/>
      <c r="C159" s="445"/>
      <c r="D159" s="445"/>
      <c r="E159" s="604"/>
      <c r="F159" s="445"/>
      <c r="G159" s="445"/>
      <c r="H159" s="445"/>
      <c r="I159" s="205"/>
      <c r="J159" s="446"/>
      <c r="K159" s="446"/>
      <c r="L159" s="445"/>
      <c r="M159" s="445"/>
      <c r="N159" s="445"/>
      <c r="O159" s="445"/>
      <c r="P159" s="445"/>
    </row>
    <row r="160" spans="1:16" ht="30.1" customHeight="1" x14ac:dyDescent="0.25">
      <c r="A160" s="444"/>
      <c r="B160" s="445"/>
      <c r="C160" s="445"/>
      <c r="D160" s="445"/>
      <c r="E160" s="604"/>
      <c r="F160" s="445"/>
      <c r="G160" s="445"/>
      <c r="H160" s="445"/>
      <c r="I160" s="205"/>
      <c r="J160" s="446"/>
      <c r="K160" s="446"/>
      <c r="L160" s="445"/>
      <c r="M160" s="445"/>
      <c r="N160" s="445"/>
      <c r="O160" s="445"/>
      <c r="P160" s="445"/>
    </row>
    <row r="161" spans="1:16" ht="30.1" customHeight="1" x14ac:dyDescent="0.25">
      <c r="A161" s="444"/>
      <c r="B161" s="445"/>
      <c r="C161" s="445"/>
      <c r="D161" s="445"/>
      <c r="E161" s="604"/>
      <c r="F161" s="445"/>
      <c r="G161" s="445"/>
      <c r="H161" s="445"/>
      <c r="I161" s="205"/>
      <c r="J161" s="446"/>
      <c r="K161" s="446"/>
      <c r="L161" s="445"/>
      <c r="M161" s="445"/>
      <c r="N161" s="445"/>
      <c r="O161" s="445"/>
      <c r="P161" s="445"/>
    </row>
    <row r="162" spans="1:16" ht="30.1" customHeight="1" x14ac:dyDescent="0.25">
      <c r="A162" s="444"/>
      <c r="B162" s="445"/>
      <c r="C162" s="445"/>
      <c r="D162" s="445"/>
      <c r="E162" s="604"/>
      <c r="F162" s="445"/>
      <c r="G162" s="445"/>
      <c r="H162" s="445"/>
      <c r="I162" s="205"/>
      <c r="J162" s="446"/>
      <c r="K162" s="446"/>
      <c r="L162" s="445"/>
      <c r="M162" s="445"/>
      <c r="N162" s="445"/>
      <c r="O162" s="445"/>
      <c r="P162" s="445"/>
    </row>
    <row r="163" spans="1:16" ht="30.1" customHeight="1" x14ac:dyDescent="0.25">
      <c r="A163" s="444"/>
      <c r="B163" s="445"/>
      <c r="C163" s="445"/>
      <c r="D163" s="445"/>
      <c r="E163" s="604"/>
      <c r="F163" s="445"/>
      <c r="G163" s="445"/>
      <c r="H163" s="445"/>
      <c r="I163" s="205"/>
      <c r="J163" s="446"/>
      <c r="K163" s="446"/>
      <c r="L163" s="445"/>
      <c r="M163" s="445"/>
      <c r="N163" s="445"/>
      <c r="O163" s="445"/>
      <c r="P163" s="445"/>
    </row>
    <row r="164" spans="1:16" ht="30.1" customHeight="1" x14ac:dyDescent="0.25">
      <c r="A164" s="444"/>
      <c r="B164" s="445"/>
      <c r="C164" s="445"/>
      <c r="D164" s="445"/>
      <c r="E164" s="604"/>
      <c r="F164" s="445"/>
      <c r="G164" s="445"/>
      <c r="H164" s="445"/>
      <c r="I164" s="205"/>
      <c r="J164" s="446"/>
      <c r="K164" s="446"/>
      <c r="L164" s="445"/>
      <c r="M164" s="445"/>
      <c r="N164" s="445"/>
      <c r="O164" s="445"/>
      <c r="P164" s="445"/>
    </row>
    <row r="165" spans="1:16" ht="30.1" customHeight="1" x14ac:dyDescent="0.25">
      <c r="A165" s="444"/>
      <c r="B165" s="445"/>
      <c r="C165" s="445"/>
      <c r="D165" s="445"/>
      <c r="E165" s="604"/>
      <c r="F165" s="445"/>
      <c r="G165" s="445"/>
      <c r="H165" s="445"/>
      <c r="I165" s="205"/>
      <c r="J165" s="446"/>
      <c r="K165" s="446"/>
      <c r="L165" s="445"/>
      <c r="M165" s="445"/>
      <c r="N165" s="445"/>
      <c r="O165" s="445"/>
      <c r="P165" s="445"/>
    </row>
    <row r="166" spans="1:16" ht="30.1" customHeight="1" x14ac:dyDescent="0.25">
      <c r="A166" s="444"/>
      <c r="B166" s="445"/>
      <c r="C166" s="445"/>
      <c r="D166" s="445"/>
      <c r="E166" s="604"/>
      <c r="F166" s="445"/>
      <c r="G166" s="445"/>
      <c r="H166" s="445"/>
      <c r="I166" s="205"/>
      <c r="J166" s="446"/>
      <c r="K166" s="446"/>
      <c r="L166" s="445"/>
      <c r="M166" s="445"/>
      <c r="N166" s="445"/>
      <c r="O166" s="445"/>
      <c r="P166" s="445"/>
    </row>
    <row r="167" spans="1:16" ht="30.1" customHeight="1" x14ac:dyDescent="0.25">
      <c r="A167" s="444"/>
      <c r="B167" s="445"/>
      <c r="C167" s="445"/>
      <c r="D167" s="445"/>
      <c r="E167" s="604"/>
      <c r="F167" s="445"/>
      <c r="G167" s="445"/>
      <c r="H167" s="445"/>
      <c r="I167" s="205"/>
      <c r="J167" s="446"/>
      <c r="K167" s="446"/>
      <c r="L167" s="445"/>
      <c r="M167" s="445"/>
      <c r="N167" s="445"/>
      <c r="O167" s="445"/>
      <c r="P167" s="445"/>
    </row>
    <row r="168" spans="1:16" ht="30.1" customHeight="1" x14ac:dyDescent="0.25">
      <c r="A168" s="444"/>
      <c r="B168" s="445"/>
      <c r="C168" s="445"/>
      <c r="D168" s="445"/>
      <c r="E168" s="604"/>
      <c r="F168" s="445"/>
      <c r="G168" s="445"/>
      <c r="H168" s="445"/>
      <c r="I168" s="205"/>
      <c r="J168" s="446"/>
      <c r="K168" s="446"/>
      <c r="L168" s="445"/>
      <c r="M168" s="445"/>
      <c r="N168" s="445"/>
      <c r="O168" s="445"/>
      <c r="P168" s="445"/>
    </row>
    <row r="169" spans="1:16" ht="30.1" customHeight="1" x14ac:dyDescent="0.25">
      <c r="A169" s="444"/>
      <c r="B169" s="445"/>
      <c r="C169" s="445"/>
      <c r="D169" s="445"/>
      <c r="E169" s="604"/>
      <c r="F169" s="445"/>
      <c r="G169" s="445"/>
      <c r="H169" s="445"/>
      <c r="I169" s="205"/>
      <c r="J169" s="446"/>
      <c r="K169" s="446"/>
      <c r="L169" s="445"/>
      <c r="M169" s="445"/>
      <c r="N169" s="445"/>
      <c r="O169" s="445"/>
      <c r="P169" s="445"/>
    </row>
    <row r="170" spans="1:16" ht="30.1" customHeight="1" x14ac:dyDescent="0.25">
      <c r="A170" s="444"/>
      <c r="B170" s="445"/>
      <c r="C170" s="445"/>
      <c r="D170" s="445"/>
      <c r="E170" s="604"/>
      <c r="F170" s="445"/>
      <c r="G170" s="445"/>
      <c r="H170" s="445"/>
      <c r="I170" s="205"/>
      <c r="J170" s="446"/>
      <c r="K170" s="446"/>
      <c r="L170" s="445"/>
      <c r="M170" s="445"/>
      <c r="N170" s="445"/>
      <c r="O170" s="445"/>
      <c r="P170" s="445"/>
    </row>
    <row r="171" spans="1:16" ht="30.1" customHeight="1" x14ac:dyDescent="0.25">
      <c r="A171" s="444"/>
      <c r="B171" s="445"/>
      <c r="C171" s="445"/>
      <c r="D171" s="445"/>
      <c r="E171" s="604"/>
      <c r="F171" s="445"/>
      <c r="G171" s="445"/>
      <c r="H171" s="445"/>
      <c r="I171" s="205"/>
      <c r="J171" s="446"/>
      <c r="K171" s="446"/>
      <c r="L171" s="445"/>
      <c r="M171" s="445"/>
      <c r="N171" s="445"/>
      <c r="O171" s="445"/>
      <c r="P171" s="445"/>
    </row>
    <row r="172" spans="1:16" ht="30.1" customHeight="1" x14ac:dyDescent="0.25">
      <c r="A172" s="444"/>
      <c r="B172" s="445"/>
      <c r="C172" s="445"/>
      <c r="D172" s="445"/>
      <c r="E172" s="604"/>
      <c r="F172" s="445"/>
      <c r="G172" s="445"/>
      <c r="H172" s="445"/>
      <c r="I172" s="205"/>
      <c r="J172" s="446"/>
      <c r="K172" s="446"/>
      <c r="L172" s="445"/>
      <c r="M172" s="445"/>
      <c r="N172" s="445"/>
      <c r="O172" s="445"/>
      <c r="P172" s="445"/>
    </row>
    <row r="173" spans="1:16" ht="30.1" customHeight="1" x14ac:dyDescent="0.25">
      <c r="A173" s="444"/>
      <c r="B173" s="445"/>
      <c r="C173" s="445"/>
      <c r="D173" s="445"/>
      <c r="E173" s="604"/>
      <c r="F173" s="445"/>
      <c r="G173" s="445"/>
      <c r="H173" s="445"/>
      <c r="I173" s="205"/>
      <c r="J173" s="446"/>
      <c r="K173" s="446"/>
      <c r="L173" s="445"/>
      <c r="M173" s="445"/>
      <c r="N173" s="445"/>
      <c r="O173" s="445"/>
      <c r="P173" s="445"/>
    </row>
    <row r="174" spans="1:16" ht="30.1" customHeight="1" x14ac:dyDescent="0.25">
      <c r="A174" s="444"/>
      <c r="B174" s="445"/>
      <c r="C174" s="445"/>
      <c r="D174" s="445"/>
      <c r="E174" s="604"/>
      <c r="F174" s="445"/>
      <c r="G174" s="445"/>
      <c r="H174" s="445"/>
      <c r="I174" s="205"/>
      <c r="J174" s="446"/>
      <c r="K174" s="446"/>
      <c r="L174" s="445"/>
      <c r="M174" s="445"/>
      <c r="N174" s="445"/>
      <c r="O174" s="445"/>
      <c r="P174" s="445"/>
    </row>
    <row r="175" spans="1:16" ht="30.1" customHeight="1" x14ac:dyDescent="0.25">
      <c r="A175" s="444"/>
      <c r="B175" s="445"/>
      <c r="C175" s="445"/>
      <c r="D175" s="445"/>
      <c r="E175" s="604"/>
      <c r="F175" s="445"/>
      <c r="G175" s="445"/>
      <c r="H175" s="445"/>
      <c r="I175" s="205"/>
      <c r="J175" s="446"/>
      <c r="K175" s="446"/>
      <c r="L175" s="445"/>
      <c r="M175" s="445"/>
      <c r="N175" s="445"/>
      <c r="O175" s="445"/>
      <c r="P175" s="445"/>
    </row>
    <row r="176" spans="1:16" ht="30.1" customHeight="1" x14ac:dyDescent="0.25">
      <c r="A176" s="444"/>
      <c r="B176" s="445"/>
      <c r="C176" s="445"/>
      <c r="D176" s="445"/>
      <c r="E176" s="604"/>
      <c r="F176" s="445"/>
      <c r="G176" s="445"/>
      <c r="H176" s="445"/>
      <c r="I176" s="205"/>
      <c r="J176" s="446"/>
      <c r="K176" s="446"/>
      <c r="L176" s="445"/>
      <c r="M176" s="445"/>
      <c r="N176" s="445"/>
      <c r="O176" s="445"/>
      <c r="P176" s="445"/>
    </row>
    <row r="177" spans="1:16" ht="30.1" customHeight="1" x14ac:dyDescent="0.25">
      <c r="A177" s="444"/>
      <c r="B177" s="445"/>
      <c r="C177" s="445"/>
      <c r="D177" s="445"/>
      <c r="E177" s="604"/>
      <c r="F177" s="445"/>
      <c r="G177" s="445"/>
      <c r="H177" s="445"/>
      <c r="I177" s="205"/>
      <c r="J177" s="446"/>
      <c r="K177" s="446"/>
      <c r="L177" s="445"/>
      <c r="M177" s="445"/>
      <c r="N177" s="445"/>
      <c r="O177" s="445"/>
      <c r="P177" s="445"/>
    </row>
    <row r="178" spans="1:16" ht="30.1" customHeight="1" x14ac:dyDescent="0.25">
      <c r="A178" s="444"/>
      <c r="B178" s="445"/>
      <c r="C178" s="445"/>
      <c r="D178" s="445"/>
      <c r="E178" s="604"/>
      <c r="F178" s="445"/>
      <c r="G178" s="445"/>
      <c r="H178" s="445"/>
      <c r="I178" s="205"/>
      <c r="J178" s="446"/>
      <c r="K178" s="446"/>
      <c r="L178" s="445"/>
      <c r="M178" s="445"/>
      <c r="N178" s="445"/>
      <c r="O178" s="445"/>
      <c r="P178" s="445"/>
    </row>
    <row r="179" spans="1:16" ht="30.1" customHeight="1" x14ac:dyDescent="0.25">
      <c r="A179" s="444"/>
      <c r="B179" s="445"/>
      <c r="C179" s="445"/>
      <c r="D179" s="445"/>
      <c r="E179" s="604"/>
      <c r="F179" s="445"/>
      <c r="G179" s="445"/>
      <c r="H179" s="445"/>
      <c r="I179" s="205"/>
      <c r="J179" s="446"/>
      <c r="K179" s="446"/>
      <c r="L179" s="445"/>
      <c r="M179" s="445"/>
      <c r="N179" s="445"/>
      <c r="O179" s="445"/>
      <c r="P179" s="445"/>
    </row>
    <row r="180" spans="1:16" ht="30.1" customHeight="1" x14ac:dyDescent="0.25">
      <c r="A180" s="444"/>
      <c r="B180" s="445"/>
      <c r="C180" s="445"/>
      <c r="D180" s="445"/>
      <c r="E180" s="604"/>
      <c r="F180" s="445"/>
      <c r="G180" s="445"/>
      <c r="H180" s="445"/>
      <c r="I180" s="205"/>
      <c r="J180" s="446"/>
      <c r="K180" s="446"/>
      <c r="L180" s="445"/>
      <c r="M180" s="445"/>
      <c r="N180" s="445"/>
      <c r="O180" s="445"/>
      <c r="P180" s="445"/>
    </row>
    <row r="181" spans="1:16" ht="30.1" customHeight="1" x14ac:dyDescent="0.25">
      <c r="A181" s="444"/>
      <c r="B181" s="445"/>
      <c r="C181" s="445"/>
      <c r="D181" s="445"/>
      <c r="E181" s="604"/>
      <c r="F181" s="445"/>
      <c r="G181" s="445"/>
      <c r="H181" s="445"/>
      <c r="I181" s="205"/>
      <c r="J181" s="446"/>
      <c r="K181" s="446"/>
      <c r="L181" s="445"/>
      <c r="M181" s="445"/>
      <c r="N181" s="445"/>
      <c r="O181" s="445"/>
      <c r="P181" s="445"/>
    </row>
    <row r="182" spans="1:16" ht="30.1" customHeight="1" x14ac:dyDescent="0.25">
      <c r="A182" s="444"/>
      <c r="B182" s="445"/>
      <c r="C182" s="445"/>
      <c r="D182" s="445"/>
      <c r="E182" s="604"/>
      <c r="F182" s="445"/>
      <c r="G182" s="445"/>
      <c r="H182" s="445"/>
      <c r="I182" s="205"/>
      <c r="J182" s="446"/>
      <c r="K182" s="446"/>
      <c r="L182" s="445"/>
      <c r="M182" s="445"/>
      <c r="N182" s="445"/>
      <c r="O182" s="445"/>
      <c r="P182" s="445"/>
    </row>
    <row r="183" spans="1:16" ht="30.1" customHeight="1" x14ac:dyDescent="0.25">
      <c r="A183" s="444"/>
      <c r="B183" s="445"/>
      <c r="C183" s="445"/>
      <c r="D183" s="445"/>
      <c r="E183" s="604"/>
      <c r="F183" s="445"/>
      <c r="G183" s="445"/>
      <c r="H183" s="445"/>
      <c r="I183" s="205"/>
      <c r="J183" s="446"/>
      <c r="K183" s="446"/>
      <c r="L183" s="445"/>
      <c r="M183" s="445"/>
      <c r="N183" s="445"/>
      <c r="O183" s="445"/>
      <c r="P183" s="445"/>
    </row>
    <row r="184" spans="1:16" ht="30.1" customHeight="1" x14ac:dyDescent="0.25">
      <c r="A184" s="444"/>
      <c r="B184" s="445"/>
      <c r="C184" s="445"/>
      <c r="D184" s="445"/>
      <c r="E184" s="604"/>
      <c r="F184" s="445"/>
      <c r="G184" s="445"/>
      <c r="H184" s="445"/>
      <c r="I184" s="205"/>
      <c r="J184" s="446"/>
      <c r="K184" s="446"/>
      <c r="L184" s="445"/>
      <c r="M184" s="445"/>
      <c r="N184" s="445"/>
      <c r="O184" s="445"/>
      <c r="P184" s="445"/>
    </row>
    <row r="185" spans="1:16" ht="30.1" customHeight="1" x14ac:dyDescent="0.25">
      <c r="A185" s="444"/>
      <c r="B185" s="445"/>
      <c r="C185" s="445"/>
      <c r="D185" s="445"/>
      <c r="E185" s="604"/>
      <c r="F185" s="445"/>
      <c r="G185" s="445"/>
      <c r="H185" s="445"/>
      <c r="I185" s="205"/>
      <c r="J185" s="446"/>
      <c r="K185" s="446"/>
      <c r="L185" s="445"/>
      <c r="M185" s="445"/>
      <c r="N185" s="445"/>
      <c r="O185" s="445"/>
      <c r="P185" s="445"/>
    </row>
    <row r="186" spans="1:16" ht="30.1" customHeight="1" x14ac:dyDescent="0.25">
      <c r="A186" s="444"/>
      <c r="B186" s="445"/>
      <c r="C186" s="445"/>
      <c r="D186" s="445"/>
      <c r="E186" s="604"/>
      <c r="F186" s="445"/>
      <c r="G186" s="445"/>
      <c r="H186" s="445"/>
      <c r="I186" s="205"/>
      <c r="J186" s="446"/>
      <c r="K186" s="446"/>
      <c r="L186" s="445"/>
      <c r="M186" s="445"/>
      <c r="N186" s="445"/>
      <c r="O186" s="445"/>
      <c r="P186" s="445"/>
    </row>
    <row r="187" spans="1:16" ht="30.1" customHeight="1" x14ac:dyDescent="0.25">
      <c r="A187" s="444"/>
      <c r="B187" s="445"/>
      <c r="C187" s="445"/>
      <c r="D187" s="445"/>
      <c r="E187" s="604"/>
      <c r="F187" s="445"/>
      <c r="G187" s="445"/>
      <c r="H187" s="445"/>
      <c r="I187" s="205"/>
      <c r="J187" s="446"/>
      <c r="K187" s="446"/>
      <c r="L187" s="445"/>
      <c r="M187" s="445"/>
      <c r="N187" s="445"/>
      <c r="O187" s="445"/>
      <c r="P187" s="445"/>
    </row>
    <row r="188" spans="1:16" ht="30.1" customHeight="1" x14ac:dyDescent="0.25">
      <c r="A188" s="444"/>
      <c r="B188" s="445"/>
      <c r="C188" s="445"/>
      <c r="D188" s="445"/>
      <c r="E188" s="604"/>
      <c r="F188" s="445"/>
      <c r="G188" s="445"/>
      <c r="H188" s="445"/>
      <c r="I188" s="205"/>
      <c r="J188" s="446"/>
      <c r="K188" s="446"/>
      <c r="L188" s="445"/>
      <c r="M188" s="445"/>
      <c r="N188" s="445"/>
      <c r="O188" s="445"/>
      <c r="P188" s="445"/>
    </row>
    <row r="189" spans="1:16" ht="30.1" customHeight="1" x14ac:dyDescent="0.25">
      <c r="A189" s="444"/>
      <c r="B189" s="445"/>
      <c r="C189" s="445"/>
      <c r="D189" s="445"/>
      <c r="E189" s="604"/>
      <c r="F189" s="445"/>
      <c r="G189" s="445"/>
      <c r="H189" s="445"/>
      <c r="I189" s="205"/>
      <c r="J189" s="446"/>
      <c r="K189" s="446"/>
      <c r="L189" s="445"/>
      <c r="M189" s="445"/>
      <c r="N189" s="445"/>
      <c r="O189" s="445"/>
      <c r="P189" s="445"/>
    </row>
    <row r="190" spans="1:16" ht="30.1" customHeight="1" x14ac:dyDescent="0.25">
      <c r="A190" s="444"/>
      <c r="B190" s="445"/>
      <c r="C190" s="445"/>
      <c r="D190" s="445"/>
      <c r="E190" s="604"/>
      <c r="F190" s="445"/>
      <c r="G190" s="445"/>
      <c r="H190" s="445"/>
      <c r="I190" s="205"/>
      <c r="J190" s="446"/>
      <c r="K190" s="446"/>
      <c r="L190" s="445"/>
      <c r="M190" s="445"/>
      <c r="N190" s="445"/>
      <c r="O190" s="445"/>
      <c r="P190" s="445"/>
    </row>
    <row r="191" spans="1:16" ht="30.1" customHeight="1" x14ac:dyDescent="0.25">
      <c r="A191" s="444"/>
      <c r="B191" s="445"/>
      <c r="C191" s="445"/>
      <c r="D191" s="445"/>
      <c r="E191" s="604"/>
      <c r="F191" s="445"/>
      <c r="G191" s="445"/>
      <c r="H191" s="445"/>
      <c r="I191" s="205"/>
      <c r="J191" s="446"/>
      <c r="K191" s="446"/>
      <c r="L191" s="445"/>
      <c r="M191" s="445"/>
      <c r="N191" s="445"/>
      <c r="O191" s="445"/>
      <c r="P191" s="445"/>
    </row>
    <row r="192" spans="1:16" ht="30.1" customHeight="1" x14ac:dyDescent="0.25">
      <c r="A192" s="444"/>
      <c r="B192" s="445"/>
      <c r="C192" s="445"/>
      <c r="D192" s="445"/>
      <c r="E192" s="604"/>
      <c r="F192" s="445"/>
      <c r="G192" s="445"/>
      <c r="H192" s="445"/>
      <c r="I192" s="205"/>
      <c r="J192" s="446"/>
      <c r="K192" s="446"/>
      <c r="L192" s="445"/>
      <c r="M192" s="445"/>
      <c r="N192" s="445"/>
      <c r="O192" s="445"/>
      <c r="P192" s="445"/>
    </row>
    <row r="193" spans="1:16" ht="30.1" customHeight="1" x14ac:dyDescent="0.25">
      <c r="A193" s="444"/>
      <c r="B193" s="445"/>
      <c r="C193" s="445"/>
      <c r="D193" s="445"/>
      <c r="E193" s="604"/>
      <c r="F193" s="445"/>
      <c r="G193" s="445"/>
      <c r="H193" s="445"/>
      <c r="I193" s="205"/>
      <c r="J193" s="446"/>
      <c r="K193" s="446"/>
      <c r="L193" s="445"/>
      <c r="M193" s="445"/>
      <c r="N193" s="445"/>
      <c r="O193" s="445"/>
      <c r="P193" s="445"/>
    </row>
    <row r="194" spans="1:16" ht="30.1" customHeight="1" x14ac:dyDescent="0.25">
      <c r="A194" s="444"/>
      <c r="B194" s="445"/>
      <c r="C194" s="445"/>
      <c r="D194" s="445"/>
      <c r="E194" s="604"/>
      <c r="F194" s="445"/>
      <c r="G194" s="445"/>
      <c r="H194" s="445"/>
      <c r="I194" s="205"/>
      <c r="J194" s="446"/>
      <c r="K194" s="446"/>
      <c r="L194" s="445"/>
      <c r="M194" s="445"/>
      <c r="N194" s="445"/>
      <c r="O194" s="445"/>
      <c r="P194" s="445"/>
    </row>
    <row r="195" spans="1:16" ht="30.1" customHeight="1" x14ac:dyDescent="0.25">
      <c r="A195" s="444"/>
      <c r="B195" s="445"/>
      <c r="C195" s="445"/>
      <c r="D195" s="445"/>
      <c r="E195" s="604"/>
      <c r="F195" s="445"/>
      <c r="G195" s="445"/>
      <c r="H195" s="445"/>
      <c r="I195" s="205"/>
      <c r="J195" s="446"/>
      <c r="K195" s="446"/>
      <c r="L195" s="445"/>
      <c r="M195" s="445"/>
      <c r="N195" s="445"/>
      <c r="O195" s="445"/>
      <c r="P195" s="445"/>
    </row>
    <row r="196" spans="1:16" ht="30.1" customHeight="1" x14ac:dyDescent="0.25">
      <c r="A196" s="444"/>
      <c r="B196" s="445"/>
      <c r="C196" s="445"/>
      <c r="D196" s="445"/>
      <c r="E196" s="604"/>
      <c r="F196" s="445"/>
      <c r="G196" s="445"/>
      <c r="H196" s="445"/>
      <c r="I196" s="205"/>
      <c r="J196" s="446"/>
      <c r="K196" s="446"/>
      <c r="L196" s="445"/>
      <c r="M196" s="445"/>
      <c r="N196" s="445"/>
      <c r="O196" s="445"/>
      <c r="P196" s="445"/>
    </row>
    <row r="197" spans="1:16" ht="30.1" customHeight="1" x14ac:dyDescent="0.25">
      <c r="A197" s="444"/>
      <c r="B197" s="445"/>
      <c r="C197" s="445"/>
      <c r="D197" s="445"/>
      <c r="E197" s="604"/>
      <c r="F197" s="445"/>
      <c r="G197" s="445"/>
      <c r="H197" s="445"/>
      <c r="I197" s="205"/>
      <c r="J197" s="446"/>
      <c r="K197" s="446"/>
      <c r="L197" s="445"/>
      <c r="M197" s="445"/>
      <c r="N197" s="445"/>
      <c r="O197" s="445"/>
      <c r="P197" s="445"/>
    </row>
    <row r="198" spans="1:16" ht="30.1" customHeight="1" x14ac:dyDescent="0.25">
      <c r="A198" s="444"/>
      <c r="B198" s="445"/>
      <c r="C198" s="445"/>
      <c r="D198" s="445"/>
      <c r="E198" s="604"/>
      <c r="F198" s="445"/>
      <c r="G198" s="445"/>
      <c r="H198" s="445"/>
      <c r="I198" s="205"/>
      <c r="J198" s="446"/>
      <c r="K198" s="446"/>
      <c r="L198" s="445"/>
      <c r="M198" s="445"/>
      <c r="N198" s="445"/>
      <c r="O198" s="445"/>
      <c r="P198" s="445"/>
    </row>
    <row r="199" spans="1:16" ht="30.1" customHeight="1" x14ac:dyDescent="0.25">
      <c r="A199" s="444"/>
      <c r="B199" s="445"/>
      <c r="C199" s="445"/>
      <c r="D199" s="445"/>
      <c r="E199" s="604"/>
      <c r="F199" s="445"/>
      <c r="G199" s="445"/>
      <c r="H199" s="445"/>
      <c r="I199" s="205"/>
      <c r="J199" s="446"/>
      <c r="K199" s="446"/>
      <c r="L199" s="445"/>
      <c r="M199" s="445"/>
      <c r="N199" s="445"/>
      <c r="O199" s="445"/>
      <c r="P199" s="445"/>
    </row>
    <row r="200" spans="1:16" ht="30.1" customHeight="1" x14ac:dyDescent="0.25">
      <c r="A200" s="444"/>
      <c r="B200" s="445"/>
      <c r="C200" s="445"/>
      <c r="D200" s="445"/>
      <c r="E200" s="604"/>
      <c r="F200" s="445"/>
      <c r="G200" s="445"/>
      <c r="H200" s="445"/>
      <c r="I200" s="205"/>
      <c r="J200" s="446"/>
      <c r="K200" s="446"/>
      <c r="L200" s="445"/>
      <c r="M200" s="445"/>
      <c r="N200" s="445"/>
      <c r="O200" s="445"/>
      <c r="P200" s="445"/>
    </row>
    <row r="201" spans="1:16" ht="30.1" customHeight="1" x14ac:dyDescent="0.25">
      <c r="A201" s="444"/>
      <c r="B201" s="445"/>
      <c r="C201" s="445"/>
      <c r="D201" s="445"/>
      <c r="E201" s="604"/>
      <c r="F201" s="445"/>
      <c r="G201" s="445"/>
      <c r="H201" s="445"/>
      <c r="I201" s="205"/>
      <c r="J201" s="446"/>
      <c r="K201" s="446"/>
      <c r="L201" s="445"/>
      <c r="M201" s="445"/>
      <c r="N201" s="445"/>
      <c r="O201" s="445"/>
      <c r="P201" s="445"/>
    </row>
    <row r="202" spans="1:16" ht="30.1" customHeight="1" x14ac:dyDescent="0.25">
      <c r="A202" s="444"/>
      <c r="B202" s="445"/>
      <c r="C202" s="445"/>
      <c r="D202" s="445"/>
      <c r="E202" s="604"/>
      <c r="F202" s="445"/>
      <c r="G202" s="445"/>
      <c r="H202" s="445"/>
      <c r="I202" s="205"/>
      <c r="J202" s="446"/>
      <c r="K202" s="446"/>
      <c r="L202" s="445"/>
      <c r="M202" s="445"/>
      <c r="N202" s="445"/>
      <c r="O202" s="445"/>
      <c r="P202" s="445"/>
    </row>
    <row r="203" spans="1:16" ht="30.1" customHeight="1" x14ac:dyDescent="0.25">
      <c r="A203" s="444"/>
      <c r="B203" s="445"/>
      <c r="C203" s="445"/>
      <c r="D203" s="445"/>
      <c r="E203" s="604"/>
      <c r="F203" s="445"/>
      <c r="G203" s="445"/>
      <c r="H203" s="445"/>
      <c r="I203" s="205"/>
      <c r="J203" s="446"/>
      <c r="K203" s="446"/>
      <c r="L203" s="445"/>
      <c r="M203" s="445"/>
      <c r="N203" s="445"/>
      <c r="O203" s="445"/>
      <c r="P203" s="445"/>
    </row>
    <row r="204" spans="1:16" ht="30.1" customHeight="1" x14ac:dyDescent="0.25">
      <c r="A204" s="444"/>
      <c r="B204" s="445"/>
      <c r="C204" s="445"/>
      <c r="D204" s="445"/>
      <c r="E204" s="604"/>
      <c r="F204" s="445"/>
      <c r="G204" s="445"/>
      <c r="H204" s="445"/>
      <c r="I204" s="205"/>
      <c r="J204" s="446"/>
      <c r="K204" s="446"/>
      <c r="L204" s="445"/>
      <c r="M204" s="445"/>
      <c r="N204" s="445"/>
      <c r="O204" s="445"/>
      <c r="P204" s="445"/>
    </row>
    <row r="205" spans="1:16" ht="30.1" customHeight="1" x14ac:dyDescent="0.25">
      <c r="A205" s="444"/>
      <c r="B205" s="445"/>
      <c r="C205" s="445"/>
      <c r="D205" s="445"/>
      <c r="E205" s="604"/>
      <c r="F205" s="445"/>
      <c r="G205" s="445"/>
      <c r="H205" s="445"/>
      <c r="I205" s="205"/>
      <c r="J205" s="446"/>
      <c r="K205" s="446"/>
      <c r="L205" s="445"/>
      <c r="M205" s="445"/>
      <c r="N205" s="445"/>
      <c r="O205" s="445"/>
      <c r="P205" s="445"/>
    </row>
    <row r="206" spans="1:16" ht="30.1" customHeight="1" x14ac:dyDescent="0.25">
      <c r="A206" s="444"/>
      <c r="B206" s="445"/>
      <c r="C206" s="445"/>
      <c r="D206" s="445"/>
      <c r="E206" s="604"/>
      <c r="F206" s="445"/>
      <c r="G206" s="445"/>
      <c r="H206" s="445"/>
      <c r="I206" s="205"/>
      <c r="J206" s="446"/>
      <c r="K206" s="446"/>
      <c r="L206" s="445"/>
      <c r="M206" s="445"/>
      <c r="N206" s="445"/>
      <c r="O206" s="445"/>
      <c r="P206" s="445"/>
    </row>
    <row r="207" spans="1:16" ht="30.1" customHeight="1" x14ac:dyDescent="0.25">
      <c r="A207" s="444"/>
      <c r="B207" s="445"/>
      <c r="C207" s="445"/>
      <c r="D207" s="445"/>
      <c r="E207" s="604"/>
      <c r="F207" s="445"/>
      <c r="G207" s="445"/>
      <c r="H207" s="445"/>
      <c r="I207" s="205"/>
      <c r="J207" s="446"/>
      <c r="K207" s="446"/>
      <c r="L207" s="445"/>
      <c r="M207" s="445"/>
      <c r="N207" s="445"/>
      <c r="O207" s="445"/>
      <c r="P207" s="445"/>
    </row>
    <row r="208" spans="1:16" ht="30.1" customHeight="1" x14ac:dyDescent="0.25">
      <c r="A208" s="444"/>
      <c r="B208" s="445"/>
      <c r="C208" s="445"/>
      <c r="D208" s="445"/>
      <c r="E208" s="604"/>
      <c r="F208" s="445"/>
      <c r="G208" s="445"/>
      <c r="H208" s="445"/>
      <c r="I208" s="205"/>
      <c r="J208" s="446"/>
      <c r="K208" s="446"/>
      <c r="L208" s="445"/>
      <c r="M208" s="445"/>
      <c r="N208" s="445"/>
      <c r="O208" s="445"/>
      <c r="P208" s="445"/>
    </row>
    <row r="209" spans="1:16" ht="30.1" customHeight="1" x14ac:dyDescent="0.25">
      <c r="A209" s="444"/>
      <c r="B209" s="445"/>
      <c r="C209" s="445"/>
      <c r="D209" s="445"/>
      <c r="E209" s="604"/>
      <c r="F209" s="445"/>
      <c r="G209" s="445"/>
      <c r="H209" s="445"/>
      <c r="I209" s="205"/>
      <c r="J209" s="446"/>
      <c r="K209" s="446"/>
      <c r="L209" s="445"/>
      <c r="M209" s="445"/>
      <c r="N209" s="445"/>
      <c r="O209" s="445"/>
      <c r="P209" s="445"/>
    </row>
    <row r="210" spans="1:16" ht="30.1" customHeight="1" x14ac:dyDescent="0.25">
      <c r="A210" s="444"/>
      <c r="B210" s="445"/>
      <c r="C210" s="445"/>
      <c r="D210" s="445"/>
      <c r="E210" s="604"/>
      <c r="F210" s="445"/>
      <c r="G210" s="445"/>
      <c r="H210" s="445"/>
      <c r="I210" s="205"/>
      <c r="J210" s="446"/>
      <c r="K210" s="446"/>
      <c r="L210" s="445"/>
      <c r="M210" s="445"/>
      <c r="N210" s="445"/>
      <c r="O210" s="445"/>
      <c r="P210" s="445"/>
    </row>
    <row r="211" spans="1:16" ht="30.1" customHeight="1" x14ac:dyDescent="0.25">
      <c r="A211" s="444"/>
      <c r="B211" s="445"/>
      <c r="C211" s="445"/>
      <c r="D211" s="445"/>
      <c r="E211" s="604"/>
      <c r="F211" s="445"/>
      <c r="G211" s="445"/>
      <c r="H211" s="445"/>
      <c r="I211" s="205"/>
      <c r="J211" s="446"/>
      <c r="K211" s="446"/>
      <c r="L211" s="445"/>
      <c r="M211" s="445"/>
      <c r="N211" s="445"/>
      <c r="O211" s="445"/>
      <c r="P211" s="445"/>
    </row>
    <row r="212" spans="1:16" ht="30.1" customHeight="1" x14ac:dyDescent="0.25">
      <c r="A212" s="444"/>
      <c r="B212" s="445"/>
      <c r="C212" s="445"/>
      <c r="D212" s="445"/>
      <c r="E212" s="604"/>
      <c r="F212" s="445"/>
      <c r="G212" s="445"/>
      <c r="H212" s="445"/>
      <c r="I212" s="205"/>
      <c r="J212" s="446"/>
      <c r="K212" s="446"/>
      <c r="L212" s="445"/>
      <c r="M212" s="445"/>
      <c r="N212" s="445"/>
      <c r="O212" s="445"/>
      <c r="P212" s="445"/>
    </row>
    <row r="213" spans="1:16" ht="30.1" customHeight="1" x14ac:dyDescent="0.25">
      <c r="A213" s="444"/>
      <c r="B213" s="445"/>
      <c r="C213" s="445"/>
      <c r="D213" s="445"/>
      <c r="E213" s="604"/>
      <c r="F213" s="445"/>
      <c r="G213" s="445"/>
      <c r="H213" s="445"/>
      <c r="I213" s="205"/>
      <c r="J213" s="446"/>
      <c r="K213" s="446"/>
      <c r="L213" s="445"/>
      <c r="M213" s="445"/>
      <c r="N213" s="445"/>
      <c r="O213" s="445"/>
      <c r="P213" s="445"/>
    </row>
    <row r="214" spans="1:16" ht="30.1" customHeight="1" x14ac:dyDescent="0.25">
      <c r="A214" s="444"/>
      <c r="B214" s="445"/>
      <c r="C214" s="445"/>
      <c r="D214" s="445"/>
      <c r="E214" s="604"/>
      <c r="F214" s="445"/>
      <c r="G214" s="445"/>
      <c r="H214" s="445"/>
      <c r="I214" s="205"/>
      <c r="J214" s="446"/>
      <c r="K214" s="446"/>
      <c r="L214" s="445"/>
      <c r="M214" s="445"/>
      <c r="N214" s="445"/>
      <c r="O214" s="445"/>
      <c r="P214" s="445"/>
    </row>
    <row r="215" spans="1:16" ht="30.1" customHeight="1" x14ac:dyDescent="0.25">
      <c r="A215" s="444"/>
      <c r="B215" s="445"/>
      <c r="C215" s="445"/>
      <c r="D215" s="445"/>
      <c r="E215" s="604"/>
      <c r="F215" s="445"/>
      <c r="G215" s="445"/>
      <c r="H215" s="445"/>
      <c r="I215" s="205"/>
      <c r="J215" s="446"/>
      <c r="K215" s="446"/>
      <c r="L215" s="445"/>
      <c r="M215" s="445"/>
      <c r="N215" s="445"/>
      <c r="O215" s="445"/>
      <c r="P215" s="445"/>
    </row>
    <row r="216" spans="1:16" ht="30.1" customHeight="1" x14ac:dyDescent="0.25">
      <c r="A216" s="444"/>
      <c r="B216" s="445"/>
      <c r="C216" s="445"/>
      <c r="D216" s="445"/>
      <c r="E216" s="604"/>
      <c r="F216" s="445"/>
      <c r="G216" s="445"/>
      <c r="H216" s="445"/>
      <c r="I216" s="205"/>
      <c r="J216" s="446"/>
      <c r="K216" s="446"/>
      <c r="L216" s="445"/>
      <c r="M216" s="445"/>
      <c r="N216" s="445"/>
      <c r="O216" s="445"/>
      <c r="P216" s="445"/>
    </row>
  </sheetData>
  <autoFilter ref="B1:P127"/>
  <mergeCells count="387">
    <mergeCell ref="O122:O123"/>
    <mergeCell ref="A122:A123"/>
    <mergeCell ref="B122:B123"/>
    <mergeCell ref="C122:C123"/>
    <mergeCell ref="D122:D123"/>
    <mergeCell ref="E122:E123"/>
    <mergeCell ref="G122:G123"/>
    <mergeCell ref="I122:I123"/>
    <mergeCell ref="J122:J123"/>
    <mergeCell ref="K122:K123"/>
    <mergeCell ref="P82:P83"/>
    <mergeCell ref="O82:O86"/>
    <mergeCell ref="D82:D86"/>
    <mergeCell ref="E82:E86"/>
    <mergeCell ref="B55:B56"/>
    <mergeCell ref="A82:A86"/>
    <mergeCell ref="B82:B86"/>
    <mergeCell ref="C82:C86"/>
    <mergeCell ref="G82:G86"/>
    <mergeCell ref="I82:I86"/>
    <mergeCell ref="I55:I56"/>
    <mergeCell ref="E55:E56"/>
    <mergeCell ref="D55:D56"/>
    <mergeCell ref="C55:C56"/>
    <mergeCell ref="G55:G56"/>
    <mergeCell ref="C57:C59"/>
    <mergeCell ref="A57:A59"/>
    <mergeCell ref="B57:B59"/>
    <mergeCell ref="A55:A56"/>
    <mergeCell ref="J55:J56"/>
    <mergeCell ref="E57:E59"/>
    <mergeCell ref="D57:D59"/>
    <mergeCell ref="G57:G59"/>
    <mergeCell ref="I57:I59"/>
    <mergeCell ref="P15:P16"/>
    <mergeCell ref="P6:P7"/>
    <mergeCell ref="I50:I51"/>
    <mergeCell ref="J50:J51"/>
    <mergeCell ref="K50:K51"/>
    <mergeCell ref="J52:J53"/>
    <mergeCell ref="K52:K53"/>
    <mergeCell ref="J40:J42"/>
    <mergeCell ref="K40:K42"/>
    <mergeCell ref="P37:P38"/>
    <mergeCell ref="P10:P11"/>
    <mergeCell ref="O35:O36"/>
    <mergeCell ref="N19:N23"/>
    <mergeCell ref="J6:J9"/>
    <mergeCell ref="K6:K9"/>
    <mergeCell ref="I10:I11"/>
    <mergeCell ref="I14:I18"/>
    <mergeCell ref="I19:I23"/>
    <mergeCell ref="J19:J23"/>
    <mergeCell ref="O10:O11"/>
    <mergeCell ref="J10:J11"/>
    <mergeCell ref="I30:I32"/>
    <mergeCell ref="I6:I9"/>
    <mergeCell ref="O6:O9"/>
    <mergeCell ref="G30:G32"/>
    <mergeCell ref="E30:E32"/>
    <mergeCell ref="D30:D32"/>
    <mergeCell ref="E33:E36"/>
    <mergeCell ref="D33:D36"/>
    <mergeCell ref="E37:E38"/>
    <mergeCell ref="D37:D38"/>
    <mergeCell ref="K12:K13"/>
    <mergeCell ref="J14:J18"/>
    <mergeCell ref="K14:K18"/>
    <mergeCell ref="K19:K23"/>
    <mergeCell ref="J30:J32"/>
    <mergeCell ref="K30:K32"/>
    <mergeCell ref="I37:I38"/>
    <mergeCell ref="J33:J36"/>
    <mergeCell ref="K33:K36"/>
    <mergeCell ref="I33:I36"/>
    <mergeCell ref="J24:J26"/>
    <mergeCell ref="K24:K26"/>
    <mergeCell ref="I24:I26"/>
    <mergeCell ref="C52:C53"/>
    <mergeCell ref="G52:G53"/>
    <mergeCell ref="I52:I53"/>
    <mergeCell ref="A45:A49"/>
    <mergeCell ref="B45:B49"/>
    <mergeCell ref="C45:C49"/>
    <mergeCell ref="G45:G49"/>
    <mergeCell ref="A40:A42"/>
    <mergeCell ref="B40:B42"/>
    <mergeCell ref="C40:C42"/>
    <mergeCell ref="I40:I42"/>
    <mergeCell ref="I45:I49"/>
    <mergeCell ref="C50:C51"/>
    <mergeCell ref="G50:G51"/>
    <mergeCell ref="E40:E42"/>
    <mergeCell ref="D40:D42"/>
    <mergeCell ref="E45:E49"/>
    <mergeCell ref="D45:D49"/>
    <mergeCell ref="E50:E51"/>
    <mergeCell ref="D50:D51"/>
    <mergeCell ref="E52:E53"/>
    <mergeCell ref="D52:D53"/>
    <mergeCell ref="A52:A53"/>
    <mergeCell ref="B52:B53"/>
    <mergeCell ref="A2:A4"/>
    <mergeCell ref="B2:B4"/>
    <mergeCell ref="C2:C4"/>
    <mergeCell ref="I2:I4"/>
    <mergeCell ref="J2:J4"/>
    <mergeCell ref="K2:K4"/>
    <mergeCell ref="G2:G4"/>
    <mergeCell ref="E2:E4"/>
    <mergeCell ref="D2:D4"/>
    <mergeCell ref="B12:B13"/>
    <mergeCell ref="C12:C13"/>
    <mergeCell ref="G12:G13"/>
    <mergeCell ref="A10:A11"/>
    <mergeCell ref="B10:B11"/>
    <mergeCell ref="B6:B9"/>
    <mergeCell ref="C6:C9"/>
    <mergeCell ref="G6:G9"/>
    <mergeCell ref="A12:A13"/>
    <mergeCell ref="D12:D13"/>
    <mergeCell ref="E6:E9"/>
    <mergeCell ref="D6:D9"/>
    <mergeCell ref="C10:C11"/>
    <mergeCell ref="G10:G11"/>
    <mergeCell ref="A6:A9"/>
    <mergeCell ref="A30:A32"/>
    <mergeCell ref="B30:B32"/>
    <mergeCell ref="A19:A23"/>
    <mergeCell ref="B19:B23"/>
    <mergeCell ref="C19:C23"/>
    <mergeCell ref="G19:G23"/>
    <mergeCell ref="C30:C32"/>
    <mergeCell ref="G40:G42"/>
    <mergeCell ref="A50:A51"/>
    <mergeCell ref="B50:B51"/>
    <mergeCell ref="A33:A36"/>
    <mergeCell ref="B33:B36"/>
    <mergeCell ref="C33:C36"/>
    <mergeCell ref="A37:A38"/>
    <mergeCell ref="B37:B38"/>
    <mergeCell ref="C37:C38"/>
    <mergeCell ref="A27:A29"/>
    <mergeCell ref="B27:B29"/>
    <mergeCell ref="C27:C29"/>
    <mergeCell ref="A24:A26"/>
    <mergeCell ref="B24:B26"/>
    <mergeCell ref="C24:C26"/>
    <mergeCell ref="G33:G36"/>
    <mergeCell ref="G37:G38"/>
    <mergeCell ref="K10:K11"/>
    <mergeCell ref="I12:I13"/>
    <mergeCell ref="D10:D11"/>
    <mergeCell ref="E10:E11"/>
    <mergeCell ref="G14:G18"/>
    <mergeCell ref="I27:I29"/>
    <mergeCell ref="E12:E13"/>
    <mergeCell ref="N14:N18"/>
    <mergeCell ref="O14:O18"/>
    <mergeCell ref="G27:G29"/>
    <mergeCell ref="G24:G26"/>
    <mergeCell ref="O24:O25"/>
    <mergeCell ref="K27:K29"/>
    <mergeCell ref="O12:O13"/>
    <mergeCell ref="O19:O23"/>
    <mergeCell ref="J12:J13"/>
    <mergeCell ref="O27:O29"/>
    <mergeCell ref="A14:A18"/>
    <mergeCell ref="B14:B18"/>
    <mergeCell ref="E14:E18"/>
    <mergeCell ref="D14:D18"/>
    <mergeCell ref="E19:E23"/>
    <mergeCell ref="D19:D23"/>
    <mergeCell ref="E24:E26"/>
    <mergeCell ref="D24:D26"/>
    <mergeCell ref="E27:E29"/>
    <mergeCell ref="D27:D29"/>
    <mergeCell ref="C14:C18"/>
    <mergeCell ref="S66:S68"/>
    <mergeCell ref="O52:O53"/>
    <mergeCell ref="J27:J29"/>
    <mergeCell ref="K37:K38"/>
    <mergeCell ref="J37:J38"/>
    <mergeCell ref="O45:O49"/>
    <mergeCell ref="K55:K56"/>
    <mergeCell ref="J45:J49"/>
    <mergeCell ref="O37:O38"/>
    <mergeCell ref="J57:J59"/>
    <mergeCell ref="K57:K59"/>
    <mergeCell ref="O57:O59"/>
    <mergeCell ref="P57:P58"/>
    <mergeCell ref="O66:O68"/>
    <mergeCell ref="K63:K65"/>
    <mergeCell ref="O63:O64"/>
    <mergeCell ref="O50:O51"/>
    <mergeCell ref="N40:N42"/>
    <mergeCell ref="K45:K49"/>
    <mergeCell ref="N45:N49"/>
    <mergeCell ref="P50:P51"/>
    <mergeCell ref="K69:K71"/>
    <mergeCell ref="J69:J71"/>
    <mergeCell ref="A66:A68"/>
    <mergeCell ref="B66:B68"/>
    <mergeCell ref="C66:C68"/>
    <mergeCell ref="D66:D68"/>
    <mergeCell ref="E66:E68"/>
    <mergeCell ref="G66:G68"/>
    <mergeCell ref="I66:I68"/>
    <mergeCell ref="J66:J68"/>
    <mergeCell ref="K66:K68"/>
    <mergeCell ref="A69:A71"/>
    <mergeCell ref="G69:G71"/>
    <mergeCell ref="B63:B65"/>
    <mergeCell ref="C63:C65"/>
    <mergeCell ref="D63:D65"/>
    <mergeCell ref="E63:E65"/>
    <mergeCell ref="S69:S71"/>
    <mergeCell ref="I69:I71"/>
    <mergeCell ref="R69:R71"/>
    <mergeCell ref="P74:P75"/>
    <mergeCell ref="Q74:Q75"/>
    <mergeCell ref="B69:B71"/>
    <mergeCell ref="C69:C71"/>
    <mergeCell ref="D69:D71"/>
    <mergeCell ref="E69:E71"/>
    <mergeCell ref="O69:O71"/>
    <mergeCell ref="C74:C77"/>
    <mergeCell ref="D74:D77"/>
    <mergeCell ref="E74:E77"/>
    <mergeCell ref="G74:G77"/>
    <mergeCell ref="I74:I77"/>
    <mergeCell ref="O74:O75"/>
    <mergeCell ref="O76:O77"/>
    <mergeCell ref="J74:J77"/>
    <mergeCell ref="K74:K77"/>
    <mergeCell ref="G63:G65"/>
    <mergeCell ref="R78:R79"/>
    <mergeCell ref="O30:O32"/>
    <mergeCell ref="K78:K79"/>
    <mergeCell ref="A80:A81"/>
    <mergeCell ref="B80:B81"/>
    <mergeCell ref="G80:G81"/>
    <mergeCell ref="C80:C81"/>
    <mergeCell ref="D80:D81"/>
    <mergeCell ref="E80:E81"/>
    <mergeCell ref="O80:O81"/>
    <mergeCell ref="I80:I81"/>
    <mergeCell ref="J80:J81"/>
    <mergeCell ref="K80:K81"/>
    <mergeCell ref="A78:A79"/>
    <mergeCell ref="B78:B79"/>
    <mergeCell ref="C78:C79"/>
    <mergeCell ref="D78:D79"/>
    <mergeCell ref="E78:E79"/>
    <mergeCell ref="G78:G79"/>
    <mergeCell ref="I78:I79"/>
    <mergeCell ref="J78:J79"/>
    <mergeCell ref="A74:A77"/>
    <mergeCell ref="B74:B77"/>
    <mergeCell ref="A63:A65"/>
    <mergeCell ref="D91:D92"/>
    <mergeCell ref="E93:E95"/>
    <mergeCell ref="D93:D95"/>
    <mergeCell ref="O78:O79"/>
    <mergeCell ref="A91:A92"/>
    <mergeCell ref="B91:B92"/>
    <mergeCell ref="C91:C92"/>
    <mergeCell ref="G91:G92"/>
    <mergeCell ref="I91:I92"/>
    <mergeCell ref="J91:J92"/>
    <mergeCell ref="K91:K92"/>
    <mergeCell ref="O91:O92"/>
    <mergeCell ref="E88:E89"/>
    <mergeCell ref="D88:D89"/>
    <mergeCell ref="E91:E92"/>
    <mergeCell ref="A88:A89"/>
    <mergeCell ref="B88:B89"/>
    <mergeCell ref="C88:C89"/>
    <mergeCell ref="G88:G89"/>
    <mergeCell ref="I88:I89"/>
    <mergeCell ref="J88:J89"/>
    <mergeCell ref="K88:K89"/>
    <mergeCell ref="O88:O89"/>
    <mergeCell ref="A93:A95"/>
    <mergeCell ref="B93:B95"/>
    <mergeCell ref="C93:C95"/>
    <mergeCell ref="G93:G95"/>
    <mergeCell ref="I93:I95"/>
    <mergeCell ref="J93:J95"/>
    <mergeCell ref="K93:K95"/>
    <mergeCell ref="N93:N95"/>
    <mergeCell ref="O93:O95"/>
    <mergeCell ref="A96:A98"/>
    <mergeCell ref="B96:B98"/>
    <mergeCell ref="C96:C98"/>
    <mergeCell ref="D96:D98"/>
    <mergeCell ref="E96:E98"/>
    <mergeCell ref="G96:G98"/>
    <mergeCell ref="I96:I98"/>
    <mergeCell ref="J96:J98"/>
    <mergeCell ref="K96:K98"/>
    <mergeCell ref="I103:I105"/>
    <mergeCell ref="J103:J105"/>
    <mergeCell ref="K103:K105"/>
    <mergeCell ref="A99:A102"/>
    <mergeCell ref="B99:B102"/>
    <mergeCell ref="C99:C102"/>
    <mergeCell ref="D99:D102"/>
    <mergeCell ref="E99:E102"/>
    <mergeCell ref="G99:G101"/>
    <mergeCell ref="I99:I102"/>
    <mergeCell ref="J99:J102"/>
    <mergeCell ref="K99:K102"/>
    <mergeCell ref="A103:A105"/>
    <mergeCell ref="B103:B105"/>
    <mergeCell ref="C103:C105"/>
    <mergeCell ref="D103:D105"/>
    <mergeCell ref="E103:E105"/>
    <mergeCell ref="G103:G105"/>
    <mergeCell ref="Q115:Q117"/>
    <mergeCell ref="A115:A117"/>
    <mergeCell ref="B115:B117"/>
    <mergeCell ref="C115:C117"/>
    <mergeCell ref="D115:D117"/>
    <mergeCell ref="E115:E117"/>
    <mergeCell ref="G115:G117"/>
    <mergeCell ref="I115:I117"/>
    <mergeCell ref="J115:J117"/>
    <mergeCell ref="K115:K117"/>
    <mergeCell ref="O115:O117"/>
    <mergeCell ref="P108:P109"/>
    <mergeCell ref="A113:A114"/>
    <mergeCell ref="B113:B114"/>
    <mergeCell ref="C113:C114"/>
    <mergeCell ref="D113:D114"/>
    <mergeCell ref="E113:E114"/>
    <mergeCell ref="G113:G114"/>
    <mergeCell ref="I113:I114"/>
    <mergeCell ref="J113:J114"/>
    <mergeCell ref="K113:K114"/>
    <mergeCell ref="O113:O114"/>
    <mergeCell ref="P113:P114"/>
    <mergeCell ref="A108:A109"/>
    <mergeCell ref="B108:B109"/>
    <mergeCell ref="C108:C109"/>
    <mergeCell ref="D108:D109"/>
    <mergeCell ref="A118:A121"/>
    <mergeCell ref="B118:B121"/>
    <mergeCell ref="C118:C121"/>
    <mergeCell ref="D118:D121"/>
    <mergeCell ref="E118:E121"/>
    <mergeCell ref="I118:I121"/>
    <mergeCell ref="J118:J121"/>
    <mergeCell ref="K118:K121"/>
    <mergeCell ref="A106:A107"/>
    <mergeCell ref="B106:B107"/>
    <mergeCell ref="C106:C107"/>
    <mergeCell ref="D106:D107"/>
    <mergeCell ref="E106:E107"/>
    <mergeCell ref="G106:G107"/>
    <mergeCell ref="I106:I107"/>
    <mergeCell ref="J106:J107"/>
    <mergeCell ref="K106:K107"/>
    <mergeCell ref="O118:O119"/>
    <mergeCell ref="G118:G121"/>
    <mergeCell ref="P45:P49"/>
    <mergeCell ref="J82:J86"/>
    <mergeCell ref="K82:K86"/>
    <mergeCell ref="E108:E109"/>
    <mergeCell ref="G108:G109"/>
    <mergeCell ref="I108:I109"/>
    <mergeCell ref="J108:J109"/>
    <mergeCell ref="K108:K109"/>
    <mergeCell ref="O108:O109"/>
    <mergeCell ref="P103:P105"/>
    <mergeCell ref="O106:O107"/>
    <mergeCell ref="P106:P107"/>
    <mergeCell ref="P99:P102"/>
    <mergeCell ref="O99:O102"/>
    <mergeCell ref="P93:P95"/>
    <mergeCell ref="O96:O98"/>
    <mergeCell ref="P96:P98"/>
    <mergeCell ref="I63:I65"/>
    <mergeCell ref="J63:J65"/>
    <mergeCell ref="P91:P92"/>
    <mergeCell ref="O103:O105"/>
    <mergeCell ref="P88:P89"/>
  </mergeCells>
  <pageMargins left="0.23622047244094491" right="0.23622047244094491" top="0.15748031496062992" bottom="0.15748031496062992" header="0.31496062992125984" footer="0.31496062992125984"/>
  <pageSetup scale="50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G18"/>
  <sheetViews>
    <sheetView zoomScale="130" zoomScaleNormal="130" workbookViewId="0">
      <selection activeCell="F15" sqref="F15"/>
    </sheetView>
  </sheetViews>
  <sheetFormatPr baseColWidth="10" defaultRowHeight="14.3" x14ac:dyDescent="0.25"/>
  <cols>
    <col min="1" max="1" width="13.25" customWidth="1"/>
    <col min="2" max="2" width="4.625" customWidth="1"/>
    <col min="3" max="3" width="21.125" customWidth="1"/>
    <col min="4" max="4" width="15.875" customWidth="1"/>
    <col min="5" max="5" width="12.75" customWidth="1"/>
    <col min="6" max="6" width="20.625" customWidth="1"/>
    <col min="7" max="7" width="16.75" customWidth="1"/>
  </cols>
  <sheetData>
    <row r="4" spans="1:7" x14ac:dyDescent="0.25">
      <c r="B4" s="1269" t="s">
        <v>692</v>
      </c>
      <c r="C4" s="1269"/>
      <c r="D4" s="1269"/>
      <c r="E4" s="1269"/>
      <c r="F4" s="1269"/>
      <c r="G4" s="1269"/>
    </row>
    <row r="5" spans="1:7" x14ac:dyDescent="0.25">
      <c r="B5" s="1269" t="s">
        <v>694</v>
      </c>
      <c r="C5" s="1269"/>
      <c r="D5" s="105" t="s">
        <v>688</v>
      </c>
      <c r="E5" s="105" t="s">
        <v>689</v>
      </c>
      <c r="F5" s="105" t="s">
        <v>690</v>
      </c>
      <c r="G5" s="105" t="s">
        <v>691</v>
      </c>
    </row>
    <row r="6" spans="1:7" x14ac:dyDescent="0.25">
      <c r="B6" s="107">
        <v>1</v>
      </c>
      <c r="C6" s="106" t="s">
        <v>795</v>
      </c>
      <c r="D6" s="302">
        <v>20</v>
      </c>
      <c r="E6" s="302">
        <v>20</v>
      </c>
      <c r="F6" s="302">
        <v>20</v>
      </c>
      <c r="G6" s="302">
        <v>15</v>
      </c>
    </row>
    <row r="7" spans="1:7" x14ac:dyDescent="0.25">
      <c r="B7" s="107">
        <v>2</v>
      </c>
      <c r="C7" s="106" t="s">
        <v>932</v>
      </c>
      <c r="D7" s="303">
        <v>17</v>
      </c>
      <c r="E7" s="302">
        <v>17</v>
      </c>
      <c r="F7" s="302">
        <v>14</v>
      </c>
      <c r="G7" s="302">
        <v>8</v>
      </c>
    </row>
    <row r="8" spans="1:7" x14ac:dyDescent="0.25">
      <c r="B8" s="107">
        <v>3</v>
      </c>
      <c r="C8" s="106" t="s">
        <v>1052</v>
      </c>
      <c r="D8" s="302">
        <v>20</v>
      </c>
      <c r="E8" s="302">
        <v>20</v>
      </c>
      <c r="F8" s="302">
        <v>20</v>
      </c>
      <c r="G8" s="302">
        <v>20</v>
      </c>
    </row>
    <row r="9" spans="1:7" x14ac:dyDescent="0.25">
      <c r="B9" s="107">
        <v>4</v>
      </c>
      <c r="C9" s="106" t="s">
        <v>1530</v>
      </c>
      <c r="D9" s="302"/>
      <c r="E9" s="302"/>
      <c r="F9" s="302"/>
      <c r="G9" s="302"/>
    </row>
    <row r="10" spans="1:7" x14ac:dyDescent="0.25">
      <c r="B10" s="107">
        <v>5</v>
      </c>
      <c r="C10" s="106" t="s">
        <v>1531</v>
      </c>
      <c r="D10" s="302"/>
      <c r="E10" s="302"/>
      <c r="F10" s="302"/>
      <c r="G10" s="302"/>
    </row>
    <row r="11" spans="1:7" ht="19.05" x14ac:dyDescent="0.25">
      <c r="B11" s="1270" t="s">
        <v>693</v>
      </c>
      <c r="C11" s="1271"/>
      <c r="D11" s="196">
        <f>SUM(D6:D10)</f>
        <v>57</v>
      </c>
      <c r="E11" s="196">
        <f>SUM(E6:E10)</f>
        <v>57</v>
      </c>
      <c r="F11" s="196">
        <f>SUM(F6:F10)</f>
        <v>54</v>
      </c>
      <c r="G11" s="196">
        <f>SUM(G6:G10)</f>
        <v>43</v>
      </c>
    </row>
    <row r="12" spans="1:7" x14ac:dyDescent="0.25">
      <c r="D12" s="428">
        <v>90</v>
      </c>
      <c r="E12" s="428">
        <v>90</v>
      </c>
      <c r="F12" s="428">
        <v>90</v>
      </c>
      <c r="G12" s="428">
        <v>90</v>
      </c>
    </row>
    <row r="13" spans="1:7" x14ac:dyDescent="0.25">
      <c r="D13" s="429">
        <f>D12-D11</f>
        <v>33</v>
      </c>
      <c r="E13" s="429">
        <f>E12-E11</f>
        <v>33</v>
      </c>
      <c r="F13" s="429">
        <f>F12-F11</f>
        <v>36</v>
      </c>
      <c r="G13" s="429">
        <f>G12-G11</f>
        <v>47</v>
      </c>
    </row>
    <row r="16" spans="1:7" ht="14.95" customHeight="1" x14ac:dyDescent="0.25">
      <c r="A16" s="1278">
        <v>43462</v>
      </c>
      <c r="B16" s="1279"/>
      <c r="C16" s="1272" t="s">
        <v>820</v>
      </c>
      <c r="D16" s="1273"/>
      <c r="E16" s="1273"/>
      <c r="F16" s="1273"/>
      <c r="G16" s="1274"/>
    </row>
    <row r="17" spans="1:7" x14ac:dyDescent="0.25">
      <c r="A17" s="1280"/>
      <c r="B17" s="1281"/>
      <c r="C17" s="1275"/>
      <c r="D17" s="1276"/>
      <c r="E17" s="1276"/>
      <c r="F17" s="1276"/>
      <c r="G17" s="1277"/>
    </row>
    <row r="18" spans="1:7" ht="58.6" customHeight="1" x14ac:dyDescent="0.25">
      <c r="A18" s="1266">
        <v>43473</v>
      </c>
      <c r="B18" s="1267"/>
      <c r="C18" s="1268" t="s">
        <v>899</v>
      </c>
      <c r="D18" s="1268"/>
      <c r="E18" s="1268"/>
      <c r="F18" s="1268"/>
      <c r="G18" s="1268"/>
    </row>
  </sheetData>
  <mergeCells count="7">
    <mergeCell ref="A18:B18"/>
    <mergeCell ref="C18:G18"/>
    <mergeCell ref="B5:C5"/>
    <mergeCell ref="B4:G4"/>
    <mergeCell ref="B11:C11"/>
    <mergeCell ref="C16:G17"/>
    <mergeCell ref="A16:B1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"/>
  <sheetViews>
    <sheetView view="pageBreakPreview" zoomScale="115" zoomScaleNormal="145" zoomScaleSheetLayoutView="115" workbookViewId="0">
      <selection activeCell="E14" sqref="E14"/>
    </sheetView>
  </sheetViews>
  <sheetFormatPr baseColWidth="10" defaultRowHeight="14.3" x14ac:dyDescent="0.25"/>
  <cols>
    <col min="1" max="1" width="0.25" customWidth="1"/>
    <col min="2" max="2" width="17.875" customWidth="1"/>
    <col min="3" max="3" width="25.625" customWidth="1"/>
    <col min="4" max="4" width="24.75" customWidth="1"/>
    <col min="5" max="5" width="26.875" customWidth="1"/>
    <col min="6" max="6" width="6.25" customWidth="1"/>
    <col min="8" max="8" width="15.375" customWidth="1"/>
    <col min="9" max="9" width="6.875" customWidth="1"/>
    <col min="13" max="13" width="13.75" customWidth="1"/>
    <col min="14" max="14" width="23.125" customWidth="1"/>
    <col min="15" max="15" width="25.75" customWidth="1"/>
  </cols>
  <sheetData>
    <row r="1" spans="1:7" x14ac:dyDescent="0.25">
      <c r="B1" s="1291" t="s">
        <v>601</v>
      </c>
      <c r="C1" s="1291"/>
      <c r="D1" s="1291"/>
      <c r="E1" s="1291"/>
      <c r="F1" s="1291"/>
    </row>
    <row r="2" spans="1:7" ht="25.5" customHeight="1" x14ac:dyDescent="0.25">
      <c r="A2" s="14"/>
      <c r="B2" s="1290" t="s">
        <v>478</v>
      </c>
      <c r="C2" s="72" t="s">
        <v>666</v>
      </c>
      <c r="D2" s="72" t="s">
        <v>716</v>
      </c>
      <c r="E2" s="72" t="s">
        <v>665</v>
      </c>
      <c r="F2" s="72" t="s">
        <v>666</v>
      </c>
      <c r="G2" s="6"/>
    </row>
    <row r="3" spans="1:7" ht="18.7" customHeight="1" x14ac:dyDescent="0.25">
      <c r="A3" s="14"/>
      <c r="B3" s="1290"/>
      <c r="C3" s="72">
        <v>29</v>
      </c>
      <c r="D3" s="72">
        <v>30</v>
      </c>
      <c r="E3" s="72">
        <v>31</v>
      </c>
      <c r="F3" s="72">
        <v>1</v>
      </c>
      <c r="G3" s="6"/>
    </row>
    <row r="4" spans="1:7" ht="25.5" customHeight="1" x14ac:dyDescent="0.25">
      <c r="A4" s="14"/>
      <c r="B4" s="73">
        <v>0.33333333333333331</v>
      </c>
      <c r="C4" s="74"/>
      <c r="D4" s="74"/>
      <c r="E4" s="74"/>
      <c r="F4" s="74"/>
    </row>
    <row r="5" spans="1:7" ht="25.5" customHeight="1" x14ac:dyDescent="0.25">
      <c r="A5" s="14"/>
      <c r="B5" s="73">
        <v>0.375</v>
      </c>
      <c r="C5" s="74"/>
      <c r="D5" s="74"/>
      <c r="E5" s="75"/>
      <c r="F5" s="74"/>
    </row>
    <row r="6" spans="1:7" ht="25.5" customHeight="1" x14ac:dyDescent="0.25">
      <c r="A6" s="14"/>
      <c r="B6" s="73">
        <v>0.41666666666666669</v>
      </c>
      <c r="C6" s="75"/>
      <c r="D6" s="75"/>
      <c r="E6" s="74"/>
      <c r="F6" s="75"/>
    </row>
    <row r="7" spans="1:7" ht="25.5" customHeight="1" x14ac:dyDescent="0.25">
      <c r="A7" s="14"/>
      <c r="B7" s="73">
        <v>0.45833333333333331</v>
      </c>
      <c r="C7" s="74"/>
      <c r="D7" s="74"/>
      <c r="E7" s="74"/>
      <c r="F7" s="74"/>
    </row>
    <row r="8" spans="1:7" ht="25.5" customHeight="1" x14ac:dyDescent="0.25">
      <c r="A8" s="14"/>
      <c r="B8" s="73">
        <v>8.3333333333333329E-2</v>
      </c>
      <c r="C8" s="74"/>
      <c r="D8" s="80"/>
      <c r="E8" s="81"/>
      <c r="F8" s="74"/>
    </row>
    <row r="9" spans="1:7" ht="25.5" customHeight="1" x14ac:dyDescent="0.25">
      <c r="A9" s="14"/>
      <c r="B9" s="73">
        <v>0.125</v>
      </c>
      <c r="C9" s="74"/>
      <c r="D9" s="75"/>
      <c r="E9" s="74"/>
      <c r="F9" s="74"/>
    </row>
    <row r="10" spans="1:7" ht="25.5" customHeight="1" x14ac:dyDescent="0.25">
      <c r="A10" s="14"/>
      <c r="B10" s="73">
        <v>0.16666666666666666</v>
      </c>
      <c r="C10" s="74"/>
      <c r="D10" s="74"/>
      <c r="E10" s="74"/>
      <c r="F10" s="74"/>
    </row>
    <row r="11" spans="1:7" ht="25.5" customHeight="1" x14ac:dyDescent="0.25">
      <c r="A11" s="14"/>
      <c r="B11" s="73">
        <v>0.20833333333333334</v>
      </c>
      <c r="C11" s="74"/>
      <c r="D11" s="74"/>
      <c r="E11" s="74"/>
      <c r="F11" s="74"/>
    </row>
    <row r="12" spans="1:7" x14ac:dyDescent="0.25">
      <c r="B12" s="76"/>
      <c r="C12" s="77"/>
      <c r="D12" s="77"/>
      <c r="E12" s="77"/>
      <c r="F12" s="77"/>
    </row>
    <row r="13" spans="1:7" ht="17.350000000000001" customHeight="1" x14ac:dyDescent="0.25">
      <c r="B13" s="79"/>
      <c r="C13" s="78"/>
      <c r="D13" s="77"/>
      <c r="E13" s="79"/>
      <c r="F13" s="79"/>
    </row>
    <row r="14" spans="1:7" ht="16.5" customHeight="1" x14ac:dyDescent="0.25">
      <c r="B14" s="77"/>
      <c r="C14" s="77"/>
      <c r="D14" s="77"/>
      <c r="E14" s="79"/>
      <c r="F14" s="79"/>
    </row>
    <row r="15" spans="1:7" ht="17.350000000000001" customHeight="1" x14ac:dyDescent="0.25">
      <c r="B15" s="78"/>
      <c r="C15" s="79"/>
      <c r="D15" s="77"/>
      <c r="E15" s="77"/>
      <c r="F15" s="79"/>
    </row>
    <row r="16" spans="1:7" x14ac:dyDescent="0.25">
      <c r="B16" s="78"/>
      <c r="C16" s="77"/>
      <c r="D16" s="77"/>
      <c r="E16" s="77"/>
      <c r="F16" s="77"/>
    </row>
    <row r="17" spans="2:18" ht="14.95" thickBot="1" x14ac:dyDescent="0.3">
      <c r="B17" s="78"/>
      <c r="C17" s="77"/>
      <c r="D17" s="77"/>
      <c r="E17" s="77"/>
      <c r="F17" s="77"/>
    </row>
    <row r="18" spans="2:18" ht="15.8" customHeight="1" thickBot="1" x14ac:dyDescent="0.3">
      <c r="B18" s="78"/>
      <c r="C18" s="79"/>
      <c r="D18" s="77"/>
      <c r="E18" s="77"/>
      <c r="F18" s="77"/>
      <c r="I18" s="1287" t="s">
        <v>781</v>
      </c>
      <c r="J18" s="1288"/>
      <c r="K18" s="1288"/>
      <c r="L18" s="1288"/>
      <c r="M18" s="1288"/>
      <c r="N18" s="1288"/>
      <c r="O18" s="1289"/>
      <c r="P18" s="179"/>
      <c r="Q18" s="179"/>
      <c r="R18" s="179"/>
    </row>
    <row r="19" spans="2:18" ht="15.8" customHeight="1" thickBot="1" x14ac:dyDescent="0.3">
      <c r="B19" s="78"/>
      <c r="C19" s="77"/>
      <c r="D19" s="77"/>
      <c r="E19" s="77"/>
      <c r="F19" s="77"/>
      <c r="I19" s="180" t="s">
        <v>775</v>
      </c>
      <c r="J19" s="181" t="s">
        <v>776</v>
      </c>
      <c r="K19" s="181" t="s">
        <v>478</v>
      </c>
      <c r="L19" s="1285" t="s">
        <v>235</v>
      </c>
      <c r="M19" s="1286"/>
      <c r="N19" s="185" t="s">
        <v>777</v>
      </c>
      <c r="O19" s="186"/>
      <c r="P19" s="179"/>
      <c r="Q19" s="179"/>
      <c r="R19" s="179"/>
    </row>
    <row r="20" spans="2:18" ht="14.95" thickBot="1" x14ac:dyDescent="0.3">
      <c r="C20" s="15"/>
      <c r="D20" s="15"/>
      <c r="E20" s="15"/>
      <c r="F20" s="60"/>
      <c r="I20" s="182">
        <v>1</v>
      </c>
      <c r="J20" s="183">
        <v>43441</v>
      </c>
      <c r="K20" s="184" t="s">
        <v>778</v>
      </c>
      <c r="L20" s="184" t="s">
        <v>782</v>
      </c>
      <c r="M20" s="184"/>
      <c r="N20" s="184" t="s">
        <v>779</v>
      </c>
      <c r="O20" s="184" t="s">
        <v>780</v>
      </c>
      <c r="P20" s="179"/>
      <c r="Q20" s="179"/>
      <c r="R20" s="179"/>
    </row>
    <row r="21" spans="2:18" ht="14.95" thickBot="1" x14ac:dyDescent="0.3">
      <c r="D21" s="12"/>
      <c r="I21" s="182">
        <v>2</v>
      </c>
      <c r="J21" s="183">
        <v>43445</v>
      </c>
      <c r="K21" s="184" t="s">
        <v>778</v>
      </c>
      <c r="L21" s="184" t="s">
        <v>782</v>
      </c>
      <c r="M21" s="184"/>
      <c r="N21" s="184" t="s">
        <v>779</v>
      </c>
      <c r="O21" s="184" t="s">
        <v>780</v>
      </c>
      <c r="P21" s="179"/>
      <c r="Q21" s="179"/>
      <c r="R21" s="179"/>
    </row>
    <row r="22" spans="2:18" ht="14.95" thickBot="1" x14ac:dyDescent="0.3">
      <c r="D22" s="12"/>
      <c r="I22" s="182">
        <v>3</v>
      </c>
      <c r="J22" s="183">
        <v>43446</v>
      </c>
      <c r="K22" s="184" t="s">
        <v>778</v>
      </c>
      <c r="L22" s="184" t="s">
        <v>782</v>
      </c>
      <c r="M22" s="184"/>
      <c r="N22" s="184" t="s">
        <v>779</v>
      </c>
      <c r="O22" s="184" t="s">
        <v>780</v>
      </c>
      <c r="P22" s="179"/>
      <c r="Q22" s="179"/>
      <c r="R22" s="179"/>
    </row>
    <row r="23" spans="2:18" ht="14.95" customHeight="1" thickBot="1" x14ac:dyDescent="0.3">
      <c r="D23" s="12"/>
      <c r="I23" s="182">
        <v>4</v>
      </c>
      <c r="J23" s="183">
        <v>43448</v>
      </c>
      <c r="K23" s="184" t="s">
        <v>778</v>
      </c>
      <c r="L23" s="184" t="s">
        <v>782</v>
      </c>
      <c r="M23" s="184" t="s">
        <v>783</v>
      </c>
      <c r="N23" s="184" t="s">
        <v>779</v>
      </c>
      <c r="O23" s="184" t="s">
        <v>780</v>
      </c>
      <c r="P23" s="179"/>
      <c r="Q23" s="179"/>
      <c r="R23" s="179"/>
    </row>
    <row r="24" spans="2:18" ht="14.95" customHeight="1" thickBot="1" x14ac:dyDescent="0.3">
      <c r="D24" s="12"/>
      <c r="I24" s="182">
        <v>5</v>
      </c>
      <c r="J24" s="183">
        <v>43449</v>
      </c>
      <c r="K24" s="184" t="s">
        <v>778</v>
      </c>
      <c r="L24" s="184" t="s">
        <v>782</v>
      </c>
      <c r="M24" s="184" t="s">
        <v>783</v>
      </c>
      <c r="N24" s="184" t="s">
        <v>779</v>
      </c>
      <c r="O24" s="184" t="s">
        <v>780</v>
      </c>
      <c r="P24" s="179"/>
      <c r="Q24" s="179"/>
      <c r="R24" s="179"/>
    </row>
    <row r="25" spans="2:18" ht="14.95" customHeight="1" thickBot="1" x14ac:dyDescent="0.3">
      <c r="D25" s="12"/>
      <c r="I25" s="182">
        <v>6</v>
      </c>
      <c r="J25" s="183">
        <v>43450</v>
      </c>
      <c r="K25" s="184" t="s">
        <v>778</v>
      </c>
      <c r="L25" s="184"/>
      <c r="M25" s="184" t="s">
        <v>783</v>
      </c>
      <c r="N25" s="184" t="s">
        <v>779</v>
      </c>
      <c r="O25" s="184" t="s">
        <v>780</v>
      </c>
      <c r="P25" s="179"/>
      <c r="Q25" s="179"/>
      <c r="R25" s="179"/>
    </row>
    <row r="26" spans="2:18" ht="14.95" thickBot="1" x14ac:dyDescent="0.3">
      <c r="D26" s="12"/>
      <c r="I26" s="182">
        <v>7</v>
      </c>
      <c r="J26" s="183">
        <v>43451</v>
      </c>
      <c r="K26" s="184" t="s">
        <v>778</v>
      </c>
      <c r="L26" s="184" t="s">
        <v>782</v>
      </c>
      <c r="M26" s="184" t="s">
        <v>783</v>
      </c>
      <c r="N26" s="184" t="s">
        <v>779</v>
      </c>
      <c r="O26" s="184" t="s">
        <v>780</v>
      </c>
      <c r="P26" s="179"/>
      <c r="Q26" s="179"/>
      <c r="R26" s="179"/>
    </row>
    <row r="27" spans="2:18" ht="14.95" thickBot="1" x14ac:dyDescent="0.3">
      <c r="D27" s="12"/>
      <c r="I27" s="182">
        <v>8</v>
      </c>
      <c r="J27" s="183">
        <v>43453</v>
      </c>
      <c r="K27" s="184" t="s">
        <v>778</v>
      </c>
      <c r="L27" s="184" t="s">
        <v>782</v>
      </c>
      <c r="M27" s="184" t="s">
        <v>783</v>
      </c>
      <c r="N27" s="184" t="s">
        <v>779</v>
      </c>
      <c r="O27" s="184" t="s">
        <v>780</v>
      </c>
      <c r="P27" s="179"/>
      <c r="Q27" s="179"/>
      <c r="R27" s="179"/>
    </row>
    <row r="28" spans="2:18" ht="14.95" thickBot="1" x14ac:dyDescent="0.3">
      <c r="I28" s="182">
        <v>9</v>
      </c>
      <c r="J28" s="183">
        <v>43455</v>
      </c>
      <c r="K28" s="184" t="s">
        <v>778</v>
      </c>
      <c r="L28" s="184" t="s">
        <v>782</v>
      </c>
      <c r="M28" s="184" t="s">
        <v>783</v>
      </c>
      <c r="N28" s="184" t="s">
        <v>779</v>
      </c>
      <c r="O28" s="184" t="s">
        <v>780</v>
      </c>
      <c r="P28" s="179"/>
      <c r="Q28" s="179"/>
      <c r="R28" s="179"/>
    </row>
    <row r="29" spans="2:18" ht="14.95" thickBot="1" x14ac:dyDescent="0.3">
      <c r="I29" s="182">
        <v>10</v>
      </c>
      <c r="J29" s="183">
        <v>43458</v>
      </c>
      <c r="K29" s="184" t="s">
        <v>778</v>
      </c>
      <c r="L29" s="184" t="s">
        <v>782</v>
      </c>
      <c r="M29" s="184" t="s">
        <v>783</v>
      </c>
      <c r="N29" s="184" t="s">
        <v>779</v>
      </c>
      <c r="O29" s="184" t="s">
        <v>780</v>
      </c>
      <c r="P29" s="179"/>
      <c r="Q29" s="179"/>
      <c r="R29" s="179"/>
    </row>
    <row r="30" spans="2:18" ht="14.95" thickBot="1" x14ac:dyDescent="0.3">
      <c r="I30" s="182">
        <v>11</v>
      </c>
      <c r="J30" s="183">
        <v>43460</v>
      </c>
      <c r="K30" s="184" t="s">
        <v>778</v>
      </c>
      <c r="L30" s="184" t="s">
        <v>782</v>
      </c>
      <c r="M30" s="184" t="s">
        <v>783</v>
      </c>
      <c r="N30" s="184" t="s">
        <v>779</v>
      </c>
      <c r="O30" s="184" t="s">
        <v>780</v>
      </c>
      <c r="P30" s="179"/>
      <c r="Q30" s="179"/>
      <c r="R30" s="179"/>
    </row>
    <row r="31" spans="2:18" ht="14.95" thickBot="1" x14ac:dyDescent="0.3">
      <c r="I31" s="182">
        <v>12</v>
      </c>
      <c r="J31" s="183">
        <v>43462</v>
      </c>
      <c r="K31" s="184" t="s">
        <v>778</v>
      </c>
      <c r="L31" s="184" t="s">
        <v>782</v>
      </c>
      <c r="M31" s="184" t="s">
        <v>783</v>
      </c>
      <c r="N31" s="184" t="s">
        <v>779</v>
      </c>
      <c r="O31" s="184" t="s">
        <v>780</v>
      </c>
      <c r="P31" s="179"/>
      <c r="Q31" s="179"/>
      <c r="R31" s="179"/>
    </row>
    <row r="32" spans="2:18" ht="14.95" thickBot="1" x14ac:dyDescent="0.3">
      <c r="I32" s="182">
        <v>13</v>
      </c>
      <c r="J32" s="183">
        <v>43464</v>
      </c>
      <c r="K32" s="184" t="s">
        <v>778</v>
      </c>
      <c r="L32" s="184"/>
      <c r="M32" s="184" t="s">
        <v>783</v>
      </c>
      <c r="N32" s="184" t="s">
        <v>785</v>
      </c>
      <c r="O32" s="184" t="s">
        <v>786</v>
      </c>
      <c r="P32" s="179"/>
      <c r="Q32" s="179"/>
      <c r="R32" s="179"/>
    </row>
    <row r="33" spans="9:18" ht="14.95" thickBot="1" x14ac:dyDescent="0.3">
      <c r="I33" s="182">
        <v>14</v>
      </c>
      <c r="J33" s="183">
        <v>43465</v>
      </c>
      <c r="K33" s="184" t="s">
        <v>778</v>
      </c>
      <c r="L33" s="184" t="s">
        <v>782</v>
      </c>
      <c r="M33" s="184" t="s">
        <v>783</v>
      </c>
      <c r="N33" s="184" t="s">
        <v>779</v>
      </c>
      <c r="O33" s="184" t="s">
        <v>780</v>
      </c>
      <c r="P33" s="179"/>
      <c r="Q33" s="179"/>
      <c r="R33" s="179"/>
    </row>
    <row r="34" spans="9:18" ht="14.95" thickBot="1" x14ac:dyDescent="0.3">
      <c r="I34" s="182">
        <v>15</v>
      </c>
      <c r="J34" s="183">
        <v>43467</v>
      </c>
      <c r="K34" s="184" t="s">
        <v>778</v>
      </c>
      <c r="L34" s="184"/>
      <c r="M34" s="184" t="s">
        <v>783</v>
      </c>
      <c r="N34" s="184" t="s">
        <v>779</v>
      </c>
      <c r="O34" s="184" t="s">
        <v>780</v>
      </c>
      <c r="P34" s="179"/>
      <c r="Q34" s="179"/>
      <c r="R34" s="179"/>
    </row>
    <row r="35" spans="9:18" x14ac:dyDescent="0.25">
      <c r="I35" s="1282" t="s">
        <v>784</v>
      </c>
      <c r="J35" s="1283"/>
      <c r="K35" s="1283"/>
      <c r="L35" s="1283"/>
      <c r="M35" s="1283"/>
      <c r="N35" s="1283"/>
      <c r="O35" s="1284"/>
      <c r="P35" s="179"/>
      <c r="Q35" s="179"/>
      <c r="R35" s="179"/>
    </row>
  </sheetData>
  <mergeCells count="5">
    <mergeCell ref="I35:O35"/>
    <mergeCell ref="L19:M19"/>
    <mergeCell ref="I18:O18"/>
    <mergeCell ref="B2:B3"/>
    <mergeCell ref="B1:F1"/>
  </mergeCells>
  <pageMargins left="0.7" right="0.7" top="0.75" bottom="0.75" header="0.3" footer="0.3"/>
  <pageSetup orientation="landscape" r:id="rId1"/>
  <headerFooter>
    <oddHeader>&amp;C&amp;"Kristen ITC,Negrita"&amp;USEPTIEMBRE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2"/>
  <sheetViews>
    <sheetView topLeftCell="A16" zoomScale="130" zoomScaleNormal="130" workbookViewId="0">
      <selection activeCell="C1" sqref="C1"/>
    </sheetView>
  </sheetViews>
  <sheetFormatPr baseColWidth="10" defaultRowHeight="19.05" x14ac:dyDescent="0.35"/>
  <cols>
    <col min="1" max="1" width="4.25" style="60" customWidth="1"/>
    <col min="2" max="3" width="11" style="60"/>
    <col min="4" max="4" width="3.875" style="60" customWidth="1"/>
    <col min="5" max="5" width="13.375" style="60" customWidth="1"/>
    <col min="6" max="6" width="11" style="60"/>
    <col min="7" max="7" width="15.375" style="60" customWidth="1"/>
    <col min="8" max="8" width="11" style="60"/>
    <col min="9" max="9" width="15" style="60" customWidth="1"/>
    <col min="11" max="11" width="11" style="60"/>
    <col min="12" max="12" width="11.875" style="60" customWidth="1"/>
    <col min="13" max="14" width="11" style="60"/>
    <col min="15" max="15" width="11" style="619"/>
    <col min="16" max="16" width="20.375" style="60" customWidth="1"/>
    <col min="17" max="16384" width="11" style="60"/>
  </cols>
  <sheetData>
    <row r="1" spans="1:16" s="7" customFormat="1" ht="22.6" customHeight="1" x14ac:dyDescent="0.25">
      <c r="A1" s="55" t="s">
        <v>350</v>
      </c>
      <c r="B1" s="56" t="s">
        <v>351</v>
      </c>
      <c r="C1" s="56" t="s">
        <v>352</v>
      </c>
      <c r="D1" s="56" t="s">
        <v>353</v>
      </c>
      <c r="E1" s="138" t="s">
        <v>354</v>
      </c>
      <c r="F1" s="56" t="s">
        <v>355</v>
      </c>
      <c r="G1" s="139" t="s">
        <v>505</v>
      </c>
      <c r="H1" s="56" t="s">
        <v>12</v>
      </c>
      <c r="I1" s="56" t="s">
        <v>356</v>
      </c>
      <c r="J1" s="55" t="s">
        <v>0</v>
      </c>
      <c r="K1" s="140" t="s">
        <v>357</v>
      </c>
      <c r="L1" s="140" t="s">
        <v>1</v>
      </c>
      <c r="M1" s="56" t="s">
        <v>604</v>
      </c>
      <c r="N1" s="56" t="s">
        <v>1440</v>
      </c>
      <c r="O1" s="56" t="s">
        <v>1439</v>
      </c>
      <c r="P1" s="56" t="s">
        <v>3</v>
      </c>
    </row>
    <row r="2" spans="1:16" s="2" customFormat="1" ht="30.1" customHeight="1" x14ac:dyDescent="0.25">
      <c r="A2" s="1299">
        <v>1</v>
      </c>
      <c r="B2" s="1292" t="s">
        <v>407</v>
      </c>
      <c r="C2" s="1292" t="s">
        <v>408</v>
      </c>
      <c r="D2" s="1294" t="s">
        <v>370</v>
      </c>
      <c r="E2" s="1300">
        <v>1003045677</v>
      </c>
      <c r="F2" s="1201" t="s">
        <v>367</v>
      </c>
      <c r="G2" s="1292" t="s">
        <v>518</v>
      </c>
      <c r="H2" s="1201" t="s">
        <v>14</v>
      </c>
      <c r="I2" s="1116" t="s">
        <v>1443</v>
      </c>
      <c r="J2" s="1295" t="s">
        <v>1444</v>
      </c>
      <c r="K2" s="1296">
        <v>1</v>
      </c>
      <c r="L2" s="1296">
        <v>30</v>
      </c>
      <c r="M2" s="532">
        <v>12</v>
      </c>
      <c r="N2" s="532" t="s">
        <v>4</v>
      </c>
      <c r="O2" s="618">
        <v>8</v>
      </c>
      <c r="P2" s="1116" t="s">
        <v>1441</v>
      </c>
    </row>
    <row r="3" spans="1:16" s="2" customFormat="1" ht="30.1" customHeight="1" x14ac:dyDescent="0.25">
      <c r="A3" s="1299"/>
      <c r="B3" s="1292"/>
      <c r="C3" s="1292"/>
      <c r="D3" s="1294"/>
      <c r="E3" s="1300"/>
      <c r="F3" s="1293"/>
      <c r="G3" s="1292"/>
      <c r="H3" s="1293"/>
      <c r="I3" s="1117"/>
      <c r="J3" s="1295"/>
      <c r="K3" s="1296"/>
      <c r="L3" s="1296"/>
      <c r="M3" s="532">
        <v>12</v>
      </c>
      <c r="N3" s="532" t="s">
        <v>5</v>
      </c>
      <c r="O3" s="618">
        <v>8</v>
      </c>
      <c r="P3" s="1117"/>
    </row>
    <row r="4" spans="1:16" s="2" customFormat="1" ht="30.1" customHeight="1" x14ac:dyDescent="0.25">
      <c r="A4" s="1299"/>
      <c r="B4" s="1292"/>
      <c r="C4" s="1292"/>
      <c r="D4" s="1294"/>
      <c r="E4" s="1300"/>
      <c r="F4" s="1202"/>
      <c r="G4" s="1292"/>
      <c r="H4" s="1202"/>
      <c r="I4" s="1118"/>
      <c r="J4" s="1295"/>
      <c r="K4" s="1296"/>
      <c r="L4" s="1296"/>
      <c r="M4" s="532">
        <v>12</v>
      </c>
      <c r="N4" s="532" t="s">
        <v>226</v>
      </c>
      <c r="O4" s="618">
        <v>9</v>
      </c>
      <c r="P4" s="1118"/>
    </row>
    <row r="5" spans="1:16" s="2" customFormat="1" ht="30.1" customHeight="1" x14ac:dyDescent="0.25">
      <c r="A5" s="1299">
        <v>2</v>
      </c>
      <c r="B5" s="1292" t="s">
        <v>413</v>
      </c>
      <c r="C5" s="1292" t="s">
        <v>414</v>
      </c>
      <c r="D5" s="1294" t="s">
        <v>361</v>
      </c>
      <c r="E5" s="1300">
        <v>10967625</v>
      </c>
      <c r="F5" s="1201" t="s">
        <v>367</v>
      </c>
      <c r="G5" s="1292" t="s">
        <v>535</v>
      </c>
      <c r="H5" s="1201" t="s">
        <v>14</v>
      </c>
      <c r="I5" s="1116" t="s">
        <v>1445</v>
      </c>
      <c r="J5" s="1295">
        <v>3016915903</v>
      </c>
      <c r="K5" s="1296">
        <v>1</v>
      </c>
      <c r="L5" s="1296">
        <v>30</v>
      </c>
      <c r="M5" s="532">
        <v>20</v>
      </c>
      <c r="N5" s="532" t="s">
        <v>4</v>
      </c>
      <c r="O5" s="618">
        <v>16</v>
      </c>
      <c r="P5" s="1116" t="s">
        <v>1441</v>
      </c>
    </row>
    <row r="6" spans="1:16" s="2" customFormat="1" ht="30.1" customHeight="1" x14ac:dyDescent="0.25">
      <c r="A6" s="1299"/>
      <c r="B6" s="1292"/>
      <c r="C6" s="1292"/>
      <c r="D6" s="1294"/>
      <c r="E6" s="1300"/>
      <c r="F6" s="1293"/>
      <c r="G6" s="1292"/>
      <c r="H6" s="1293"/>
      <c r="I6" s="1117"/>
      <c r="J6" s="1295"/>
      <c r="K6" s="1296"/>
      <c r="L6" s="1296"/>
      <c r="M6" s="532">
        <v>20</v>
      </c>
      <c r="N6" s="532" t="s">
        <v>8</v>
      </c>
      <c r="O6" s="618">
        <v>14</v>
      </c>
      <c r="P6" s="1117"/>
    </row>
    <row r="7" spans="1:16" s="2" customFormat="1" ht="30.1" customHeight="1" x14ac:dyDescent="0.25">
      <c r="A7" s="1299"/>
      <c r="B7" s="1292"/>
      <c r="C7" s="1292"/>
      <c r="D7" s="1294"/>
      <c r="E7" s="1300"/>
      <c r="F7" s="1202"/>
      <c r="G7" s="1292"/>
      <c r="H7" s="1202"/>
      <c r="I7" s="1118"/>
      <c r="J7" s="1295"/>
      <c r="K7" s="1296"/>
      <c r="L7" s="1296"/>
      <c r="M7" s="532">
        <v>20</v>
      </c>
      <c r="N7" s="532" t="s">
        <v>226</v>
      </c>
      <c r="O7" s="618">
        <v>15</v>
      </c>
      <c r="P7" s="1118"/>
    </row>
    <row r="8" spans="1:16" s="2" customFormat="1" ht="55.05" customHeight="1" x14ac:dyDescent="0.25">
      <c r="A8" s="611">
        <v>3</v>
      </c>
      <c r="B8" s="532" t="s">
        <v>415</v>
      </c>
      <c r="C8" s="532" t="s">
        <v>1010</v>
      </c>
      <c r="D8" s="609" t="s">
        <v>361</v>
      </c>
      <c r="E8" s="610">
        <v>28519857</v>
      </c>
      <c r="F8" s="532" t="s">
        <v>367</v>
      </c>
      <c r="G8" s="532" t="s">
        <v>532</v>
      </c>
      <c r="H8" s="532" t="s">
        <v>14</v>
      </c>
      <c r="I8" s="609" t="s">
        <v>1446</v>
      </c>
      <c r="J8" s="616" t="s">
        <v>416</v>
      </c>
      <c r="K8" s="617">
        <v>1</v>
      </c>
      <c r="L8" s="617">
        <v>30</v>
      </c>
      <c r="M8" s="532">
        <v>12</v>
      </c>
      <c r="N8" s="532" t="s">
        <v>5</v>
      </c>
      <c r="O8" s="618">
        <v>9</v>
      </c>
      <c r="P8" s="609" t="s">
        <v>1441</v>
      </c>
    </row>
    <row r="9" spans="1:16" s="2" customFormat="1" ht="30.1" customHeight="1" x14ac:dyDescent="0.25">
      <c r="A9" s="1299">
        <v>4</v>
      </c>
      <c r="B9" s="1292" t="s">
        <v>421</v>
      </c>
      <c r="C9" s="1292" t="s">
        <v>422</v>
      </c>
      <c r="D9" s="1116" t="s">
        <v>361</v>
      </c>
      <c r="E9" s="1302">
        <v>34957274</v>
      </c>
      <c r="F9" s="1201" t="s">
        <v>367</v>
      </c>
      <c r="G9" s="1292" t="s">
        <v>515</v>
      </c>
      <c r="H9" s="1201" t="s">
        <v>14</v>
      </c>
      <c r="I9" s="1116" t="s">
        <v>1447</v>
      </c>
      <c r="J9" s="1295" t="s">
        <v>506</v>
      </c>
      <c r="K9" s="1296">
        <v>1</v>
      </c>
      <c r="L9" s="1296">
        <v>30</v>
      </c>
      <c r="M9" s="532">
        <v>12</v>
      </c>
      <c r="N9" s="532" t="s">
        <v>4</v>
      </c>
      <c r="O9" s="618">
        <v>8</v>
      </c>
      <c r="P9" s="1201" t="s">
        <v>1441</v>
      </c>
    </row>
    <row r="10" spans="1:16" s="2" customFormat="1" ht="30.1" customHeight="1" x14ac:dyDescent="0.25">
      <c r="A10" s="1299"/>
      <c r="B10" s="1292"/>
      <c r="C10" s="1292"/>
      <c r="D10" s="1118"/>
      <c r="E10" s="1303"/>
      <c r="F10" s="1202"/>
      <c r="G10" s="1292"/>
      <c r="H10" s="1202"/>
      <c r="I10" s="1118"/>
      <c r="J10" s="1295"/>
      <c r="K10" s="1296"/>
      <c r="L10" s="1296"/>
      <c r="M10" s="532">
        <v>12</v>
      </c>
      <c r="N10" s="532" t="s">
        <v>226</v>
      </c>
      <c r="O10" s="618">
        <v>8</v>
      </c>
      <c r="P10" s="1202"/>
    </row>
    <row r="11" spans="1:16" s="2" customFormat="1" ht="30.1" customHeight="1" x14ac:dyDescent="0.25">
      <c r="A11" s="1299">
        <v>5</v>
      </c>
      <c r="B11" s="1294" t="s">
        <v>365</v>
      </c>
      <c r="C11" s="1294" t="s">
        <v>477</v>
      </c>
      <c r="D11" s="1294" t="s">
        <v>361</v>
      </c>
      <c r="E11" s="1300">
        <v>23096867</v>
      </c>
      <c r="F11" s="1116" t="s">
        <v>367</v>
      </c>
      <c r="G11" s="1294" t="s">
        <v>515</v>
      </c>
      <c r="H11" s="1116" t="s">
        <v>14</v>
      </c>
      <c r="I11" s="1295" t="s">
        <v>1436</v>
      </c>
      <c r="J11" s="1294" t="s">
        <v>1437</v>
      </c>
      <c r="K11" s="1297">
        <v>1</v>
      </c>
      <c r="L11" s="1297">
        <v>30</v>
      </c>
      <c r="M11" s="609">
        <v>12</v>
      </c>
      <c r="N11" s="609" t="s">
        <v>4</v>
      </c>
      <c r="O11" s="618">
        <v>9</v>
      </c>
      <c r="P11" s="1294" t="s">
        <v>1441</v>
      </c>
    </row>
    <row r="12" spans="1:16" s="2" customFormat="1" ht="30.1" customHeight="1" x14ac:dyDescent="0.25">
      <c r="A12" s="1299"/>
      <c r="B12" s="1294"/>
      <c r="C12" s="1294"/>
      <c r="D12" s="1294"/>
      <c r="E12" s="1300"/>
      <c r="F12" s="1118"/>
      <c r="G12" s="1294"/>
      <c r="H12" s="1118"/>
      <c r="I12" s="1295"/>
      <c r="J12" s="1294"/>
      <c r="K12" s="1297"/>
      <c r="L12" s="1297"/>
      <c r="M12" s="609">
        <v>12</v>
      </c>
      <c r="N12" s="609" t="s">
        <v>226</v>
      </c>
      <c r="O12" s="618">
        <v>9</v>
      </c>
      <c r="P12" s="1294"/>
    </row>
    <row r="13" spans="1:16" s="381" customFormat="1" ht="30.1" customHeight="1" x14ac:dyDescent="0.25">
      <c r="A13" s="1299">
        <v>6</v>
      </c>
      <c r="B13" s="1294" t="s">
        <v>667</v>
      </c>
      <c r="C13" s="1294" t="s">
        <v>668</v>
      </c>
      <c r="D13" s="1294" t="s">
        <v>361</v>
      </c>
      <c r="E13" s="1300">
        <v>78297501</v>
      </c>
      <c r="F13" s="1116" t="s">
        <v>367</v>
      </c>
      <c r="G13" s="1298" t="s">
        <v>539</v>
      </c>
      <c r="H13" s="1201" t="s">
        <v>14</v>
      </c>
      <c r="I13" s="1295" t="s">
        <v>1438</v>
      </c>
      <c r="J13" s="1294">
        <v>3007641513</v>
      </c>
      <c r="K13" s="1297">
        <v>1</v>
      </c>
      <c r="L13" s="1297">
        <v>30</v>
      </c>
      <c r="M13" s="609">
        <v>40</v>
      </c>
      <c r="N13" s="609" t="s">
        <v>4</v>
      </c>
      <c r="O13" s="618">
        <v>34</v>
      </c>
      <c r="P13" s="1116" t="s">
        <v>1441</v>
      </c>
    </row>
    <row r="14" spans="1:16" s="381" customFormat="1" ht="30.1" customHeight="1" x14ac:dyDescent="0.25">
      <c r="A14" s="1299"/>
      <c r="B14" s="1294"/>
      <c r="C14" s="1294"/>
      <c r="D14" s="1294"/>
      <c r="E14" s="1300"/>
      <c r="F14" s="1117"/>
      <c r="G14" s="1298"/>
      <c r="H14" s="1293"/>
      <c r="I14" s="1295"/>
      <c r="J14" s="1294"/>
      <c r="K14" s="1297"/>
      <c r="L14" s="1297"/>
      <c r="M14" s="609">
        <v>12</v>
      </c>
      <c r="N14" s="609" t="s">
        <v>8</v>
      </c>
      <c r="O14" s="618">
        <v>6</v>
      </c>
      <c r="P14" s="1117"/>
    </row>
    <row r="15" spans="1:16" s="381" customFormat="1" ht="30.1" customHeight="1" x14ac:dyDescent="0.25">
      <c r="A15" s="1299"/>
      <c r="B15" s="1294"/>
      <c r="C15" s="1294"/>
      <c r="D15" s="1294"/>
      <c r="E15" s="1300"/>
      <c r="F15" s="1118"/>
      <c r="G15" s="1298"/>
      <c r="H15" s="1202"/>
      <c r="I15" s="1295"/>
      <c r="J15" s="1294"/>
      <c r="K15" s="1297"/>
      <c r="L15" s="1297"/>
      <c r="M15" s="609">
        <v>20</v>
      </c>
      <c r="N15" s="609" t="s">
        <v>226</v>
      </c>
      <c r="O15" s="618">
        <v>15</v>
      </c>
      <c r="P15" s="1118"/>
    </row>
    <row r="16" spans="1:16" s="381" customFormat="1" ht="30.1" customHeight="1" x14ac:dyDescent="0.25">
      <c r="A16" s="611">
        <v>7</v>
      </c>
      <c r="B16" s="612" t="s">
        <v>525</v>
      </c>
      <c r="C16" s="612" t="s">
        <v>526</v>
      </c>
      <c r="D16" s="532" t="s">
        <v>361</v>
      </c>
      <c r="E16" s="613">
        <v>32253284</v>
      </c>
      <c r="F16" s="532" t="s">
        <v>367</v>
      </c>
      <c r="G16" s="532" t="s">
        <v>560</v>
      </c>
      <c r="H16" s="532" t="s">
        <v>14</v>
      </c>
      <c r="I16" s="532" t="s">
        <v>368</v>
      </c>
      <c r="J16" s="532">
        <v>3205679193</v>
      </c>
      <c r="K16" s="547">
        <v>43497</v>
      </c>
      <c r="L16" s="547">
        <v>43554</v>
      </c>
      <c r="M16" s="532">
        <v>20</v>
      </c>
      <c r="N16" s="532" t="s">
        <v>4</v>
      </c>
      <c r="O16" s="618">
        <v>14</v>
      </c>
      <c r="P16" s="532" t="s">
        <v>765</v>
      </c>
    </row>
    <row r="17" spans="1:16" s="381" customFormat="1" ht="31.6" customHeight="1" x14ac:dyDescent="0.25">
      <c r="A17" s="1299">
        <v>8</v>
      </c>
      <c r="B17" s="1294" t="s">
        <v>722</v>
      </c>
      <c r="C17" s="1294" t="s">
        <v>725</v>
      </c>
      <c r="D17" s="1294" t="s">
        <v>361</v>
      </c>
      <c r="E17" s="1300">
        <v>21787003</v>
      </c>
      <c r="F17" s="1116" t="s">
        <v>367</v>
      </c>
      <c r="G17" s="1294" t="s">
        <v>880</v>
      </c>
      <c r="H17" s="1201" t="s">
        <v>14</v>
      </c>
      <c r="I17" s="1294" t="s">
        <v>723</v>
      </c>
      <c r="J17" s="1294">
        <v>3004004931</v>
      </c>
      <c r="K17" s="608">
        <v>43525</v>
      </c>
      <c r="L17" s="608">
        <v>43585</v>
      </c>
      <c r="M17" s="609">
        <v>45</v>
      </c>
      <c r="N17" s="609" t="s">
        <v>4</v>
      </c>
      <c r="O17" s="618">
        <v>9</v>
      </c>
      <c r="P17" s="614" t="s">
        <v>1442</v>
      </c>
    </row>
    <row r="18" spans="1:16" s="381" customFormat="1" ht="30.1" customHeight="1" x14ac:dyDescent="0.25">
      <c r="A18" s="1299"/>
      <c r="B18" s="1294"/>
      <c r="C18" s="1294"/>
      <c r="D18" s="1294"/>
      <c r="E18" s="1300"/>
      <c r="F18" s="1118"/>
      <c r="G18" s="1294"/>
      <c r="H18" s="1202"/>
      <c r="I18" s="1294"/>
      <c r="J18" s="1294"/>
      <c r="K18" s="608">
        <v>43497</v>
      </c>
      <c r="L18" s="608">
        <v>43554</v>
      </c>
      <c r="M18" s="609">
        <v>15</v>
      </c>
      <c r="N18" s="609" t="s">
        <v>8</v>
      </c>
      <c r="O18" s="618">
        <v>9</v>
      </c>
      <c r="P18" s="614" t="s">
        <v>765</v>
      </c>
    </row>
    <row r="19" spans="1:16" s="381" customFormat="1" ht="30.1" customHeight="1" x14ac:dyDescent="0.25">
      <c r="A19" s="1299">
        <v>9</v>
      </c>
      <c r="B19" s="1294" t="s">
        <v>917</v>
      </c>
      <c r="C19" s="1294" t="s">
        <v>918</v>
      </c>
      <c r="D19" s="1294" t="s">
        <v>361</v>
      </c>
      <c r="E19" s="1300">
        <v>28417721</v>
      </c>
      <c r="F19" s="1116" t="s">
        <v>367</v>
      </c>
      <c r="G19" s="1294" t="s">
        <v>532</v>
      </c>
      <c r="H19" s="1201" t="s">
        <v>14</v>
      </c>
      <c r="I19" s="1294" t="s">
        <v>919</v>
      </c>
      <c r="J19" s="1294">
        <v>3176477853</v>
      </c>
      <c r="K19" s="1301">
        <v>43483</v>
      </c>
      <c r="L19" s="1301">
        <v>43554</v>
      </c>
      <c r="M19" s="609">
        <v>16</v>
      </c>
      <c r="N19" s="609" t="s">
        <v>4</v>
      </c>
      <c r="O19" s="618">
        <v>13</v>
      </c>
      <c r="P19" s="614" t="s">
        <v>765</v>
      </c>
    </row>
    <row r="20" spans="1:16" s="381" customFormat="1" ht="30.1" customHeight="1" x14ac:dyDescent="0.25">
      <c r="A20" s="1299"/>
      <c r="B20" s="1294"/>
      <c r="C20" s="1294"/>
      <c r="D20" s="1294"/>
      <c r="E20" s="1300"/>
      <c r="F20" s="1117"/>
      <c r="G20" s="1294"/>
      <c r="H20" s="1293"/>
      <c r="I20" s="1294"/>
      <c r="J20" s="1294"/>
      <c r="K20" s="1301"/>
      <c r="L20" s="1301"/>
      <c r="M20" s="609">
        <v>16</v>
      </c>
      <c r="N20" s="609" t="s">
        <v>8</v>
      </c>
      <c r="O20" s="618">
        <v>10</v>
      </c>
      <c r="P20" s="614" t="s">
        <v>765</v>
      </c>
    </row>
    <row r="21" spans="1:16" s="381" customFormat="1" ht="30.1" customHeight="1" x14ac:dyDescent="0.25">
      <c r="A21" s="1299"/>
      <c r="B21" s="1294"/>
      <c r="C21" s="1294"/>
      <c r="D21" s="1294"/>
      <c r="E21" s="1300"/>
      <c r="F21" s="1118"/>
      <c r="G21" s="1294"/>
      <c r="H21" s="1202"/>
      <c r="I21" s="1294"/>
      <c r="J21" s="1294"/>
      <c r="K21" s="1301"/>
      <c r="L21" s="1301"/>
      <c r="M21" s="609">
        <v>16</v>
      </c>
      <c r="N21" s="609" t="s">
        <v>226</v>
      </c>
      <c r="O21" s="618">
        <v>14</v>
      </c>
      <c r="P21" s="614" t="s">
        <v>765</v>
      </c>
    </row>
    <row r="22" spans="1:16" s="381" customFormat="1" ht="43.5" customHeight="1" x14ac:dyDescent="0.25">
      <c r="A22" s="611">
        <v>10</v>
      </c>
      <c r="B22" s="615" t="s">
        <v>1188</v>
      </c>
      <c r="C22" s="615" t="s">
        <v>1189</v>
      </c>
      <c r="D22" s="609" t="s">
        <v>361</v>
      </c>
      <c r="E22" s="610">
        <v>3659454</v>
      </c>
      <c r="F22" s="609" t="s">
        <v>367</v>
      </c>
      <c r="G22" s="609" t="s">
        <v>1191</v>
      </c>
      <c r="H22" s="532" t="s">
        <v>14</v>
      </c>
      <c r="I22" s="609" t="s">
        <v>1190</v>
      </c>
      <c r="J22" s="609">
        <v>3117831288</v>
      </c>
      <c r="K22" s="608">
        <v>43525</v>
      </c>
      <c r="L22" s="608">
        <v>43555</v>
      </c>
      <c r="M22" s="609">
        <v>12</v>
      </c>
      <c r="N22" s="609" t="s">
        <v>4</v>
      </c>
      <c r="O22" s="618">
        <v>9</v>
      </c>
      <c r="P22" s="614" t="s">
        <v>765</v>
      </c>
    </row>
  </sheetData>
  <mergeCells count="87">
    <mergeCell ref="H19:H21"/>
    <mergeCell ref="I5:I7"/>
    <mergeCell ref="I9:I10"/>
    <mergeCell ref="H9:H10"/>
    <mergeCell ref="H11:H12"/>
    <mergeCell ref="H13:H15"/>
    <mergeCell ref="I19:I21"/>
    <mergeCell ref="H5:H7"/>
    <mergeCell ref="A2:A4"/>
    <mergeCell ref="B2:B4"/>
    <mergeCell ref="C2:C4"/>
    <mergeCell ref="D2:D4"/>
    <mergeCell ref="E2:E4"/>
    <mergeCell ref="A9:A10"/>
    <mergeCell ref="A5:A7"/>
    <mergeCell ref="B5:B7"/>
    <mergeCell ref="C5:C7"/>
    <mergeCell ref="G5:G7"/>
    <mergeCell ref="E5:E7"/>
    <mergeCell ref="D5:D7"/>
    <mergeCell ref="F5:F7"/>
    <mergeCell ref="A17:A18"/>
    <mergeCell ref="B17:B18"/>
    <mergeCell ref="C17:C18"/>
    <mergeCell ref="D17:D18"/>
    <mergeCell ref="E17:E18"/>
    <mergeCell ref="A19:A21"/>
    <mergeCell ref="B19:B21"/>
    <mergeCell ref="C19:C21"/>
    <mergeCell ref="D19:D21"/>
    <mergeCell ref="E19:E21"/>
    <mergeCell ref="K19:K21"/>
    <mergeCell ref="L19:L21"/>
    <mergeCell ref="J19:J21"/>
    <mergeCell ref="L11:L12"/>
    <mergeCell ref="B9:B10"/>
    <mergeCell ref="C9:C10"/>
    <mergeCell ref="G9:G10"/>
    <mergeCell ref="J9:J10"/>
    <mergeCell ref="K9:K10"/>
    <mergeCell ref="D9:D10"/>
    <mergeCell ref="E9:E10"/>
    <mergeCell ref="F9:F10"/>
    <mergeCell ref="F19:F21"/>
    <mergeCell ref="G19:G21"/>
    <mergeCell ref="G17:G18"/>
    <mergeCell ref="I17:I18"/>
    <mergeCell ref="A11:A12"/>
    <mergeCell ref="B11:B12"/>
    <mergeCell ref="C11:C12"/>
    <mergeCell ref="D11:D12"/>
    <mergeCell ref="E11:E12"/>
    <mergeCell ref="A13:A15"/>
    <mergeCell ref="B13:B15"/>
    <mergeCell ref="C13:C15"/>
    <mergeCell ref="D13:D15"/>
    <mergeCell ref="E13:E15"/>
    <mergeCell ref="P13:P15"/>
    <mergeCell ref="J17:J18"/>
    <mergeCell ref="G13:G15"/>
    <mergeCell ref="I13:I15"/>
    <mergeCell ref="J13:J15"/>
    <mergeCell ref="K13:K15"/>
    <mergeCell ref="L13:L15"/>
    <mergeCell ref="F17:F18"/>
    <mergeCell ref="G11:G12"/>
    <mergeCell ref="F11:F12"/>
    <mergeCell ref="F13:F15"/>
    <mergeCell ref="I11:I12"/>
    <mergeCell ref="H17:H18"/>
    <mergeCell ref="P5:P7"/>
    <mergeCell ref="P9:P10"/>
    <mergeCell ref="J11:J12"/>
    <mergeCell ref="J2:J4"/>
    <mergeCell ref="K2:K4"/>
    <mergeCell ref="L2:L4"/>
    <mergeCell ref="L9:L10"/>
    <mergeCell ref="P11:P12"/>
    <mergeCell ref="L5:L7"/>
    <mergeCell ref="J5:J7"/>
    <mergeCell ref="K5:K7"/>
    <mergeCell ref="K11:K12"/>
    <mergeCell ref="G2:G4"/>
    <mergeCell ref="F2:F4"/>
    <mergeCell ref="H2:H4"/>
    <mergeCell ref="I2:I4"/>
    <mergeCell ref="P2:P4"/>
  </mergeCells>
  <pageMargins left="0.7" right="0.7" top="0.75" bottom="0.75" header="0.3" footer="0.3"/>
  <pageSetup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MONTERIA</vt:lpstr>
      <vt:lpstr>MPIOS</vt:lpstr>
      <vt:lpstr>NEP MPIOS</vt:lpstr>
      <vt:lpstr>NEP MTR</vt:lpstr>
      <vt:lpstr>PERMANENTES</vt:lpstr>
      <vt:lpstr>ANGELY</vt:lpstr>
      <vt:lpstr>HORARIO</vt:lpstr>
      <vt:lpstr>SANITAS MONTERIA</vt:lpstr>
      <vt:lpstr>MPIOS!x_x__MailAutoSig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2019-03-29T15:14:27Z</cp:lastPrinted>
  <dcterms:created xsi:type="dcterms:W3CDTF">2018-06-28T17:29:48Z</dcterms:created>
  <dcterms:modified xsi:type="dcterms:W3CDTF">2019-06-07T21:59:10Z</dcterms:modified>
</cp:coreProperties>
</file>